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KJSeng\Desktop\Wei Ern\Shovel v3.0 Dev\Shovel v3.0\"/>
    </mc:Choice>
  </mc:AlternateContent>
  <xr:revisionPtr revIDLastSave="0" documentId="13_ncr:1_{3F62DA24-DEAB-433E-9A08-D10E97C76996}" xr6:coauthVersionLast="47" xr6:coauthVersionMax="47" xr10:uidLastSave="{00000000-0000-0000-0000-000000000000}"/>
  <bookViews>
    <workbookView xWindow="-120" yWindow="-120" windowWidth="25440" windowHeight="15390" tabRatio="830" firstSheet="8" activeTab="9" xr2:uid="{00000000-000D-0000-FFFF-FFFF00000000}"/>
  </bookViews>
  <sheets>
    <sheet name="_system" sheetId="2" state="hidden" r:id="rId1"/>
    <sheet name="_systemPhase" sheetId="12" state="hidden" r:id="rId2"/>
    <sheet name="_systemPlate" sheetId="5" state="hidden" r:id="rId3"/>
    <sheet name="_systemNodeToNodeAnchor" sheetId="6" state="hidden" r:id="rId4"/>
    <sheet name="_systemEmbeddedBeamRow" sheetId="7" state="hidden" r:id="rId5"/>
    <sheet name="_systemFixedEndAnchor" sheetId="8" state="hidden" r:id="rId6"/>
    <sheet name="_systemGeogrid" sheetId="9" state="hidden" r:id="rId7"/>
    <sheet name="_systemInterface" sheetId="10" state="hidden" r:id="rId8"/>
    <sheet name="Properties" sheetId="14" r:id="rId9"/>
    <sheet name="Plaxis_extractor" sheetId="1" r:id="rId10"/>
    <sheet name="_systemProfiles" sheetId="15" state="hidden" r:id="rId11"/>
  </sheets>
  <functionGroups builtInGroupCount="19"/>
  <externalReferences>
    <externalReference r:id="rId12"/>
  </externalReferences>
  <definedNames>
    <definedName name="BH_list">[1]_system!$C$2:INDEX([1]_system!$C:$C,MATCH("*",[1]_system!$C:$C,-1),1)</definedName>
    <definedName name="c_Cumul">OFFSET(_xlfn.ANCHORARRAY('[1]Spreadsheet Checks'!$G$9),0,4)</definedName>
    <definedName name="Cu">OFFSET(_xlfn.ANCHORARRAY('[1]Spreadsheet Checks'!$G$9),0,1)</definedName>
    <definedName name="Cu_Cumul">OFFSET(_xlfn.ANCHORARRAY('[1]Spreadsheet Checks'!$G$9),0,5)</definedName>
    <definedName name="Design_Approaches">[1]_system!#REF!:INDEX([1]_system!#REF!,MATCH("*",[1]_system!#REF!,-1),1)</definedName>
    <definedName name="EmbeddedBeamRow">_xlfn.ANCHORARRAY(_system!#REF!)</definedName>
    <definedName name="FixedEndAnchor">_xlfn.ANCHORARRAY(_system!#REF!)</definedName>
    <definedName name="Gammasat_Cumul">OFFSET(_xlfn.ANCHORARRAY('[1]Spreadsheet Checks'!$G$9),0,2)</definedName>
    <definedName name="Geogrid">_xlfn.ANCHORARRAY(_system!$Q$2)</definedName>
    <definedName name="Interface">_xlfn.ANCHORARRAY(_system!$R$2)</definedName>
    <definedName name="Models">tbl_PlaxisFiles[Model Name]</definedName>
    <definedName name="N">[1]_system!$A$2</definedName>
    <definedName name="NodeToNodeAnchor">_xlfn.ANCHORARRAY(_system!$O$2)</definedName>
    <definedName name="o_PlotTypes">s_PlotTypes[Plot Types]</definedName>
    <definedName name="Output_Elements">[1]_system!$R$2:INDEX([1]_system!$R:$R,MATCH("*",[1]_system!$R:$R,-1),1)</definedName>
    <definedName name="phi_Cumul">OFFSET(_xlfn.ANCHORARRAY('[1]Spreadsheet Checks'!$G$9),0,3)</definedName>
    <definedName name="Plate">_xlfn.ANCHORARRAY(_system!$N$2)</definedName>
    <definedName name="profile_EmbeddedBeamRow">_xlfn.ANCHORARRAY(_systemProfiles!$B$2)</definedName>
    <definedName name="profile_FixedEndAnchor">_xlfn.ANCHORARRAY(_systemProfiles!$D$2)</definedName>
    <definedName name="profile_Geogrid">_xlfn.ANCHORARRAY(_systemProfiles!$E$2)</definedName>
    <definedName name="profile_Interface">_xlfn.ANCHORARRAY(_systemProfiles!$F$2)</definedName>
    <definedName name="profile_NodeToNodeAnchor">_xlfn.ANCHORARRAY(_systemProfiles!$C$2)</definedName>
    <definedName name="profile_Plate">_xlfn.ANCHORARRAY(_systemProfiles!$A$2)</definedName>
    <definedName name="ResultTypes_EmbeddedBeamRow">s_ResultTypeEBR[EBR result types]</definedName>
    <definedName name="ResultTypes_FixedEndAnchor">s_ResultTypeFEAnchor[FEAnchor result types]</definedName>
    <definedName name="ResultTypes_Geogrid">s_ResultTypeGeogrids[Geogrid result types]</definedName>
    <definedName name="ResultTypes_Interface">s_ResultTypeInterface[Interface result types]</definedName>
    <definedName name="ResultTypes_NodeToNodeAnchor">s_ResultTypen2n[n2n anchor result types]</definedName>
    <definedName name="ResultTypes_Plate">s_ResultTypePlate[Plate result types]</definedName>
    <definedName name="Standard_Beams">_xlfn.ANCHORARRAY('[1]Steel and Plate database'!$AI$5)</definedName>
    <definedName name="testing_spill">_xlfn.ANCHORARRAY(_system!$N$9)</definedName>
    <definedName name="z">[1]_system!$B$2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3" i="1" l="1" a="1"/>
  <c r="J63" i="1" s="1"/>
  <c r="J62" i="1" a="1"/>
  <c r="J62" i="1" s="1"/>
  <c r="J64" i="1" a="1"/>
  <c r="J64" i="1" s="1"/>
  <c r="J65" i="1" a="1"/>
  <c r="J65" i="1" s="1"/>
  <c r="J66" i="1" a="1"/>
  <c r="J66" i="1" s="1"/>
  <c r="J33" i="1" a="1"/>
  <c r="J33" i="1" s="1"/>
  <c r="J34" i="1" a="1"/>
  <c r="J34" i="1"/>
  <c r="J29" i="1" a="1"/>
  <c r="J29" i="1" s="1"/>
  <c r="J30" i="1" a="1"/>
  <c r="J30" i="1" s="1"/>
  <c r="J31" i="1" a="1"/>
  <c r="J31" i="1" s="1"/>
  <c r="J36" i="1" a="1"/>
  <c r="J36" i="1" s="1"/>
  <c r="J37" i="1" a="1"/>
  <c r="J37" i="1" s="1"/>
  <c r="J38" i="1" a="1"/>
  <c r="J38" i="1" s="1"/>
  <c r="J39" i="1" a="1"/>
  <c r="J39" i="1" s="1"/>
  <c r="J40" i="1" a="1"/>
  <c r="J40" i="1" s="1"/>
  <c r="J41" i="1" a="1"/>
  <c r="J41" i="1" s="1"/>
  <c r="J42" i="1" a="1"/>
  <c r="J42" i="1" s="1"/>
  <c r="J43" i="1" a="1"/>
  <c r="J43" i="1" s="1"/>
  <c r="J44" i="1" a="1"/>
  <c r="J44" i="1" s="1"/>
  <c r="J45" i="1" a="1"/>
  <c r="J45" i="1" s="1"/>
  <c r="J46" i="1" a="1"/>
  <c r="J46" i="1" s="1"/>
  <c r="J47" i="1" a="1"/>
  <c r="J47" i="1" s="1"/>
  <c r="J48" i="1" a="1"/>
  <c r="J48" i="1" s="1"/>
  <c r="J49" i="1" a="1"/>
  <c r="J49" i="1" s="1"/>
  <c r="J50" i="1" a="1"/>
  <c r="J50" i="1" s="1"/>
  <c r="J51" i="1" a="1"/>
  <c r="J51" i="1" s="1"/>
  <c r="J52" i="1" a="1"/>
  <c r="J52" i="1" s="1"/>
  <c r="J53" i="1" a="1"/>
  <c r="J53" i="1" s="1"/>
  <c r="J54" i="1" a="1"/>
  <c r="J54" i="1" s="1"/>
  <c r="J55" i="1" a="1"/>
  <c r="J55" i="1" s="1"/>
  <c r="J56" i="1" a="1"/>
  <c r="J56" i="1" s="1"/>
  <c r="J57" i="1" a="1"/>
  <c r="J57" i="1" s="1"/>
  <c r="J58" i="1" a="1"/>
  <c r="J58" i="1" s="1"/>
  <c r="J59" i="1" a="1"/>
  <c r="J59" i="1" s="1"/>
  <c r="J60" i="1" a="1"/>
  <c r="J60" i="1" s="1"/>
  <c r="J61" i="1" a="1"/>
  <c r="J61" i="1" s="1"/>
  <c r="J35" i="1" a="1"/>
  <c r="J35" i="1" s="1"/>
  <c r="J18" i="1" l="1" a="1"/>
  <c r="J18" i="1" s="1"/>
  <c r="J19" i="1" a="1"/>
  <c r="J19" i="1" s="1"/>
  <c r="J20" i="1" a="1"/>
  <c r="J20" i="1" s="1"/>
  <c r="J21" i="1" a="1"/>
  <c r="J21" i="1" s="1"/>
  <c r="J22" i="1" a="1"/>
  <c r="J22" i="1" s="1"/>
  <c r="J32" i="1" a="1"/>
  <c r="J32" i="1" s="1"/>
  <c r="J6" i="1" a="1"/>
  <c r="J6" i="1" s="1"/>
  <c r="J7" i="1" a="1"/>
  <c r="J7" i="1" s="1"/>
  <c r="J8" i="1" a="1"/>
  <c r="J8" i="1" s="1"/>
  <c r="J9" i="1" a="1"/>
  <c r="J9" i="1" s="1"/>
  <c r="J10" i="1" a="1"/>
  <c r="J10" i="1" s="1"/>
  <c r="J11" i="1" a="1"/>
  <c r="J11" i="1" s="1"/>
  <c r="J12" i="1" a="1"/>
  <c r="J12" i="1" s="1"/>
  <c r="J13" i="1" a="1"/>
  <c r="J13" i="1" s="1"/>
  <c r="J14" i="1" a="1"/>
  <c r="J14" i="1" s="1"/>
  <c r="J15" i="1" a="1"/>
  <c r="J15" i="1" s="1"/>
  <c r="J16" i="1" a="1"/>
  <c r="J16" i="1" s="1"/>
  <c r="J17" i="1" a="1"/>
  <c r="J17" i="1" s="1"/>
  <c r="J28" i="1" a="1"/>
  <c r="J28" i="1" s="1"/>
  <c r="F8" i="1" l="1"/>
  <c r="H8" i="1" s="1"/>
  <c r="F7" i="1"/>
  <c r="H7" i="1" s="1"/>
  <c r="F6" i="1"/>
  <c r="H6" i="1" s="1"/>
  <c r="F5" i="1"/>
  <c r="H5" i="1" s="1"/>
  <c r="F4" i="1"/>
  <c r="H4" i="1" s="1"/>
  <c r="F3" i="1"/>
  <c r="H3" i="1" s="1"/>
  <c r="U14" i="1" a="1"/>
  <c r="U14" i="1" s="1"/>
  <c r="U15" i="1" a="1"/>
  <c r="U15" i="1" s="1"/>
  <c r="U16" i="1" a="1"/>
  <c r="U16" i="1" s="1"/>
  <c r="U17" i="1" a="1"/>
  <c r="U17" i="1" s="1"/>
  <c r="U18" i="1" a="1"/>
  <c r="U18" i="1" s="1"/>
  <c r="U19" i="1" a="1"/>
  <c r="U19" i="1" s="1"/>
  <c r="U20" i="1" a="1"/>
  <c r="U20" i="1" s="1"/>
  <c r="U21" i="1" a="1"/>
  <c r="U21" i="1" s="1"/>
  <c r="U22" i="1" a="1"/>
  <c r="U22" i="1" s="1"/>
  <c r="U23" i="1" a="1"/>
  <c r="U23" i="1" s="1"/>
  <c r="U13" i="1" a="1"/>
  <c r="U13" i="1" s="1"/>
  <c r="U12" i="1" a="1"/>
  <c r="U12" i="1" s="1"/>
  <c r="U11" i="1" a="1"/>
  <c r="U11" i="1" s="1"/>
  <c r="U8" i="1" a="1"/>
  <c r="U8" i="1" s="1"/>
  <c r="U9" i="1" a="1"/>
  <c r="U9" i="1" s="1"/>
  <c r="U10" i="1" a="1"/>
  <c r="U10" i="1" s="1"/>
  <c r="U7" i="1" a="1"/>
  <c r="U7" i="1" s="1"/>
  <c r="U6" i="1" a="1"/>
  <c r="U6" i="1" s="1"/>
  <c r="U5" i="1" a="1"/>
  <c r="U5" i="1" s="1"/>
  <c r="U4" i="1" a="1"/>
  <c r="U4" i="1" s="1"/>
  <c r="F2" i="15" a="1"/>
  <c r="F2" i="15" s="1"/>
  <c r="E2" i="15" a="1"/>
  <c r="E2" i="15" s="1"/>
  <c r="D2" i="15" a="1"/>
  <c r="D2" i="15" s="1"/>
  <c r="C2" i="15" a="1"/>
  <c r="C2" i="15" s="1"/>
  <c r="B2" i="15" a="1"/>
  <c r="B2" i="15" s="1"/>
  <c r="A2" i="15" a="1"/>
  <c r="A2" i="15" s="1"/>
  <c r="U3" i="1" a="1"/>
  <c r="U3" i="1" s="1"/>
  <c r="F238" i="10" a="1"/>
  <c r="F238" i="10" s="1"/>
  <c r="F239" i="10" a="1"/>
  <c r="F239" i="10" s="1"/>
  <c r="F240" i="10" a="1"/>
  <c r="F240" i="10" s="1"/>
  <c r="F241" i="10" a="1"/>
  <c r="F241" i="10" s="1"/>
  <c r="F242" i="10" a="1"/>
  <c r="F242" i="10" s="1"/>
  <c r="F243" i="10" a="1"/>
  <c r="F243" i="10" s="1"/>
  <c r="F244" i="10" a="1"/>
  <c r="F244" i="10" s="1"/>
  <c r="F245" i="10" a="1"/>
  <c r="F245" i="10" s="1"/>
  <c r="F246" i="10" a="1"/>
  <c r="F246" i="10" s="1"/>
  <c r="F247" i="10" a="1"/>
  <c r="F247" i="10" s="1"/>
  <c r="F248" i="10" a="1"/>
  <c r="F248" i="10" s="1"/>
  <c r="F249" i="10" a="1"/>
  <c r="F249" i="10" s="1"/>
  <c r="F250" i="10" a="1"/>
  <c r="F250" i="10" s="1"/>
  <c r="F251" i="10" a="1"/>
  <c r="F251" i="10" s="1"/>
  <c r="F252" i="10" a="1"/>
  <c r="F252" i="10" s="1"/>
  <c r="F253" i="10" a="1"/>
  <c r="F253" i="10" s="1"/>
  <c r="F254" i="10" a="1"/>
  <c r="F254" i="10" s="1"/>
  <c r="F255" i="10" a="1"/>
  <c r="F255" i="10" s="1"/>
  <c r="F256" i="10" a="1"/>
  <c r="F256" i="10" s="1"/>
  <c r="F257" i="10" a="1"/>
  <c r="F257" i="10" s="1"/>
  <c r="F258" i="10" a="1"/>
  <c r="F258" i="10" s="1"/>
  <c r="F259" i="10" a="1"/>
  <c r="F259" i="10" s="1"/>
  <c r="F260" i="10" a="1"/>
  <c r="F260" i="10" s="1"/>
  <c r="F261" i="10" a="1"/>
  <c r="F261" i="10" s="1"/>
  <c r="F262" i="10" a="1"/>
  <c r="F262" i="10" s="1"/>
  <c r="F263" i="10" a="1"/>
  <c r="F263" i="10" s="1"/>
  <c r="F264" i="10" a="1"/>
  <c r="F264" i="10" s="1"/>
  <c r="F265" i="10" a="1"/>
  <c r="F265" i="10" s="1"/>
  <c r="F266" i="10" a="1"/>
  <c r="F266" i="10" s="1"/>
  <c r="F267" i="10" a="1"/>
  <c r="F267" i="10" s="1"/>
  <c r="F268" i="10" a="1"/>
  <c r="F268" i="10" s="1"/>
  <c r="F269" i="10" a="1"/>
  <c r="F269" i="10" s="1"/>
  <c r="F270" i="10" a="1"/>
  <c r="F270" i="10" s="1"/>
  <c r="F271" i="10" a="1"/>
  <c r="F271" i="10" s="1"/>
  <c r="F272" i="10" a="1"/>
  <c r="F272" i="10" s="1"/>
  <c r="F273" i="10" a="1"/>
  <c r="F273" i="10" s="1"/>
  <c r="F274" i="10" a="1"/>
  <c r="F274" i="10" s="1"/>
  <c r="F275" i="10" a="1"/>
  <c r="F275" i="10" s="1"/>
  <c r="F276" i="10" a="1"/>
  <c r="F276" i="10" s="1"/>
  <c r="F277" i="10" a="1"/>
  <c r="F277" i="10" s="1"/>
  <c r="F278" i="10" a="1"/>
  <c r="F278" i="10" s="1"/>
  <c r="F279" i="10" a="1"/>
  <c r="F279" i="10" s="1"/>
  <c r="F280" i="10" a="1"/>
  <c r="F280" i="10" s="1"/>
  <c r="F281" i="10" a="1"/>
  <c r="F281" i="10" s="1"/>
  <c r="F282" i="10" a="1"/>
  <c r="F282" i="10" s="1"/>
  <c r="F283" i="10" a="1"/>
  <c r="F283" i="10" s="1"/>
  <c r="F284" i="10" a="1"/>
  <c r="F284" i="10" s="1"/>
  <c r="F285" i="10" a="1"/>
  <c r="F285" i="10" s="1"/>
  <c r="F286" i="10" a="1"/>
  <c r="F286" i="10" s="1"/>
  <c r="F287" i="10" a="1"/>
  <c r="F287" i="10" s="1"/>
  <c r="F288" i="10" a="1"/>
  <c r="F288" i="10" s="1"/>
  <c r="F289" i="10" a="1"/>
  <c r="F289" i="10" s="1"/>
  <c r="F290" i="10" a="1"/>
  <c r="F290" i="10" s="1"/>
  <c r="F291" i="10" a="1"/>
  <c r="F291" i="10" s="1"/>
  <c r="F292" i="10" a="1"/>
  <c r="F292" i="10" s="1"/>
  <c r="F293" i="10" a="1"/>
  <c r="F293" i="10" s="1"/>
  <c r="F294" i="10" a="1"/>
  <c r="F294" i="10" s="1"/>
  <c r="F295" i="10" a="1"/>
  <c r="F295" i="10" s="1"/>
  <c r="F296" i="10" a="1"/>
  <c r="F296" i="10" s="1"/>
  <c r="F297" i="10" a="1"/>
  <c r="F297" i="10" s="1"/>
  <c r="F298" i="10" a="1"/>
  <c r="F298" i="10" s="1"/>
  <c r="F299" i="10" a="1"/>
  <c r="F299" i="10" s="1"/>
  <c r="F300" i="10" a="1"/>
  <c r="F300" i="10" s="1"/>
  <c r="F301" i="10" a="1"/>
  <c r="F301" i="10" s="1"/>
  <c r="F302" i="10" a="1"/>
  <c r="F302" i="10" s="1"/>
  <c r="F303" i="10" a="1"/>
  <c r="F303" i="10" s="1"/>
  <c r="F304" i="10" a="1"/>
  <c r="F304" i="10" s="1"/>
  <c r="F305" i="10" a="1"/>
  <c r="F305" i="10" s="1"/>
  <c r="F306" i="10" a="1"/>
  <c r="F306" i="10" s="1"/>
  <c r="F307" i="10" a="1"/>
  <c r="F307" i="10" s="1"/>
  <c r="F308" i="10" a="1"/>
  <c r="F308" i="10" s="1"/>
  <c r="F309" i="10" a="1"/>
  <c r="F309" i="10" s="1"/>
  <c r="F310" i="10" a="1"/>
  <c r="F310" i="10" s="1"/>
  <c r="F311" i="10" a="1"/>
  <c r="F311" i="10" s="1"/>
  <c r="F312" i="10" a="1"/>
  <c r="F312" i="10" s="1"/>
  <c r="F313" i="10" a="1"/>
  <c r="F313" i="10" s="1"/>
  <c r="F314" i="10" a="1"/>
  <c r="F314" i="10" s="1"/>
  <c r="F315" i="10" a="1"/>
  <c r="F315" i="10" s="1"/>
  <c r="F316" i="10" a="1"/>
  <c r="F316" i="10" s="1"/>
  <c r="F317" i="10" a="1"/>
  <c r="F317" i="10" s="1"/>
  <c r="F318" i="10" a="1"/>
  <c r="F318" i="10" s="1"/>
  <c r="F319" i="10" a="1"/>
  <c r="F319" i="10" s="1"/>
  <c r="F320" i="10" a="1"/>
  <c r="F320" i="10" s="1"/>
  <c r="F321" i="10" a="1"/>
  <c r="F321" i="10" s="1"/>
  <c r="F322" i="10" a="1"/>
  <c r="F322" i="10" s="1"/>
  <c r="F323" i="10" a="1"/>
  <c r="F323" i="10" s="1"/>
  <c r="F324" i="10" a="1"/>
  <c r="F324" i="10" s="1"/>
  <c r="F325" i="10" a="1"/>
  <c r="F325" i="10" s="1"/>
  <c r="F326" i="10" a="1"/>
  <c r="F326" i="10" s="1"/>
  <c r="F327" i="10" a="1"/>
  <c r="F327" i="10" s="1"/>
  <c r="F328" i="10" a="1"/>
  <c r="F328" i="10" s="1"/>
  <c r="F329" i="10" a="1"/>
  <c r="F329" i="10" s="1"/>
  <c r="F330" i="10" a="1"/>
  <c r="F330" i="10" s="1"/>
  <c r="F331" i="10" a="1"/>
  <c r="F331" i="10" s="1"/>
  <c r="F332" i="10" a="1"/>
  <c r="F332" i="10" s="1"/>
  <c r="F333" i="10" a="1"/>
  <c r="F333" i="10" s="1"/>
  <c r="F334" i="10" a="1"/>
  <c r="F334" i="10" s="1"/>
  <c r="F335" i="10" a="1"/>
  <c r="F335" i="10" s="1"/>
  <c r="F336" i="10" a="1"/>
  <c r="F336" i="10" s="1"/>
  <c r="F337" i="10" a="1"/>
  <c r="F337" i="10" s="1"/>
  <c r="F338" i="10" a="1"/>
  <c r="F338" i="10" s="1"/>
  <c r="F339" i="10" a="1"/>
  <c r="F339" i="10" s="1"/>
  <c r="F340" i="10" a="1"/>
  <c r="F340" i="10" s="1"/>
  <c r="F341" i="10" a="1"/>
  <c r="F341" i="10" s="1"/>
  <c r="F342" i="10" a="1"/>
  <c r="F342" i="10" s="1"/>
  <c r="F343" i="10" a="1"/>
  <c r="F343" i="10" s="1"/>
  <c r="F344" i="10" a="1"/>
  <c r="F344" i="10" s="1"/>
  <c r="F345" i="10" a="1"/>
  <c r="F345" i="10" s="1"/>
  <c r="F346" i="10" a="1"/>
  <c r="F346" i="10" s="1"/>
  <c r="F347" i="10" a="1"/>
  <c r="F347" i="10" s="1"/>
  <c r="F348" i="10" a="1"/>
  <c r="F348" i="10" s="1"/>
  <c r="F349" i="10" a="1"/>
  <c r="F349" i="10" s="1"/>
  <c r="F350" i="10" a="1"/>
  <c r="F350" i="10" s="1"/>
  <c r="F351" i="10" a="1"/>
  <c r="F351" i="10" s="1"/>
  <c r="F352" i="10" a="1"/>
  <c r="F352" i="10" s="1"/>
  <c r="F353" i="10" a="1"/>
  <c r="F353" i="10" s="1"/>
  <c r="F354" i="10" a="1"/>
  <c r="F354" i="10" s="1"/>
  <c r="F355" i="10" a="1"/>
  <c r="F355" i="10" s="1"/>
  <c r="F356" i="10" a="1"/>
  <c r="F356" i="10" s="1"/>
  <c r="F357" i="10" a="1"/>
  <c r="F357" i="10" s="1"/>
  <c r="F358" i="10" a="1"/>
  <c r="F358" i="10" s="1"/>
  <c r="F359" i="10" a="1"/>
  <c r="F359" i="10" s="1"/>
  <c r="F360" i="10" a="1"/>
  <c r="F360" i="10" s="1"/>
  <c r="F361" i="10" a="1"/>
  <c r="F361" i="10" s="1"/>
  <c r="F362" i="10" a="1"/>
  <c r="F362" i="10" s="1"/>
  <c r="F363" i="10" a="1"/>
  <c r="F363" i="10" s="1"/>
  <c r="F364" i="10" a="1"/>
  <c r="F364" i="10" s="1"/>
  <c r="F365" i="10" a="1"/>
  <c r="F365" i="10" s="1"/>
  <c r="F366" i="10" a="1"/>
  <c r="F366" i="10" s="1"/>
  <c r="F367" i="10" a="1"/>
  <c r="F367" i="10" s="1"/>
  <c r="F368" i="10" a="1"/>
  <c r="F368" i="10" s="1"/>
  <c r="F369" i="10" a="1"/>
  <c r="F369" i="10" s="1"/>
  <c r="F370" i="10" a="1"/>
  <c r="F370" i="10" s="1"/>
  <c r="F371" i="10" a="1"/>
  <c r="F371" i="10" s="1"/>
  <c r="F372" i="10" a="1"/>
  <c r="F372" i="10" s="1"/>
  <c r="F373" i="10" a="1"/>
  <c r="F373" i="10" s="1"/>
  <c r="F374" i="10" a="1"/>
  <c r="F374" i="10" s="1"/>
  <c r="F375" i="10" a="1"/>
  <c r="F375" i="10" s="1"/>
  <c r="F376" i="10" a="1"/>
  <c r="F376" i="10" s="1"/>
  <c r="F377" i="10" a="1"/>
  <c r="F377" i="10" s="1"/>
  <c r="F378" i="10" a="1"/>
  <c r="F378" i="10" s="1"/>
  <c r="F379" i="10" a="1"/>
  <c r="F379" i="10" s="1"/>
  <c r="F380" i="10" a="1"/>
  <c r="F380" i="10" s="1"/>
  <c r="F381" i="10" a="1"/>
  <c r="F381" i="10" s="1"/>
  <c r="F382" i="10" a="1"/>
  <c r="F382" i="10" s="1"/>
  <c r="F383" i="10" a="1"/>
  <c r="F383" i="10" s="1"/>
  <c r="F384" i="10" a="1"/>
  <c r="F384" i="10" s="1"/>
  <c r="F385" i="10" a="1"/>
  <c r="F385" i="10" s="1"/>
  <c r="F386" i="10" a="1"/>
  <c r="F386" i="10" s="1"/>
  <c r="F387" i="10" a="1"/>
  <c r="F387" i="10" s="1"/>
  <c r="F388" i="10" a="1"/>
  <c r="F388" i="10" s="1"/>
  <c r="F389" i="10" a="1"/>
  <c r="F389" i="10" s="1"/>
  <c r="F390" i="10" a="1"/>
  <c r="F390" i="10" s="1"/>
  <c r="F391" i="10" a="1"/>
  <c r="F391" i="10" s="1"/>
  <c r="F392" i="10" a="1"/>
  <c r="F392" i="10" s="1"/>
  <c r="F393" i="10" a="1"/>
  <c r="F393" i="10" s="1"/>
  <c r="F394" i="10" a="1"/>
  <c r="F394" i="10" s="1"/>
  <c r="F395" i="10" a="1"/>
  <c r="F395" i="10" s="1"/>
  <c r="F396" i="10" a="1"/>
  <c r="F396" i="10" s="1"/>
  <c r="F397" i="10" a="1"/>
  <c r="F397" i="10" s="1"/>
  <c r="F398" i="10" a="1"/>
  <c r="F398" i="10" s="1"/>
  <c r="F399" i="10" a="1"/>
  <c r="F399" i="10" s="1"/>
  <c r="F400" i="10" a="1"/>
  <c r="F400" i="10" s="1"/>
  <c r="F401" i="10" a="1"/>
  <c r="F401" i="10" s="1"/>
  <c r="F402" i="10" a="1"/>
  <c r="F402" i="10" s="1"/>
  <c r="F403" i="10" a="1"/>
  <c r="F403" i="10" s="1"/>
  <c r="F404" i="10" a="1"/>
  <c r="F404" i="10" s="1"/>
  <c r="F405" i="10" a="1"/>
  <c r="F405" i="10" s="1"/>
  <c r="F406" i="10" a="1"/>
  <c r="F406" i="10" s="1"/>
  <c r="F407" i="10" a="1"/>
  <c r="F407" i="10" s="1"/>
  <c r="F408" i="10" a="1"/>
  <c r="F408" i="10" s="1"/>
  <c r="F409" i="10" a="1"/>
  <c r="F409" i="10" s="1"/>
  <c r="F410" i="10" a="1"/>
  <c r="F410" i="10" s="1"/>
  <c r="F411" i="10" a="1"/>
  <c r="F411" i="10" s="1"/>
  <c r="F412" i="10" a="1"/>
  <c r="F412" i="10" s="1"/>
  <c r="F413" i="10" a="1"/>
  <c r="F413" i="10" s="1"/>
  <c r="F414" i="10" a="1"/>
  <c r="F414" i="10" s="1"/>
  <c r="F415" i="10" a="1"/>
  <c r="F415" i="10" s="1"/>
  <c r="F416" i="10" a="1"/>
  <c r="F416" i="10" s="1"/>
  <c r="F417" i="10" a="1"/>
  <c r="F417" i="10" s="1"/>
  <c r="F418" i="10" a="1"/>
  <c r="F418" i="10" s="1"/>
  <c r="F419" i="10" a="1"/>
  <c r="F419" i="10" s="1"/>
  <c r="F420" i="10" a="1"/>
  <c r="F420" i="10" s="1"/>
  <c r="F421" i="10" a="1"/>
  <c r="F421" i="10" s="1"/>
  <c r="F422" i="10" a="1"/>
  <c r="F422" i="10" s="1"/>
  <c r="F423" i="10" a="1"/>
  <c r="F423" i="10" s="1"/>
  <c r="F424" i="10" a="1"/>
  <c r="F424" i="10" s="1"/>
  <c r="F425" i="10" a="1"/>
  <c r="F425" i="10" s="1"/>
  <c r="F426" i="10" a="1"/>
  <c r="F426" i="10" s="1"/>
  <c r="F427" i="10" a="1"/>
  <c r="F427" i="10" s="1"/>
  <c r="F428" i="10" a="1"/>
  <c r="F428" i="10" s="1"/>
  <c r="F429" i="10" a="1"/>
  <c r="F429" i="10" s="1"/>
  <c r="F430" i="10" a="1"/>
  <c r="F430" i="10" s="1"/>
  <c r="F431" i="10" a="1"/>
  <c r="F431" i="10" s="1"/>
  <c r="F432" i="10" a="1"/>
  <c r="F432" i="10" s="1"/>
  <c r="F433" i="10" a="1"/>
  <c r="F433" i="10" s="1"/>
  <c r="F434" i="10" a="1"/>
  <c r="F434" i="10" s="1"/>
  <c r="F435" i="10" a="1"/>
  <c r="F435" i="10" s="1"/>
  <c r="F436" i="10" a="1"/>
  <c r="F436" i="10" s="1"/>
  <c r="F437" i="10" a="1"/>
  <c r="F437" i="10" s="1"/>
  <c r="F438" i="10" a="1"/>
  <c r="F438" i="10" s="1"/>
  <c r="F439" i="10" a="1"/>
  <c r="F439" i="10" s="1"/>
  <c r="F440" i="10" a="1"/>
  <c r="F440" i="10" s="1"/>
  <c r="F441" i="10" a="1"/>
  <c r="F441" i="10" s="1"/>
  <c r="F442" i="10" a="1"/>
  <c r="F442" i="10" s="1"/>
  <c r="F443" i="10" a="1"/>
  <c r="F443" i="10" s="1"/>
  <c r="F444" i="10" a="1"/>
  <c r="F444" i="10" s="1"/>
  <c r="F445" i="10" a="1"/>
  <c r="F445" i="10" s="1"/>
  <c r="F446" i="10" a="1"/>
  <c r="F446" i="10" s="1"/>
  <c r="F447" i="10" a="1"/>
  <c r="F447" i="10" s="1"/>
  <c r="F448" i="10" a="1"/>
  <c r="F448" i="10" s="1"/>
  <c r="F449" i="10" a="1"/>
  <c r="F449" i="10" s="1"/>
  <c r="F450" i="10" a="1"/>
  <c r="F450" i="10" s="1"/>
  <c r="F451" i="10" a="1"/>
  <c r="F451" i="10" s="1"/>
  <c r="F452" i="10" a="1"/>
  <c r="F452" i="10" s="1"/>
  <c r="F453" i="10" a="1"/>
  <c r="F453" i="10" s="1"/>
  <c r="F454" i="10" a="1"/>
  <c r="F454" i="10" s="1"/>
  <c r="F455" i="10" a="1"/>
  <c r="F455" i="10" s="1"/>
  <c r="F456" i="10" a="1"/>
  <c r="F456" i="10" s="1"/>
  <c r="F457" i="10" a="1"/>
  <c r="F457" i="10" s="1"/>
  <c r="F458" i="10" a="1"/>
  <c r="F458" i="10" s="1"/>
  <c r="F459" i="10" a="1"/>
  <c r="F459" i="10" s="1"/>
  <c r="F460" i="10" a="1"/>
  <c r="F460" i="10" s="1"/>
  <c r="F461" i="10" a="1"/>
  <c r="F461" i="10" s="1"/>
  <c r="F462" i="10" a="1"/>
  <c r="F462" i="10" s="1"/>
  <c r="F463" i="10" a="1"/>
  <c r="F463" i="10" s="1"/>
  <c r="F464" i="10" a="1"/>
  <c r="F464" i="10" s="1"/>
  <c r="F465" i="10" a="1"/>
  <c r="F465" i="10" s="1"/>
  <c r="F466" i="10" a="1"/>
  <c r="F466" i="10" s="1"/>
  <c r="F467" i="10" a="1"/>
  <c r="F467" i="10" s="1"/>
  <c r="F468" i="10" a="1"/>
  <c r="F468" i="10" s="1"/>
  <c r="F469" i="10" a="1"/>
  <c r="F469" i="10" s="1"/>
  <c r="F470" i="10" a="1"/>
  <c r="F470" i="10" s="1"/>
  <c r="F471" i="10" a="1"/>
  <c r="F471" i="10" s="1"/>
  <c r="F472" i="10" a="1"/>
  <c r="F472" i="10" s="1"/>
  <c r="F473" i="10" a="1"/>
  <c r="F473" i="10" s="1"/>
  <c r="F474" i="10" a="1"/>
  <c r="F474" i="10" s="1"/>
  <c r="F475" i="10" a="1"/>
  <c r="F475" i="10" s="1"/>
  <c r="F476" i="10" a="1"/>
  <c r="F476" i="10" s="1"/>
  <c r="F477" i="10" a="1"/>
  <c r="F477" i="10" s="1"/>
  <c r="F478" i="10" a="1"/>
  <c r="F478" i="10" s="1"/>
  <c r="F479" i="10" a="1"/>
  <c r="F479" i="10" s="1"/>
  <c r="F480" i="10" a="1"/>
  <c r="F480" i="10" s="1"/>
  <c r="F481" i="10" a="1"/>
  <c r="F481" i="10" s="1"/>
  <c r="F482" i="10" a="1"/>
  <c r="F482" i="10" s="1"/>
  <c r="F483" i="10" a="1"/>
  <c r="F483" i="10" s="1"/>
  <c r="F484" i="10" a="1"/>
  <c r="F484" i="10" s="1"/>
  <c r="F485" i="10" a="1"/>
  <c r="F485" i="10" s="1"/>
  <c r="F486" i="10" a="1"/>
  <c r="F486" i="10" s="1"/>
  <c r="F487" i="10" a="1"/>
  <c r="F487" i="10" s="1"/>
  <c r="F488" i="10" a="1"/>
  <c r="F488" i="10" s="1"/>
  <c r="F489" i="10" a="1"/>
  <c r="F489" i="10" s="1"/>
  <c r="F490" i="10" a="1"/>
  <c r="F490" i="10" s="1"/>
  <c r="F491" i="10" a="1"/>
  <c r="F491" i="10" s="1"/>
  <c r="F492" i="10" a="1"/>
  <c r="F492" i="10" s="1"/>
  <c r="F493" i="10" a="1"/>
  <c r="F493" i="10" s="1"/>
  <c r="F494" i="10" a="1"/>
  <c r="F494" i="10" s="1"/>
  <c r="F495" i="10" a="1"/>
  <c r="F495" i="10" s="1"/>
  <c r="F496" i="10" a="1"/>
  <c r="F496" i="10" s="1"/>
  <c r="F497" i="10" a="1"/>
  <c r="F497" i="10" s="1"/>
  <c r="F498" i="10" a="1"/>
  <c r="F498" i="10" s="1"/>
  <c r="F499" i="10" a="1"/>
  <c r="F499" i="10" s="1"/>
  <c r="F500" i="10" a="1"/>
  <c r="F500" i="10" s="1"/>
  <c r="F238" i="9" a="1"/>
  <c r="F238" i="9" s="1"/>
  <c r="F239" i="9" a="1"/>
  <c r="F239" i="9" s="1"/>
  <c r="F240" i="9" a="1"/>
  <c r="F240" i="9" s="1"/>
  <c r="F241" i="9" a="1"/>
  <c r="F241" i="9" s="1"/>
  <c r="F242" i="9" a="1"/>
  <c r="F242" i="9" s="1"/>
  <c r="F243" i="9" a="1"/>
  <c r="F243" i="9" s="1"/>
  <c r="F244" i="9" a="1"/>
  <c r="F244" i="9" s="1"/>
  <c r="F245" i="9" a="1"/>
  <c r="F245" i="9" s="1"/>
  <c r="F246" i="9" a="1"/>
  <c r="F246" i="9" s="1"/>
  <c r="F247" i="9" a="1"/>
  <c r="F247" i="9" s="1"/>
  <c r="F248" i="9" a="1"/>
  <c r="F248" i="9" s="1"/>
  <c r="F249" i="9" a="1"/>
  <c r="F249" i="9" s="1"/>
  <c r="F250" i="9" a="1"/>
  <c r="F250" i="9" s="1"/>
  <c r="F251" i="9" a="1"/>
  <c r="F251" i="9" s="1"/>
  <c r="F252" i="9" a="1"/>
  <c r="F252" i="9" s="1"/>
  <c r="F253" i="9" a="1"/>
  <c r="F253" i="9" s="1"/>
  <c r="F254" i="9" a="1"/>
  <c r="F254" i="9" s="1"/>
  <c r="F255" i="9" a="1"/>
  <c r="F255" i="9" s="1"/>
  <c r="F256" i="9" a="1"/>
  <c r="F256" i="9" s="1"/>
  <c r="F257" i="9" a="1"/>
  <c r="F257" i="9" s="1"/>
  <c r="F258" i="9" a="1"/>
  <c r="F258" i="9" s="1"/>
  <c r="F259" i="9" a="1"/>
  <c r="F259" i="9" s="1"/>
  <c r="F260" i="9" a="1"/>
  <c r="F260" i="9" s="1"/>
  <c r="F261" i="9" a="1"/>
  <c r="F261" i="9" s="1"/>
  <c r="F262" i="9" a="1"/>
  <c r="F262" i="9" s="1"/>
  <c r="F263" i="9" a="1"/>
  <c r="F263" i="9" s="1"/>
  <c r="F264" i="9" a="1"/>
  <c r="F264" i="9" s="1"/>
  <c r="F265" i="9" a="1"/>
  <c r="F265" i="9" s="1"/>
  <c r="F266" i="9" a="1"/>
  <c r="F266" i="9" s="1"/>
  <c r="F267" i="9" a="1"/>
  <c r="F267" i="9" s="1"/>
  <c r="F268" i="9" a="1"/>
  <c r="F268" i="9" s="1"/>
  <c r="F269" i="9" a="1"/>
  <c r="F269" i="9" s="1"/>
  <c r="F270" i="9" a="1"/>
  <c r="F270" i="9" s="1"/>
  <c r="F271" i="9" a="1"/>
  <c r="F271" i="9" s="1"/>
  <c r="F272" i="9" a="1"/>
  <c r="F272" i="9" s="1"/>
  <c r="F273" i="9" a="1"/>
  <c r="F273" i="9" s="1"/>
  <c r="F274" i="9" a="1"/>
  <c r="F274" i="9" s="1"/>
  <c r="F275" i="9" a="1"/>
  <c r="F275" i="9" s="1"/>
  <c r="F276" i="9" a="1"/>
  <c r="F276" i="9" s="1"/>
  <c r="F277" i="9" a="1"/>
  <c r="F277" i="9" s="1"/>
  <c r="F278" i="9" a="1"/>
  <c r="F278" i="9" s="1"/>
  <c r="F279" i="9" a="1"/>
  <c r="F279" i="9" s="1"/>
  <c r="F280" i="9" a="1"/>
  <c r="F280" i="9" s="1"/>
  <c r="F281" i="9" a="1"/>
  <c r="F281" i="9" s="1"/>
  <c r="F282" i="9" a="1"/>
  <c r="F282" i="9" s="1"/>
  <c r="F283" i="9" a="1"/>
  <c r="F283" i="9" s="1"/>
  <c r="F284" i="9" a="1"/>
  <c r="F284" i="9" s="1"/>
  <c r="F285" i="9" a="1"/>
  <c r="F285" i="9" s="1"/>
  <c r="F286" i="9" a="1"/>
  <c r="F286" i="9" s="1"/>
  <c r="F287" i="9" a="1"/>
  <c r="F287" i="9" s="1"/>
  <c r="F288" i="9" a="1"/>
  <c r="F288" i="9" s="1"/>
  <c r="F289" i="9" a="1"/>
  <c r="F289" i="9" s="1"/>
  <c r="F290" i="9" a="1"/>
  <c r="F290" i="9" s="1"/>
  <c r="F291" i="9" a="1"/>
  <c r="F291" i="9" s="1"/>
  <c r="F292" i="9" a="1"/>
  <c r="F292" i="9" s="1"/>
  <c r="F293" i="9" a="1"/>
  <c r="F293" i="9" s="1"/>
  <c r="F294" i="9" a="1"/>
  <c r="F294" i="9" s="1"/>
  <c r="F295" i="9" a="1"/>
  <c r="F295" i="9" s="1"/>
  <c r="F296" i="9" a="1"/>
  <c r="F296" i="9" s="1"/>
  <c r="F297" i="9" a="1"/>
  <c r="F297" i="9" s="1"/>
  <c r="F298" i="9" a="1"/>
  <c r="F298" i="9" s="1"/>
  <c r="F299" i="9" a="1"/>
  <c r="F299" i="9" s="1"/>
  <c r="F300" i="9" a="1"/>
  <c r="F300" i="9" s="1"/>
  <c r="F301" i="9" a="1"/>
  <c r="F301" i="9" s="1"/>
  <c r="F302" i="9" a="1"/>
  <c r="F302" i="9" s="1"/>
  <c r="F303" i="9" a="1"/>
  <c r="F303" i="9" s="1"/>
  <c r="F304" i="9" a="1"/>
  <c r="F304" i="9" s="1"/>
  <c r="F305" i="9" a="1"/>
  <c r="F305" i="9" s="1"/>
  <c r="F306" i="9" a="1"/>
  <c r="F306" i="9" s="1"/>
  <c r="F307" i="9" a="1"/>
  <c r="F307" i="9" s="1"/>
  <c r="F308" i="9" a="1"/>
  <c r="F308" i="9" s="1"/>
  <c r="F309" i="9" a="1"/>
  <c r="F309" i="9" s="1"/>
  <c r="F310" i="9" a="1"/>
  <c r="F310" i="9" s="1"/>
  <c r="F311" i="9" a="1"/>
  <c r="F311" i="9" s="1"/>
  <c r="F312" i="9" a="1"/>
  <c r="F312" i="9" s="1"/>
  <c r="F313" i="9" a="1"/>
  <c r="F313" i="9" s="1"/>
  <c r="F314" i="9" a="1"/>
  <c r="F314" i="9" s="1"/>
  <c r="F315" i="9" a="1"/>
  <c r="F315" i="9" s="1"/>
  <c r="F316" i="9" a="1"/>
  <c r="F316" i="9" s="1"/>
  <c r="F317" i="9" a="1"/>
  <c r="F317" i="9" s="1"/>
  <c r="F318" i="9" a="1"/>
  <c r="F318" i="9" s="1"/>
  <c r="F319" i="9" a="1"/>
  <c r="F319" i="9" s="1"/>
  <c r="F320" i="9" a="1"/>
  <c r="F320" i="9" s="1"/>
  <c r="F321" i="9" a="1"/>
  <c r="F321" i="9" s="1"/>
  <c r="F322" i="9" a="1"/>
  <c r="F322" i="9" s="1"/>
  <c r="F323" i="9" a="1"/>
  <c r="F323" i="9" s="1"/>
  <c r="F324" i="9" a="1"/>
  <c r="F324" i="9" s="1"/>
  <c r="F325" i="9" a="1"/>
  <c r="F325" i="9" s="1"/>
  <c r="F326" i="9" a="1"/>
  <c r="F326" i="9" s="1"/>
  <c r="F327" i="9" a="1"/>
  <c r="F327" i="9" s="1"/>
  <c r="F328" i="9" a="1"/>
  <c r="F328" i="9" s="1"/>
  <c r="F329" i="9" a="1"/>
  <c r="F329" i="9" s="1"/>
  <c r="F330" i="9" a="1"/>
  <c r="F330" i="9" s="1"/>
  <c r="F331" i="9" a="1"/>
  <c r="F331" i="9" s="1"/>
  <c r="F332" i="9" a="1"/>
  <c r="F332" i="9" s="1"/>
  <c r="F333" i="9" a="1"/>
  <c r="F333" i="9" s="1"/>
  <c r="F334" i="9" a="1"/>
  <c r="F334" i="9" s="1"/>
  <c r="F335" i="9" a="1"/>
  <c r="F335" i="9" s="1"/>
  <c r="F336" i="9" a="1"/>
  <c r="F336" i="9" s="1"/>
  <c r="F337" i="9" a="1"/>
  <c r="F337" i="9" s="1"/>
  <c r="F338" i="9" a="1"/>
  <c r="F338" i="9" s="1"/>
  <c r="F339" i="9" a="1"/>
  <c r="F339" i="9" s="1"/>
  <c r="F340" i="9" a="1"/>
  <c r="F340" i="9" s="1"/>
  <c r="F341" i="9" a="1"/>
  <c r="F341" i="9" s="1"/>
  <c r="F342" i="9" a="1"/>
  <c r="F342" i="9" s="1"/>
  <c r="F343" i="9" a="1"/>
  <c r="F343" i="9" s="1"/>
  <c r="F344" i="9" a="1"/>
  <c r="F344" i="9" s="1"/>
  <c r="F345" i="9" a="1"/>
  <c r="F345" i="9" s="1"/>
  <c r="F346" i="9" a="1"/>
  <c r="F346" i="9" s="1"/>
  <c r="F347" i="9" a="1"/>
  <c r="F347" i="9" s="1"/>
  <c r="F348" i="9" a="1"/>
  <c r="F348" i="9" s="1"/>
  <c r="F349" i="9" a="1"/>
  <c r="F349" i="9" s="1"/>
  <c r="F350" i="9" a="1"/>
  <c r="F350" i="9" s="1"/>
  <c r="F351" i="9" a="1"/>
  <c r="F351" i="9" s="1"/>
  <c r="F352" i="9" a="1"/>
  <c r="F352" i="9" s="1"/>
  <c r="F353" i="9" a="1"/>
  <c r="F353" i="9" s="1"/>
  <c r="F354" i="9" a="1"/>
  <c r="F354" i="9" s="1"/>
  <c r="F355" i="9" a="1"/>
  <c r="F355" i="9" s="1"/>
  <c r="F356" i="9" a="1"/>
  <c r="F356" i="9" s="1"/>
  <c r="F357" i="9" a="1"/>
  <c r="F357" i="9" s="1"/>
  <c r="F358" i="9" a="1"/>
  <c r="F358" i="9" s="1"/>
  <c r="F359" i="9" a="1"/>
  <c r="F359" i="9" s="1"/>
  <c r="F360" i="9" a="1"/>
  <c r="F360" i="9" s="1"/>
  <c r="F361" i="9" a="1"/>
  <c r="F361" i="9" s="1"/>
  <c r="F362" i="9" a="1"/>
  <c r="F362" i="9" s="1"/>
  <c r="F363" i="9" a="1"/>
  <c r="F363" i="9" s="1"/>
  <c r="F364" i="9" a="1"/>
  <c r="F364" i="9" s="1"/>
  <c r="F365" i="9" a="1"/>
  <c r="F365" i="9" s="1"/>
  <c r="F366" i="9" a="1"/>
  <c r="F366" i="9" s="1"/>
  <c r="F367" i="9" a="1"/>
  <c r="F367" i="9" s="1"/>
  <c r="F368" i="9" a="1"/>
  <c r="F368" i="9" s="1"/>
  <c r="F369" i="9" a="1"/>
  <c r="F369" i="9" s="1"/>
  <c r="F370" i="9" a="1"/>
  <c r="F370" i="9" s="1"/>
  <c r="F371" i="9" a="1"/>
  <c r="F371" i="9" s="1"/>
  <c r="F372" i="9" a="1"/>
  <c r="F372" i="9" s="1"/>
  <c r="F373" i="9" a="1"/>
  <c r="F373" i="9" s="1"/>
  <c r="F374" i="9" a="1"/>
  <c r="F374" i="9" s="1"/>
  <c r="F375" i="9" a="1"/>
  <c r="F375" i="9" s="1"/>
  <c r="F376" i="9" a="1"/>
  <c r="F376" i="9" s="1"/>
  <c r="F377" i="9" a="1"/>
  <c r="F377" i="9" s="1"/>
  <c r="F378" i="9" a="1"/>
  <c r="F378" i="9" s="1"/>
  <c r="F379" i="9" a="1"/>
  <c r="F379" i="9" s="1"/>
  <c r="F380" i="9" a="1"/>
  <c r="F380" i="9" s="1"/>
  <c r="F381" i="9" a="1"/>
  <c r="F381" i="9" s="1"/>
  <c r="F382" i="9" a="1"/>
  <c r="F382" i="9" s="1"/>
  <c r="F383" i="9" a="1"/>
  <c r="F383" i="9" s="1"/>
  <c r="F384" i="9" a="1"/>
  <c r="F384" i="9" s="1"/>
  <c r="F385" i="9" a="1"/>
  <c r="F385" i="9" s="1"/>
  <c r="F386" i="9" a="1"/>
  <c r="F386" i="9" s="1"/>
  <c r="F387" i="9" a="1"/>
  <c r="F387" i="9" s="1"/>
  <c r="F388" i="9" a="1"/>
  <c r="F388" i="9" s="1"/>
  <c r="F389" i="9" a="1"/>
  <c r="F389" i="9" s="1"/>
  <c r="F390" i="9" a="1"/>
  <c r="F390" i="9" s="1"/>
  <c r="F391" i="9" a="1"/>
  <c r="F391" i="9" s="1"/>
  <c r="F392" i="9" a="1"/>
  <c r="F392" i="9" s="1"/>
  <c r="F393" i="9" a="1"/>
  <c r="F393" i="9" s="1"/>
  <c r="F394" i="9" a="1"/>
  <c r="F394" i="9" s="1"/>
  <c r="F395" i="9" a="1"/>
  <c r="F395" i="9" s="1"/>
  <c r="F396" i="9" a="1"/>
  <c r="F396" i="9" s="1"/>
  <c r="F397" i="9" a="1"/>
  <c r="F397" i="9" s="1"/>
  <c r="F398" i="9" a="1"/>
  <c r="F398" i="9" s="1"/>
  <c r="F399" i="9" a="1"/>
  <c r="F399" i="9" s="1"/>
  <c r="F400" i="9" a="1"/>
  <c r="F400" i="9" s="1"/>
  <c r="F401" i="9" a="1"/>
  <c r="F401" i="9" s="1"/>
  <c r="F402" i="9" a="1"/>
  <c r="F402" i="9" s="1"/>
  <c r="F403" i="9" a="1"/>
  <c r="F403" i="9" s="1"/>
  <c r="F404" i="9" a="1"/>
  <c r="F404" i="9" s="1"/>
  <c r="F405" i="9" a="1"/>
  <c r="F405" i="9" s="1"/>
  <c r="F406" i="9" a="1"/>
  <c r="F406" i="9" s="1"/>
  <c r="F407" i="9" a="1"/>
  <c r="F407" i="9" s="1"/>
  <c r="F408" i="9" a="1"/>
  <c r="F408" i="9" s="1"/>
  <c r="F409" i="9" a="1"/>
  <c r="F409" i="9" s="1"/>
  <c r="F410" i="9" a="1"/>
  <c r="F410" i="9" s="1"/>
  <c r="F411" i="9" a="1"/>
  <c r="F411" i="9" s="1"/>
  <c r="F412" i="9" a="1"/>
  <c r="F412" i="9" s="1"/>
  <c r="F413" i="9" a="1"/>
  <c r="F413" i="9" s="1"/>
  <c r="F414" i="9" a="1"/>
  <c r="F414" i="9" s="1"/>
  <c r="F415" i="9" a="1"/>
  <c r="F415" i="9" s="1"/>
  <c r="F416" i="9" a="1"/>
  <c r="F416" i="9" s="1"/>
  <c r="F417" i="9" a="1"/>
  <c r="F417" i="9" s="1"/>
  <c r="F418" i="9" a="1"/>
  <c r="F418" i="9" s="1"/>
  <c r="F419" i="9" a="1"/>
  <c r="F419" i="9" s="1"/>
  <c r="F420" i="9" a="1"/>
  <c r="F420" i="9" s="1"/>
  <c r="F421" i="9" a="1"/>
  <c r="F421" i="9" s="1"/>
  <c r="F422" i="9" a="1"/>
  <c r="F422" i="9" s="1"/>
  <c r="F423" i="9" a="1"/>
  <c r="F423" i="9" s="1"/>
  <c r="F424" i="9" a="1"/>
  <c r="F424" i="9" s="1"/>
  <c r="F425" i="9" a="1"/>
  <c r="F425" i="9" s="1"/>
  <c r="F426" i="9" a="1"/>
  <c r="F426" i="9" s="1"/>
  <c r="F427" i="9" a="1"/>
  <c r="F427" i="9" s="1"/>
  <c r="F428" i="9" a="1"/>
  <c r="F428" i="9" s="1"/>
  <c r="F429" i="9" a="1"/>
  <c r="F429" i="9" s="1"/>
  <c r="F430" i="9" a="1"/>
  <c r="F430" i="9" s="1"/>
  <c r="F431" i="9" a="1"/>
  <c r="F431" i="9" s="1"/>
  <c r="F432" i="9" a="1"/>
  <c r="F432" i="9" s="1"/>
  <c r="F433" i="9" a="1"/>
  <c r="F433" i="9" s="1"/>
  <c r="F434" i="9" a="1"/>
  <c r="F434" i="9" s="1"/>
  <c r="F435" i="9" a="1"/>
  <c r="F435" i="9" s="1"/>
  <c r="F436" i="9" a="1"/>
  <c r="F436" i="9" s="1"/>
  <c r="F437" i="9" a="1"/>
  <c r="F437" i="9" s="1"/>
  <c r="F438" i="9" a="1"/>
  <c r="F438" i="9" s="1"/>
  <c r="F439" i="9" a="1"/>
  <c r="F439" i="9" s="1"/>
  <c r="F440" i="9" a="1"/>
  <c r="F440" i="9" s="1"/>
  <c r="F441" i="9" a="1"/>
  <c r="F441" i="9" s="1"/>
  <c r="F442" i="9" a="1"/>
  <c r="F442" i="9" s="1"/>
  <c r="F443" i="9" a="1"/>
  <c r="F443" i="9" s="1"/>
  <c r="F444" i="9" a="1"/>
  <c r="F444" i="9" s="1"/>
  <c r="F445" i="9" a="1"/>
  <c r="F445" i="9" s="1"/>
  <c r="F446" i="9" a="1"/>
  <c r="F446" i="9" s="1"/>
  <c r="F447" i="9" a="1"/>
  <c r="F447" i="9" s="1"/>
  <c r="F448" i="9" a="1"/>
  <c r="F448" i="9" s="1"/>
  <c r="F449" i="9" a="1"/>
  <c r="F449" i="9" s="1"/>
  <c r="F450" i="9" a="1"/>
  <c r="F450" i="9" s="1"/>
  <c r="F451" i="9" a="1"/>
  <c r="F451" i="9" s="1"/>
  <c r="F452" i="9" a="1"/>
  <c r="F452" i="9" s="1"/>
  <c r="F453" i="9" a="1"/>
  <c r="F453" i="9" s="1"/>
  <c r="F454" i="9" a="1"/>
  <c r="F454" i="9" s="1"/>
  <c r="F455" i="9" a="1"/>
  <c r="F455" i="9" s="1"/>
  <c r="F456" i="9" a="1"/>
  <c r="F456" i="9" s="1"/>
  <c r="F457" i="9" a="1"/>
  <c r="F457" i="9" s="1"/>
  <c r="F458" i="9" a="1"/>
  <c r="F458" i="9" s="1"/>
  <c r="F459" i="9" a="1"/>
  <c r="F459" i="9" s="1"/>
  <c r="F460" i="9" a="1"/>
  <c r="F460" i="9" s="1"/>
  <c r="F461" i="9" a="1"/>
  <c r="F461" i="9" s="1"/>
  <c r="F462" i="9" a="1"/>
  <c r="F462" i="9" s="1"/>
  <c r="F463" i="9" a="1"/>
  <c r="F463" i="9" s="1"/>
  <c r="F464" i="9" a="1"/>
  <c r="F464" i="9" s="1"/>
  <c r="F465" i="9" a="1"/>
  <c r="F465" i="9" s="1"/>
  <c r="F466" i="9" a="1"/>
  <c r="F466" i="9" s="1"/>
  <c r="F467" i="9" a="1"/>
  <c r="F467" i="9" s="1"/>
  <c r="F468" i="9" a="1"/>
  <c r="F468" i="9" s="1"/>
  <c r="F469" i="9" a="1"/>
  <c r="F469" i="9" s="1"/>
  <c r="F470" i="9" a="1"/>
  <c r="F470" i="9" s="1"/>
  <c r="F471" i="9" a="1"/>
  <c r="F471" i="9" s="1"/>
  <c r="F472" i="9" a="1"/>
  <c r="F472" i="9" s="1"/>
  <c r="F473" i="9" a="1"/>
  <c r="F473" i="9" s="1"/>
  <c r="F474" i="9" a="1"/>
  <c r="F474" i="9" s="1"/>
  <c r="F475" i="9" a="1"/>
  <c r="F475" i="9" s="1"/>
  <c r="F476" i="9" a="1"/>
  <c r="F476" i="9" s="1"/>
  <c r="F477" i="9" a="1"/>
  <c r="F477" i="9" s="1"/>
  <c r="F478" i="9" a="1"/>
  <c r="F478" i="9" s="1"/>
  <c r="F479" i="9" a="1"/>
  <c r="F479" i="9" s="1"/>
  <c r="F480" i="9" a="1"/>
  <c r="F480" i="9" s="1"/>
  <c r="F481" i="9" a="1"/>
  <c r="F481" i="9" s="1"/>
  <c r="F482" i="9" a="1"/>
  <c r="F482" i="9" s="1"/>
  <c r="F483" i="9" a="1"/>
  <c r="F483" i="9" s="1"/>
  <c r="F484" i="9" a="1"/>
  <c r="F484" i="9" s="1"/>
  <c r="F485" i="9" a="1"/>
  <c r="F485" i="9" s="1"/>
  <c r="F486" i="9" a="1"/>
  <c r="F486" i="9" s="1"/>
  <c r="F487" i="9" a="1"/>
  <c r="F487" i="9" s="1"/>
  <c r="F488" i="9" a="1"/>
  <c r="F488" i="9" s="1"/>
  <c r="F489" i="9" a="1"/>
  <c r="F489" i="9" s="1"/>
  <c r="F490" i="9" a="1"/>
  <c r="F490" i="9" s="1"/>
  <c r="F491" i="9" a="1"/>
  <c r="F491" i="9" s="1"/>
  <c r="F492" i="9" a="1"/>
  <c r="F492" i="9" s="1"/>
  <c r="F493" i="9" a="1"/>
  <c r="F493" i="9" s="1"/>
  <c r="F494" i="9" a="1"/>
  <c r="F494" i="9" s="1"/>
  <c r="F495" i="9" a="1"/>
  <c r="F495" i="9" s="1"/>
  <c r="F496" i="9" a="1"/>
  <c r="F496" i="9" s="1"/>
  <c r="F497" i="9" a="1"/>
  <c r="F497" i="9" s="1"/>
  <c r="F498" i="9" a="1"/>
  <c r="F498" i="9" s="1"/>
  <c r="F499" i="9" a="1"/>
  <c r="F499" i="9" s="1"/>
  <c r="F500" i="9" a="1"/>
  <c r="F500" i="9" s="1"/>
  <c r="F238" i="8" a="1"/>
  <c r="F238" i="8" s="1"/>
  <c r="F239" i="8" a="1"/>
  <c r="F239" i="8" s="1"/>
  <c r="F240" i="8" a="1"/>
  <c r="F240" i="8" s="1"/>
  <c r="F241" i="8" a="1"/>
  <c r="F241" i="8" s="1"/>
  <c r="F242" i="8" a="1"/>
  <c r="F242" i="8" s="1"/>
  <c r="F243" i="8" a="1"/>
  <c r="F243" i="8" s="1"/>
  <c r="F244" i="8" a="1"/>
  <c r="F244" i="8" s="1"/>
  <c r="F245" i="8" a="1"/>
  <c r="F245" i="8" s="1"/>
  <c r="F246" i="8" a="1"/>
  <c r="F246" i="8" s="1"/>
  <c r="F247" i="8" a="1"/>
  <c r="F247" i="8" s="1"/>
  <c r="F248" i="8" a="1"/>
  <c r="F248" i="8" s="1"/>
  <c r="F249" i="8" a="1"/>
  <c r="F249" i="8" s="1"/>
  <c r="F250" i="8" a="1"/>
  <c r="F250" i="8" s="1"/>
  <c r="F251" i="8" a="1"/>
  <c r="F251" i="8" s="1"/>
  <c r="F252" i="8" a="1"/>
  <c r="F252" i="8" s="1"/>
  <c r="F253" i="8" a="1"/>
  <c r="F253" i="8" s="1"/>
  <c r="F254" i="8" a="1"/>
  <c r="F254" i="8" s="1"/>
  <c r="F255" i="8" a="1"/>
  <c r="F255" i="8" s="1"/>
  <c r="F256" i="8" a="1"/>
  <c r="F256" i="8" s="1"/>
  <c r="F257" i="8" a="1"/>
  <c r="F257" i="8" s="1"/>
  <c r="F258" i="8" a="1"/>
  <c r="F258" i="8" s="1"/>
  <c r="F259" i="8" a="1"/>
  <c r="F259" i="8" s="1"/>
  <c r="F260" i="8" a="1"/>
  <c r="F260" i="8" s="1"/>
  <c r="F261" i="8" a="1"/>
  <c r="F261" i="8" s="1"/>
  <c r="F262" i="8" a="1"/>
  <c r="F262" i="8" s="1"/>
  <c r="F263" i="8" a="1"/>
  <c r="F263" i="8" s="1"/>
  <c r="F264" i="8" a="1"/>
  <c r="F264" i="8" s="1"/>
  <c r="F265" i="8" a="1"/>
  <c r="F265" i="8" s="1"/>
  <c r="F266" i="8" a="1"/>
  <c r="F266" i="8" s="1"/>
  <c r="F267" i="8" a="1"/>
  <c r="F267" i="8" s="1"/>
  <c r="F268" i="8" a="1"/>
  <c r="F268" i="8" s="1"/>
  <c r="F269" i="8" a="1"/>
  <c r="F269" i="8" s="1"/>
  <c r="F270" i="8" a="1"/>
  <c r="F270" i="8" s="1"/>
  <c r="F271" i="8" a="1"/>
  <c r="F271" i="8" s="1"/>
  <c r="F272" i="8" a="1"/>
  <c r="F272" i="8" s="1"/>
  <c r="F273" i="8" a="1"/>
  <c r="F273" i="8" s="1"/>
  <c r="F274" i="8" a="1"/>
  <c r="F274" i="8" s="1"/>
  <c r="F275" i="8" a="1"/>
  <c r="F275" i="8" s="1"/>
  <c r="F276" i="8" a="1"/>
  <c r="F276" i="8" s="1"/>
  <c r="F277" i="8" a="1"/>
  <c r="F277" i="8" s="1"/>
  <c r="F278" i="8" a="1"/>
  <c r="F278" i="8" s="1"/>
  <c r="F279" i="8" a="1"/>
  <c r="F279" i="8" s="1"/>
  <c r="F280" i="8" a="1"/>
  <c r="F280" i="8" s="1"/>
  <c r="F281" i="8" a="1"/>
  <c r="F281" i="8" s="1"/>
  <c r="F282" i="8" a="1"/>
  <c r="F282" i="8" s="1"/>
  <c r="F283" i="8" a="1"/>
  <c r="F283" i="8" s="1"/>
  <c r="F284" i="8" a="1"/>
  <c r="F284" i="8" s="1"/>
  <c r="F285" i="8" a="1"/>
  <c r="F285" i="8" s="1"/>
  <c r="F286" i="8" a="1"/>
  <c r="F286" i="8" s="1"/>
  <c r="F287" i="8" a="1"/>
  <c r="F287" i="8" s="1"/>
  <c r="F288" i="8" a="1"/>
  <c r="F288" i="8" s="1"/>
  <c r="F289" i="8" a="1"/>
  <c r="F289" i="8" s="1"/>
  <c r="F290" i="8" a="1"/>
  <c r="F290" i="8" s="1"/>
  <c r="F291" i="8" a="1"/>
  <c r="F291" i="8" s="1"/>
  <c r="F292" i="8" a="1"/>
  <c r="F292" i="8" s="1"/>
  <c r="F293" i="8" a="1"/>
  <c r="F293" i="8" s="1"/>
  <c r="F294" i="8" a="1"/>
  <c r="F294" i="8" s="1"/>
  <c r="F295" i="8" a="1"/>
  <c r="F295" i="8" s="1"/>
  <c r="F296" i="8" a="1"/>
  <c r="F296" i="8" s="1"/>
  <c r="F297" i="8" a="1"/>
  <c r="F297" i="8" s="1"/>
  <c r="F298" i="8" a="1"/>
  <c r="F298" i="8" s="1"/>
  <c r="F299" i="8" a="1"/>
  <c r="F299" i="8" s="1"/>
  <c r="F300" i="8" a="1"/>
  <c r="F300" i="8" s="1"/>
  <c r="F301" i="8" a="1"/>
  <c r="F301" i="8" s="1"/>
  <c r="F302" i="8" a="1"/>
  <c r="F302" i="8" s="1"/>
  <c r="F303" i="8" a="1"/>
  <c r="F303" i="8" s="1"/>
  <c r="F304" i="8" a="1"/>
  <c r="F304" i="8" s="1"/>
  <c r="F305" i="8" a="1"/>
  <c r="F305" i="8" s="1"/>
  <c r="F306" i="8" a="1"/>
  <c r="F306" i="8" s="1"/>
  <c r="F307" i="8" a="1"/>
  <c r="F307" i="8" s="1"/>
  <c r="F308" i="8" a="1"/>
  <c r="F308" i="8" s="1"/>
  <c r="F309" i="8" a="1"/>
  <c r="F309" i="8" s="1"/>
  <c r="F310" i="8" a="1"/>
  <c r="F310" i="8" s="1"/>
  <c r="F311" i="8" a="1"/>
  <c r="F311" i="8" s="1"/>
  <c r="F312" i="8" a="1"/>
  <c r="F312" i="8" s="1"/>
  <c r="F313" i="8" a="1"/>
  <c r="F313" i="8" s="1"/>
  <c r="F314" i="8" a="1"/>
  <c r="F314" i="8" s="1"/>
  <c r="F315" i="8" a="1"/>
  <c r="F315" i="8" s="1"/>
  <c r="F316" i="8" a="1"/>
  <c r="F316" i="8" s="1"/>
  <c r="F317" i="8" a="1"/>
  <c r="F317" i="8" s="1"/>
  <c r="F318" i="8" a="1"/>
  <c r="F318" i="8" s="1"/>
  <c r="F319" i="8" a="1"/>
  <c r="F319" i="8" s="1"/>
  <c r="F320" i="8" a="1"/>
  <c r="F320" i="8" s="1"/>
  <c r="F321" i="8" a="1"/>
  <c r="F321" i="8" s="1"/>
  <c r="F322" i="8" a="1"/>
  <c r="F322" i="8" s="1"/>
  <c r="F323" i="8" a="1"/>
  <c r="F323" i="8" s="1"/>
  <c r="F324" i="8" a="1"/>
  <c r="F324" i="8" s="1"/>
  <c r="F325" i="8" a="1"/>
  <c r="F325" i="8" s="1"/>
  <c r="F326" i="8" a="1"/>
  <c r="F326" i="8" s="1"/>
  <c r="F327" i="8" a="1"/>
  <c r="F327" i="8" s="1"/>
  <c r="F328" i="8" a="1"/>
  <c r="F328" i="8" s="1"/>
  <c r="F329" i="8" a="1"/>
  <c r="F329" i="8" s="1"/>
  <c r="F330" i="8" a="1"/>
  <c r="F330" i="8" s="1"/>
  <c r="F331" i="8" a="1"/>
  <c r="F331" i="8" s="1"/>
  <c r="F332" i="8" a="1"/>
  <c r="F332" i="8" s="1"/>
  <c r="F333" i="8" a="1"/>
  <c r="F333" i="8" s="1"/>
  <c r="F334" i="8" a="1"/>
  <c r="F334" i="8" s="1"/>
  <c r="F335" i="8" a="1"/>
  <c r="F335" i="8" s="1"/>
  <c r="F336" i="8" a="1"/>
  <c r="F336" i="8" s="1"/>
  <c r="F337" i="8" a="1"/>
  <c r="F337" i="8" s="1"/>
  <c r="F338" i="8" a="1"/>
  <c r="F338" i="8" s="1"/>
  <c r="F339" i="8" a="1"/>
  <c r="F339" i="8" s="1"/>
  <c r="F340" i="8" a="1"/>
  <c r="F340" i="8" s="1"/>
  <c r="F341" i="8" a="1"/>
  <c r="F341" i="8" s="1"/>
  <c r="F342" i="8" a="1"/>
  <c r="F342" i="8" s="1"/>
  <c r="F343" i="8" a="1"/>
  <c r="F343" i="8" s="1"/>
  <c r="F344" i="8" a="1"/>
  <c r="F344" i="8" s="1"/>
  <c r="F345" i="8" a="1"/>
  <c r="F345" i="8" s="1"/>
  <c r="F346" i="8" a="1"/>
  <c r="F346" i="8" s="1"/>
  <c r="F347" i="8" a="1"/>
  <c r="F347" i="8" s="1"/>
  <c r="F348" i="8" a="1"/>
  <c r="F348" i="8" s="1"/>
  <c r="F349" i="8" a="1"/>
  <c r="F349" i="8" s="1"/>
  <c r="F350" i="8" a="1"/>
  <c r="F350" i="8" s="1"/>
  <c r="F351" i="8" a="1"/>
  <c r="F351" i="8" s="1"/>
  <c r="F352" i="8" a="1"/>
  <c r="F352" i="8" s="1"/>
  <c r="F353" i="8" a="1"/>
  <c r="F353" i="8" s="1"/>
  <c r="F354" i="8" a="1"/>
  <c r="F354" i="8" s="1"/>
  <c r="F355" i="8" a="1"/>
  <c r="F355" i="8" s="1"/>
  <c r="F356" i="8" a="1"/>
  <c r="F356" i="8" s="1"/>
  <c r="F357" i="8" a="1"/>
  <c r="F357" i="8" s="1"/>
  <c r="F358" i="8" a="1"/>
  <c r="F358" i="8" s="1"/>
  <c r="F359" i="8" a="1"/>
  <c r="F359" i="8" s="1"/>
  <c r="F360" i="8" a="1"/>
  <c r="F360" i="8" s="1"/>
  <c r="F361" i="8" a="1"/>
  <c r="F361" i="8" s="1"/>
  <c r="F362" i="8" a="1"/>
  <c r="F362" i="8" s="1"/>
  <c r="F363" i="8" a="1"/>
  <c r="F363" i="8" s="1"/>
  <c r="F364" i="8" a="1"/>
  <c r="F364" i="8" s="1"/>
  <c r="F365" i="8" a="1"/>
  <c r="F365" i="8" s="1"/>
  <c r="F366" i="8" a="1"/>
  <c r="F366" i="8" s="1"/>
  <c r="F367" i="8" a="1"/>
  <c r="F367" i="8" s="1"/>
  <c r="F368" i="8" a="1"/>
  <c r="F368" i="8" s="1"/>
  <c r="F369" i="8" a="1"/>
  <c r="F369" i="8" s="1"/>
  <c r="F370" i="8" a="1"/>
  <c r="F370" i="8" s="1"/>
  <c r="F371" i="8" a="1"/>
  <c r="F371" i="8" s="1"/>
  <c r="F372" i="8" a="1"/>
  <c r="F372" i="8" s="1"/>
  <c r="F373" i="8" a="1"/>
  <c r="F373" i="8" s="1"/>
  <c r="F374" i="8" a="1"/>
  <c r="F374" i="8" s="1"/>
  <c r="F375" i="8" a="1"/>
  <c r="F375" i="8" s="1"/>
  <c r="F376" i="8" a="1"/>
  <c r="F376" i="8" s="1"/>
  <c r="F377" i="8" a="1"/>
  <c r="F377" i="8" s="1"/>
  <c r="F378" i="8" a="1"/>
  <c r="F378" i="8" s="1"/>
  <c r="F379" i="8" a="1"/>
  <c r="F379" i="8" s="1"/>
  <c r="F380" i="8" a="1"/>
  <c r="F380" i="8" s="1"/>
  <c r="F381" i="8" a="1"/>
  <c r="F381" i="8" s="1"/>
  <c r="F382" i="8" a="1"/>
  <c r="F382" i="8" s="1"/>
  <c r="F383" i="8" a="1"/>
  <c r="F383" i="8" s="1"/>
  <c r="F384" i="8" a="1"/>
  <c r="F384" i="8" s="1"/>
  <c r="F385" i="8" a="1"/>
  <c r="F385" i="8" s="1"/>
  <c r="F386" i="8" a="1"/>
  <c r="F386" i="8" s="1"/>
  <c r="F387" i="8" a="1"/>
  <c r="F387" i="8" s="1"/>
  <c r="F388" i="8" a="1"/>
  <c r="F388" i="8" s="1"/>
  <c r="F389" i="8" a="1"/>
  <c r="F389" i="8" s="1"/>
  <c r="F390" i="8" a="1"/>
  <c r="F390" i="8" s="1"/>
  <c r="F391" i="8" a="1"/>
  <c r="F391" i="8" s="1"/>
  <c r="F392" i="8" a="1"/>
  <c r="F392" i="8" s="1"/>
  <c r="F393" i="8" a="1"/>
  <c r="F393" i="8" s="1"/>
  <c r="F394" i="8" a="1"/>
  <c r="F394" i="8" s="1"/>
  <c r="F395" i="8" a="1"/>
  <c r="F395" i="8" s="1"/>
  <c r="F396" i="8" a="1"/>
  <c r="F396" i="8" s="1"/>
  <c r="F397" i="8" a="1"/>
  <c r="F397" i="8" s="1"/>
  <c r="F398" i="8" a="1"/>
  <c r="F398" i="8" s="1"/>
  <c r="F399" i="8" a="1"/>
  <c r="F399" i="8" s="1"/>
  <c r="F400" i="8" a="1"/>
  <c r="F400" i="8" s="1"/>
  <c r="F401" i="8" a="1"/>
  <c r="F401" i="8" s="1"/>
  <c r="F402" i="8" a="1"/>
  <c r="F402" i="8" s="1"/>
  <c r="F403" i="8" a="1"/>
  <c r="F403" i="8" s="1"/>
  <c r="F404" i="8" a="1"/>
  <c r="F404" i="8" s="1"/>
  <c r="F405" i="8" a="1"/>
  <c r="F405" i="8" s="1"/>
  <c r="F406" i="8" a="1"/>
  <c r="F406" i="8" s="1"/>
  <c r="F407" i="8" a="1"/>
  <c r="F407" i="8" s="1"/>
  <c r="F408" i="8" a="1"/>
  <c r="F408" i="8" s="1"/>
  <c r="F409" i="8" a="1"/>
  <c r="F409" i="8" s="1"/>
  <c r="F410" i="8" a="1"/>
  <c r="F410" i="8" s="1"/>
  <c r="F411" i="8" a="1"/>
  <c r="F411" i="8" s="1"/>
  <c r="F412" i="8" a="1"/>
  <c r="F412" i="8" s="1"/>
  <c r="F413" i="8" a="1"/>
  <c r="F413" i="8" s="1"/>
  <c r="F414" i="8" a="1"/>
  <c r="F414" i="8" s="1"/>
  <c r="F415" i="8" a="1"/>
  <c r="F415" i="8" s="1"/>
  <c r="F416" i="8" a="1"/>
  <c r="F416" i="8" s="1"/>
  <c r="F417" i="8" a="1"/>
  <c r="F417" i="8" s="1"/>
  <c r="F418" i="8" a="1"/>
  <c r="F418" i="8" s="1"/>
  <c r="F419" i="8" a="1"/>
  <c r="F419" i="8" s="1"/>
  <c r="F420" i="8" a="1"/>
  <c r="F420" i="8" s="1"/>
  <c r="F421" i="8" a="1"/>
  <c r="F421" i="8" s="1"/>
  <c r="F422" i="8" a="1"/>
  <c r="F422" i="8" s="1"/>
  <c r="F423" i="8" a="1"/>
  <c r="F423" i="8" s="1"/>
  <c r="F424" i="8" a="1"/>
  <c r="F424" i="8" s="1"/>
  <c r="F425" i="8" a="1"/>
  <c r="F425" i="8" s="1"/>
  <c r="F426" i="8" a="1"/>
  <c r="F426" i="8" s="1"/>
  <c r="F427" i="8" a="1"/>
  <c r="F427" i="8" s="1"/>
  <c r="F428" i="8" a="1"/>
  <c r="F428" i="8" s="1"/>
  <c r="F429" i="8" a="1"/>
  <c r="F429" i="8" s="1"/>
  <c r="F430" i="8" a="1"/>
  <c r="F430" i="8" s="1"/>
  <c r="F431" i="8" a="1"/>
  <c r="F431" i="8" s="1"/>
  <c r="F432" i="8" a="1"/>
  <c r="F432" i="8" s="1"/>
  <c r="F433" i="8" a="1"/>
  <c r="F433" i="8" s="1"/>
  <c r="F434" i="8" a="1"/>
  <c r="F434" i="8" s="1"/>
  <c r="F435" i="8" a="1"/>
  <c r="F435" i="8" s="1"/>
  <c r="F436" i="8" a="1"/>
  <c r="F436" i="8" s="1"/>
  <c r="F437" i="8" a="1"/>
  <c r="F437" i="8" s="1"/>
  <c r="F438" i="8" a="1"/>
  <c r="F438" i="8" s="1"/>
  <c r="F439" i="8" a="1"/>
  <c r="F439" i="8" s="1"/>
  <c r="F440" i="8" a="1"/>
  <c r="F440" i="8" s="1"/>
  <c r="F441" i="8" a="1"/>
  <c r="F441" i="8" s="1"/>
  <c r="F442" i="8" a="1"/>
  <c r="F442" i="8" s="1"/>
  <c r="F443" i="8" a="1"/>
  <c r="F443" i="8" s="1"/>
  <c r="F444" i="8" a="1"/>
  <c r="F444" i="8" s="1"/>
  <c r="F445" i="8" a="1"/>
  <c r="F445" i="8" s="1"/>
  <c r="F446" i="8" a="1"/>
  <c r="F446" i="8" s="1"/>
  <c r="F447" i="8" a="1"/>
  <c r="F447" i="8" s="1"/>
  <c r="F448" i="8" a="1"/>
  <c r="F448" i="8" s="1"/>
  <c r="F449" i="8" a="1"/>
  <c r="F449" i="8" s="1"/>
  <c r="F450" i="8" a="1"/>
  <c r="F450" i="8" s="1"/>
  <c r="F451" i="8" a="1"/>
  <c r="F451" i="8" s="1"/>
  <c r="F452" i="8" a="1"/>
  <c r="F452" i="8" s="1"/>
  <c r="F453" i="8" a="1"/>
  <c r="F453" i="8" s="1"/>
  <c r="F454" i="8" a="1"/>
  <c r="F454" i="8" s="1"/>
  <c r="F455" i="8" a="1"/>
  <c r="F455" i="8" s="1"/>
  <c r="F456" i="8" a="1"/>
  <c r="F456" i="8" s="1"/>
  <c r="F457" i="8" a="1"/>
  <c r="F457" i="8" s="1"/>
  <c r="F458" i="8" a="1"/>
  <c r="F458" i="8" s="1"/>
  <c r="F459" i="8" a="1"/>
  <c r="F459" i="8" s="1"/>
  <c r="F460" i="8" a="1"/>
  <c r="F460" i="8" s="1"/>
  <c r="F461" i="8" a="1"/>
  <c r="F461" i="8" s="1"/>
  <c r="F462" i="8" a="1"/>
  <c r="F462" i="8" s="1"/>
  <c r="F463" i="8" a="1"/>
  <c r="F463" i="8" s="1"/>
  <c r="F464" i="8" a="1"/>
  <c r="F464" i="8" s="1"/>
  <c r="F465" i="8" a="1"/>
  <c r="F465" i="8" s="1"/>
  <c r="F466" i="8" a="1"/>
  <c r="F466" i="8" s="1"/>
  <c r="F467" i="8" a="1"/>
  <c r="F467" i="8" s="1"/>
  <c r="F468" i="8" a="1"/>
  <c r="F468" i="8" s="1"/>
  <c r="F469" i="8" a="1"/>
  <c r="F469" i="8" s="1"/>
  <c r="F470" i="8" a="1"/>
  <c r="F470" i="8" s="1"/>
  <c r="F471" i="8" a="1"/>
  <c r="F471" i="8" s="1"/>
  <c r="F472" i="8" a="1"/>
  <c r="F472" i="8" s="1"/>
  <c r="F473" i="8" a="1"/>
  <c r="F473" i="8" s="1"/>
  <c r="F474" i="8" a="1"/>
  <c r="F474" i="8" s="1"/>
  <c r="F475" i="8" a="1"/>
  <c r="F475" i="8" s="1"/>
  <c r="F476" i="8" a="1"/>
  <c r="F476" i="8" s="1"/>
  <c r="F477" i="8" a="1"/>
  <c r="F477" i="8" s="1"/>
  <c r="F478" i="8" a="1"/>
  <c r="F478" i="8" s="1"/>
  <c r="F479" i="8" a="1"/>
  <c r="F479" i="8" s="1"/>
  <c r="F480" i="8" a="1"/>
  <c r="F480" i="8" s="1"/>
  <c r="F481" i="8" a="1"/>
  <c r="F481" i="8" s="1"/>
  <c r="F482" i="8" a="1"/>
  <c r="F482" i="8" s="1"/>
  <c r="F483" i="8" a="1"/>
  <c r="F483" i="8" s="1"/>
  <c r="F484" i="8" a="1"/>
  <c r="F484" i="8" s="1"/>
  <c r="F485" i="8" a="1"/>
  <c r="F485" i="8" s="1"/>
  <c r="F486" i="8" a="1"/>
  <c r="F486" i="8" s="1"/>
  <c r="F487" i="8" a="1"/>
  <c r="F487" i="8" s="1"/>
  <c r="F488" i="8" a="1"/>
  <c r="F488" i="8" s="1"/>
  <c r="F489" i="8" a="1"/>
  <c r="F489" i="8" s="1"/>
  <c r="F490" i="8" a="1"/>
  <c r="F490" i="8" s="1"/>
  <c r="F491" i="8" a="1"/>
  <c r="F491" i="8" s="1"/>
  <c r="F492" i="8" a="1"/>
  <c r="F492" i="8" s="1"/>
  <c r="F493" i="8" a="1"/>
  <c r="F493" i="8" s="1"/>
  <c r="F494" i="8" a="1"/>
  <c r="F494" i="8" s="1"/>
  <c r="F495" i="8" a="1"/>
  <c r="F495" i="8" s="1"/>
  <c r="F496" i="8" a="1"/>
  <c r="F496" i="8" s="1"/>
  <c r="F497" i="8" a="1"/>
  <c r="F497" i="8" s="1"/>
  <c r="F498" i="8" a="1"/>
  <c r="F498" i="8" s="1"/>
  <c r="F499" i="8" a="1"/>
  <c r="F499" i="8" s="1"/>
  <c r="F500" i="8" a="1"/>
  <c r="F500" i="8" s="1"/>
  <c r="F238" i="7" a="1"/>
  <c r="F238" i="7" s="1"/>
  <c r="F239" i="7" a="1"/>
  <c r="F239" i="7" s="1"/>
  <c r="F240" i="7" a="1"/>
  <c r="F240" i="7"/>
  <c r="F241" i="7" a="1"/>
  <c r="F241" i="7" s="1"/>
  <c r="F242" i="7" a="1"/>
  <c r="F242" i="7" s="1"/>
  <c r="F243" i="7" a="1"/>
  <c r="F243" i="7" s="1"/>
  <c r="F244" i="7" a="1"/>
  <c r="F244" i="7"/>
  <c r="F245" i="7" a="1"/>
  <c r="F245" i="7" s="1"/>
  <c r="F246" i="7" a="1"/>
  <c r="F246" i="7" s="1"/>
  <c r="F247" i="7" a="1"/>
  <c r="F247" i="7" s="1"/>
  <c r="F248" i="7" a="1"/>
  <c r="F248" i="7"/>
  <c r="F249" i="7" a="1"/>
  <c r="F249" i="7" s="1"/>
  <c r="F250" i="7" a="1"/>
  <c r="F250" i="7" s="1"/>
  <c r="F251" i="7" a="1"/>
  <c r="F251" i="7" s="1"/>
  <c r="F252" i="7" a="1"/>
  <c r="F252" i="7"/>
  <c r="F253" i="7" a="1"/>
  <c r="F253" i="7" s="1"/>
  <c r="F254" i="7" a="1"/>
  <c r="F254" i="7" s="1"/>
  <c r="F255" i="7" a="1"/>
  <c r="F255" i="7" s="1"/>
  <c r="F256" i="7" a="1"/>
  <c r="F256" i="7"/>
  <c r="F257" i="7" a="1"/>
  <c r="F257" i="7" s="1"/>
  <c r="F258" i="7" a="1"/>
  <c r="F258" i="7" s="1"/>
  <c r="F259" i="7" a="1"/>
  <c r="F259" i="7" s="1"/>
  <c r="F260" i="7" a="1"/>
  <c r="F260" i="7"/>
  <c r="F261" i="7" a="1"/>
  <c r="F261" i="7" s="1"/>
  <c r="F262" i="7" a="1"/>
  <c r="F262" i="7" s="1"/>
  <c r="F263" i="7" a="1"/>
  <c r="F263" i="7" s="1"/>
  <c r="F264" i="7" a="1"/>
  <c r="F264" i="7"/>
  <c r="F265" i="7" a="1"/>
  <c r="F265" i="7" s="1"/>
  <c r="F266" i="7" a="1"/>
  <c r="F266" i="7" s="1"/>
  <c r="F267" i="7" a="1"/>
  <c r="F267" i="7" s="1"/>
  <c r="F268" i="7" a="1"/>
  <c r="F268" i="7"/>
  <c r="F269" i="7" a="1"/>
  <c r="F269" i="7" s="1"/>
  <c r="F270" i="7" a="1"/>
  <c r="F270" i="7" s="1"/>
  <c r="F271" i="7" a="1"/>
  <c r="F271" i="7" s="1"/>
  <c r="F272" i="7" a="1"/>
  <c r="F272" i="7"/>
  <c r="F273" i="7" a="1"/>
  <c r="F273" i="7" s="1"/>
  <c r="F274" i="7" a="1"/>
  <c r="F274" i="7" s="1"/>
  <c r="F275" i="7" a="1"/>
  <c r="F275" i="7" s="1"/>
  <c r="F276" i="7" a="1"/>
  <c r="F276" i="7"/>
  <c r="F277" i="7" a="1"/>
  <c r="F277" i="7" s="1"/>
  <c r="F278" i="7" a="1"/>
  <c r="F278" i="7" s="1"/>
  <c r="F279" i="7" a="1"/>
  <c r="F279" i="7" s="1"/>
  <c r="F280" i="7" a="1"/>
  <c r="F280" i="7"/>
  <c r="F281" i="7" a="1"/>
  <c r="F281" i="7" s="1"/>
  <c r="F282" i="7" a="1"/>
  <c r="F282" i="7" s="1"/>
  <c r="F283" i="7" a="1"/>
  <c r="F283" i="7" s="1"/>
  <c r="F284" i="7" a="1"/>
  <c r="F284" i="7"/>
  <c r="F285" i="7" a="1"/>
  <c r="F285" i="7" s="1"/>
  <c r="F286" i="7" a="1"/>
  <c r="F286" i="7" s="1"/>
  <c r="F287" i="7" a="1"/>
  <c r="F287" i="7" s="1"/>
  <c r="F288" i="7" a="1"/>
  <c r="F288" i="7"/>
  <c r="F289" i="7" a="1"/>
  <c r="F289" i="7" s="1"/>
  <c r="F290" i="7" a="1"/>
  <c r="F290" i="7" s="1"/>
  <c r="F291" i="7" a="1"/>
  <c r="F291" i="7" s="1"/>
  <c r="F292" i="7" a="1"/>
  <c r="F292" i="7"/>
  <c r="F293" i="7" a="1"/>
  <c r="F293" i="7" s="1"/>
  <c r="F294" i="7" a="1"/>
  <c r="F294" i="7" s="1"/>
  <c r="F295" i="7" a="1"/>
  <c r="F295" i="7" s="1"/>
  <c r="F296" i="7" a="1"/>
  <c r="F296" i="7"/>
  <c r="F297" i="7" a="1"/>
  <c r="F297" i="7" s="1"/>
  <c r="F298" i="7" a="1"/>
  <c r="F298" i="7" s="1"/>
  <c r="F299" i="7" a="1"/>
  <c r="F299" i="7" s="1"/>
  <c r="F300" i="7" a="1"/>
  <c r="F300" i="7"/>
  <c r="F301" i="7" a="1"/>
  <c r="F301" i="7" s="1"/>
  <c r="F302" i="7" a="1"/>
  <c r="F302" i="7" s="1"/>
  <c r="F303" i="7" a="1"/>
  <c r="F303" i="7" s="1"/>
  <c r="F304" i="7" a="1"/>
  <c r="F304" i="7"/>
  <c r="F305" i="7" a="1"/>
  <c r="F305" i="7" s="1"/>
  <c r="F306" i="7" a="1"/>
  <c r="F306" i="7" s="1"/>
  <c r="F307" i="7" a="1"/>
  <c r="F307" i="7" s="1"/>
  <c r="F308" i="7" a="1"/>
  <c r="F308" i="7"/>
  <c r="F309" i="7" a="1"/>
  <c r="F309" i="7" s="1"/>
  <c r="F310" i="7" a="1"/>
  <c r="F310" i="7" s="1"/>
  <c r="F311" i="7" a="1"/>
  <c r="F311" i="7" s="1"/>
  <c r="F312" i="7" a="1"/>
  <c r="F312" i="7"/>
  <c r="F313" i="7" a="1"/>
  <c r="F313" i="7" s="1"/>
  <c r="F314" i="7" a="1"/>
  <c r="F314" i="7" s="1"/>
  <c r="F315" i="7" a="1"/>
  <c r="F315" i="7" s="1"/>
  <c r="F316" i="7" a="1"/>
  <c r="F316" i="7"/>
  <c r="F317" i="7" a="1"/>
  <c r="F317" i="7" s="1"/>
  <c r="F318" i="7" a="1"/>
  <c r="F318" i="7" s="1"/>
  <c r="F319" i="7" a="1"/>
  <c r="F319" i="7" s="1"/>
  <c r="F320" i="7" a="1"/>
  <c r="F320" i="7"/>
  <c r="F321" i="7" a="1"/>
  <c r="F321" i="7" s="1"/>
  <c r="F322" i="7" a="1"/>
  <c r="F322" i="7" s="1"/>
  <c r="F323" i="7" a="1"/>
  <c r="F323" i="7" s="1"/>
  <c r="F324" i="7" a="1"/>
  <c r="F324" i="7"/>
  <c r="F325" i="7" a="1"/>
  <c r="F325" i="7" s="1"/>
  <c r="F326" i="7" a="1"/>
  <c r="F326" i="7" s="1"/>
  <c r="F327" i="7" a="1"/>
  <c r="F327" i="7" s="1"/>
  <c r="F328" i="7" a="1"/>
  <c r="F328" i="7"/>
  <c r="F329" i="7" a="1"/>
  <c r="F329" i="7" s="1"/>
  <c r="F330" i="7" a="1"/>
  <c r="F330" i="7" s="1"/>
  <c r="F331" i="7" a="1"/>
  <c r="F331" i="7" s="1"/>
  <c r="F332" i="7" a="1"/>
  <c r="F332" i="7"/>
  <c r="F333" i="7" a="1"/>
  <c r="F333" i="7" s="1"/>
  <c r="F334" i="7" a="1"/>
  <c r="F334" i="7" s="1"/>
  <c r="F335" i="7" a="1"/>
  <c r="F335" i="7" s="1"/>
  <c r="F336" i="7" a="1"/>
  <c r="F336" i="7"/>
  <c r="F337" i="7" a="1"/>
  <c r="F337" i="7" s="1"/>
  <c r="F338" i="7" a="1"/>
  <c r="F338" i="7" s="1"/>
  <c r="F339" i="7" a="1"/>
  <c r="F339" i="7" s="1"/>
  <c r="F340" i="7" a="1"/>
  <c r="F340" i="7"/>
  <c r="F341" i="7" a="1"/>
  <c r="F341" i="7" s="1"/>
  <c r="F342" i="7" a="1"/>
  <c r="F342" i="7" s="1"/>
  <c r="F343" i="7" a="1"/>
  <c r="F343" i="7" s="1"/>
  <c r="F344" i="7" a="1"/>
  <c r="F344" i="7"/>
  <c r="F345" i="7" a="1"/>
  <c r="F345" i="7" s="1"/>
  <c r="F346" i="7" a="1"/>
  <c r="F346" i="7" s="1"/>
  <c r="F347" i="7" a="1"/>
  <c r="F347" i="7" s="1"/>
  <c r="F348" i="7" a="1"/>
  <c r="F348" i="7"/>
  <c r="F349" i="7" a="1"/>
  <c r="F349" i="7" s="1"/>
  <c r="F350" i="7" a="1"/>
  <c r="F350" i="7" s="1"/>
  <c r="F351" i="7" a="1"/>
  <c r="F351" i="7" s="1"/>
  <c r="F352" i="7" a="1"/>
  <c r="F352" i="7"/>
  <c r="F353" i="7" a="1"/>
  <c r="F353" i="7" s="1"/>
  <c r="F354" i="7" a="1"/>
  <c r="F354" i="7" s="1"/>
  <c r="F355" i="7" a="1"/>
  <c r="F355" i="7" s="1"/>
  <c r="F356" i="7" a="1"/>
  <c r="F356" i="7"/>
  <c r="F357" i="7" a="1"/>
  <c r="F357" i="7" s="1"/>
  <c r="F358" i="7" a="1"/>
  <c r="F358" i="7" s="1"/>
  <c r="F359" i="7" a="1"/>
  <c r="F359" i="7" s="1"/>
  <c r="F360" i="7" a="1"/>
  <c r="F360" i="7"/>
  <c r="F361" i="7" a="1"/>
  <c r="F361" i="7" s="1"/>
  <c r="F362" i="7" a="1"/>
  <c r="F362" i="7" s="1"/>
  <c r="F363" i="7" a="1"/>
  <c r="F363" i="7" s="1"/>
  <c r="F364" i="7" a="1"/>
  <c r="F364" i="7"/>
  <c r="F365" i="7" a="1"/>
  <c r="F365" i="7" s="1"/>
  <c r="F366" i="7" a="1"/>
  <c r="F366" i="7" s="1"/>
  <c r="F367" i="7" a="1"/>
  <c r="F367" i="7" s="1"/>
  <c r="F368" i="7" a="1"/>
  <c r="F368" i="7"/>
  <c r="F369" i="7" a="1"/>
  <c r="F369" i="7" s="1"/>
  <c r="F370" i="7" a="1"/>
  <c r="F370" i="7" s="1"/>
  <c r="F371" i="7" a="1"/>
  <c r="F371" i="7" s="1"/>
  <c r="F372" i="7" a="1"/>
  <c r="F372" i="7"/>
  <c r="F373" i="7" a="1"/>
  <c r="F373" i="7" s="1"/>
  <c r="F374" i="7" a="1"/>
  <c r="F374" i="7" s="1"/>
  <c r="F375" i="7" a="1"/>
  <c r="F375" i="7" s="1"/>
  <c r="F376" i="7" a="1"/>
  <c r="F376" i="7"/>
  <c r="F377" i="7" a="1"/>
  <c r="F377" i="7" s="1"/>
  <c r="F378" i="7" a="1"/>
  <c r="F378" i="7" s="1"/>
  <c r="F379" i="7" a="1"/>
  <c r="F379" i="7" s="1"/>
  <c r="F380" i="7" a="1"/>
  <c r="F380" i="7"/>
  <c r="F381" i="7" a="1"/>
  <c r="F381" i="7" s="1"/>
  <c r="F382" i="7" a="1"/>
  <c r="F382" i="7" s="1"/>
  <c r="F383" i="7" a="1"/>
  <c r="F383" i="7" s="1"/>
  <c r="F384" i="7" a="1"/>
  <c r="F384" i="7"/>
  <c r="F385" i="7" a="1"/>
  <c r="F385" i="7" s="1"/>
  <c r="F386" i="7" a="1"/>
  <c r="F386" i="7" s="1"/>
  <c r="F387" i="7" a="1"/>
  <c r="F387" i="7" s="1"/>
  <c r="F388" i="7" a="1"/>
  <c r="F388" i="7"/>
  <c r="F389" i="7" a="1"/>
  <c r="F389" i="7" s="1"/>
  <c r="F390" i="7" a="1"/>
  <c r="F390" i="7" s="1"/>
  <c r="F391" i="7" a="1"/>
  <c r="F391" i="7" s="1"/>
  <c r="F392" i="7" a="1"/>
  <c r="F392" i="7"/>
  <c r="F393" i="7" a="1"/>
  <c r="F393" i="7" s="1"/>
  <c r="F394" i="7" a="1"/>
  <c r="F394" i="7" s="1"/>
  <c r="F395" i="7" a="1"/>
  <c r="F395" i="7" s="1"/>
  <c r="F396" i="7" a="1"/>
  <c r="F396" i="7"/>
  <c r="F397" i="7" a="1"/>
  <c r="F397" i="7" s="1"/>
  <c r="F398" i="7" a="1"/>
  <c r="F398" i="7" s="1"/>
  <c r="F399" i="7" a="1"/>
  <c r="F399" i="7" s="1"/>
  <c r="F400" i="7" a="1"/>
  <c r="F400" i="7"/>
  <c r="F401" i="7" a="1"/>
  <c r="F401" i="7" s="1"/>
  <c r="F402" i="7" a="1"/>
  <c r="F402" i="7" s="1"/>
  <c r="F403" i="7" a="1"/>
  <c r="F403" i="7" s="1"/>
  <c r="F404" i="7" a="1"/>
  <c r="F404" i="7"/>
  <c r="F405" i="7" a="1"/>
  <c r="F405" i="7" s="1"/>
  <c r="F406" i="7" a="1"/>
  <c r="F406" i="7" s="1"/>
  <c r="F407" i="7" a="1"/>
  <c r="F407" i="7" s="1"/>
  <c r="F408" i="7" a="1"/>
  <c r="F408" i="7"/>
  <c r="F409" i="7" a="1"/>
  <c r="F409" i="7" s="1"/>
  <c r="F410" i="7" a="1"/>
  <c r="F410" i="7" s="1"/>
  <c r="F411" i="7" a="1"/>
  <c r="F411" i="7" s="1"/>
  <c r="F412" i="7" a="1"/>
  <c r="F412" i="7"/>
  <c r="F413" i="7" a="1"/>
  <c r="F413" i="7" s="1"/>
  <c r="F414" i="7" a="1"/>
  <c r="F414" i="7" s="1"/>
  <c r="F415" i="7" a="1"/>
  <c r="F415" i="7" s="1"/>
  <c r="F416" i="7" a="1"/>
  <c r="F416" i="7"/>
  <c r="F417" i="7" a="1"/>
  <c r="F417" i="7" s="1"/>
  <c r="F418" i="7" a="1"/>
  <c r="F418" i="7" s="1"/>
  <c r="F419" i="7" a="1"/>
  <c r="F419" i="7" s="1"/>
  <c r="F420" i="7" a="1"/>
  <c r="F420" i="7"/>
  <c r="F421" i="7" a="1"/>
  <c r="F421" i="7" s="1"/>
  <c r="F422" i="7" a="1"/>
  <c r="F422" i="7" s="1"/>
  <c r="F423" i="7" a="1"/>
  <c r="F423" i="7" s="1"/>
  <c r="F424" i="7" a="1"/>
  <c r="F424" i="7"/>
  <c r="F425" i="7" a="1"/>
  <c r="F425" i="7" s="1"/>
  <c r="F426" i="7" a="1"/>
  <c r="F426" i="7" s="1"/>
  <c r="F427" i="7" a="1"/>
  <c r="F427" i="7" s="1"/>
  <c r="F428" i="7" a="1"/>
  <c r="F428" i="7"/>
  <c r="F429" i="7" a="1"/>
  <c r="F429" i="7" s="1"/>
  <c r="F430" i="7" a="1"/>
  <c r="F430" i="7" s="1"/>
  <c r="F431" i="7" a="1"/>
  <c r="F431" i="7" s="1"/>
  <c r="F432" i="7" a="1"/>
  <c r="F432" i="7"/>
  <c r="F433" i="7" a="1"/>
  <c r="F433" i="7" s="1"/>
  <c r="F434" i="7" a="1"/>
  <c r="F434" i="7" s="1"/>
  <c r="F435" i="7" a="1"/>
  <c r="F435" i="7" s="1"/>
  <c r="F436" i="7" a="1"/>
  <c r="F436" i="7"/>
  <c r="F437" i="7" a="1"/>
  <c r="F437" i="7" s="1"/>
  <c r="F438" i="7" a="1"/>
  <c r="F438" i="7" s="1"/>
  <c r="F439" i="7" a="1"/>
  <c r="F439" i="7" s="1"/>
  <c r="F440" i="7" a="1"/>
  <c r="F440" i="7"/>
  <c r="F441" i="7" a="1"/>
  <c r="F441" i="7" s="1"/>
  <c r="F442" i="7" a="1"/>
  <c r="F442" i="7" s="1"/>
  <c r="F443" i="7" a="1"/>
  <c r="F443" i="7" s="1"/>
  <c r="F444" i="7" a="1"/>
  <c r="F444" i="7"/>
  <c r="F445" i="7" a="1"/>
  <c r="F445" i="7" s="1"/>
  <c r="F446" i="7" a="1"/>
  <c r="F446" i="7" s="1"/>
  <c r="F447" i="7" a="1"/>
  <c r="F447" i="7" s="1"/>
  <c r="F448" i="7" a="1"/>
  <c r="F448" i="7"/>
  <c r="F449" i="7" a="1"/>
  <c r="F449" i="7" s="1"/>
  <c r="F450" i="7" a="1"/>
  <c r="F450" i="7" s="1"/>
  <c r="F451" i="7" a="1"/>
  <c r="F451" i="7" s="1"/>
  <c r="F452" i="7" a="1"/>
  <c r="F452" i="7"/>
  <c r="F453" i="7" a="1"/>
  <c r="F453" i="7" s="1"/>
  <c r="F454" i="7" a="1"/>
  <c r="F454" i="7" s="1"/>
  <c r="F455" i="7" a="1"/>
  <c r="F455" i="7" s="1"/>
  <c r="F456" i="7" a="1"/>
  <c r="F456" i="7"/>
  <c r="F457" i="7" a="1"/>
  <c r="F457" i="7" s="1"/>
  <c r="F458" i="7" a="1"/>
  <c r="F458" i="7" s="1"/>
  <c r="F459" i="7" a="1"/>
  <c r="F459" i="7" s="1"/>
  <c r="F460" i="7" a="1"/>
  <c r="F460" i="7"/>
  <c r="F461" i="7" a="1"/>
  <c r="F461" i="7" s="1"/>
  <c r="F462" i="7" a="1"/>
  <c r="F462" i="7" s="1"/>
  <c r="F463" i="7" a="1"/>
  <c r="F463" i="7" s="1"/>
  <c r="F464" i="7" a="1"/>
  <c r="F464" i="7"/>
  <c r="F465" i="7" a="1"/>
  <c r="F465" i="7" s="1"/>
  <c r="F466" i="7" a="1"/>
  <c r="F466" i="7" s="1"/>
  <c r="F467" i="7" a="1"/>
  <c r="F467" i="7" s="1"/>
  <c r="F468" i="7" a="1"/>
  <c r="F468" i="7"/>
  <c r="F469" i="7" a="1"/>
  <c r="F469" i="7" s="1"/>
  <c r="F470" i="7" a="1"/>
  <c r="F470" i="7" s="1"/>
  <c r="F471" i="7" a="1"/>
  <c r="F471" i="7" s="1"/>
  <c r="F472" i="7" a="1"/>
  <c r="F472" i="7"/>
  <c r="F473" i="7" a="1"/>
  <c r="F473" i="7" s="1"/>
  <c r="F474" i="7" a="1"/>
  <c r="F474" i="7" s="1"/>
  <c r="F475" i="7" a="1"/>
  <c r="F475" i="7" s="1"/>
  <c r="F476" i="7" a="1"/>
  <c r="F476" i="7"/>
  <c r="F477" i="7" a="1"/>
  <c r="F477" i="7" s="1"/>
  <c r="F478" i="7" a="1"/>
  <c r="F478" i="7" s="1"/>
  <c r="F479" i="7" a="1"/>
  <c r="F479" i="7" s="1"/>
  <c r="F480" i="7" a="1"/>
  <c r="F480" i="7"/>
  <c r="F481" i="7" a="1"/>
  <c r="F481" i="7" s="1"/>
  <c r="F482" i="7" a="1"/>
  <c r="F482" i="7" s="1"/>
  <c r="F483" i="7" a="1"/>
  <c r="F483" i="7" s="1"/>
  <c r="F484" i="7" a="1"/>
  <c r="F484" i="7"/>
  <c r="F485" i="7" a="1"/>
  <c r="F485" i="7" s="1"/>
  <c r="F486" i="7" a="1"/>
  <c r="F486" i="7" s="1"/>
  <c r="F487" i="7" a="1"/>
  <c r="F487" i="7" s="1"/>
  <c r="F488" i="7" a="1"/>
  <c r="F488" i="7"/>
  <c r="F489" i="7" a="1"/>
  <c r="F489" i="7" s="1"/>
  <c r="F490" i="7" a="1"/>
  <c r="F490" i="7" s="1"/>
  <c r="F491" i="7" a="1"/>
  <c r="F491" i="7" s="1"/>
  <c r="F492" i="7" a="1"/>
  <c r="F492" i="7"/>
  <c r="F493" i="7" a="1"/>
  <c r="F493" i="7" s="1"/>
  <c r="F494" i="7" a="1"/>
  <c r="F494" i="7" s="1"/>
  <c r="F495" i="7" a="1"/>
  <c r="F495" i="7" s="1"/>
  <c r="F496" i="7" a="1"/>
  <c r="F496" i="7"/>
  <c r="F497" i="7" a="1"/>
  <c r="F497" i="7" s="1"/>
  <c r="F498" i="7" a="1"/>
  <c r="F498" i="7" s="1"/>
  <c r="F499" i="7" a="1"/>
  <c r="F499" i="7" s="1"/>
  <c r="F500" i="7" a="1"/>
  <c r="F500" i="7"/>
  <c r="F238" i="6" a="1"/>
  <c r="F238" i="6" s="1"/>
  <c r="F239" i="6" a="1"/>
  <c r="F239" i="6" s="1"/>
  <c r="F240" i="6" a="1"/>
  <c r="F240" i="6"/>
  <c r="F241" i="6" a="1"/>
  <c r="F241" i="6" s="1"/>
  <c r="F242" i="6" a="1"/>
  <c r="F242" i="6" s="1"/>
  <c r="F243" i="6" a="1"/>
  <c r="F243" i="6" s="1"/>
  <c r="F244" i="6" a="1"/>
  <c r="F244" i="6"/>
  <c r="F245" i="6" a="1"/>
  <c r="F245" i="6" s="1"/>
  <c r="F246" i="6" a="1"/>
  <c r="F246" i="6" s="1"/>
  <c r="F247" i="6" a="1"/>
  <c r="F247" i="6" s="1"/>
  <c r="F248" i="6" a="1"/>
  <c r="F248" i="6"/>
  <c r="F249" i="6" a="1"/>
  <c r="F249" i="6" s="1"/>
  <c r="F250" i="6" a="1"/>
  <c r="F250" i="6" s="1"/>
  <c r="F251" i="6" a="1"/>
  <c r="F251" i="6" s="1"/>
  <c r="F252" i="6" a="1"/>
  <c r="F252" i="6"/>
  <c r="F253" i="6" a="1"/>
  <c r="F253" i="6" s="1"/>
  <c r="F254" i="6" a="1"/>
  <c r="F254" i="6" s="1"/>
  <c r="F255" i="6" a="1"/>
  <c r="F255" i="6" s="1"/>
  <c r="F256" i="6" a="1"/>
  <c r="F256" i="6"/>
  <c r="F257" i="6" a="1"/>
  <c r="F257" i="6" s="1"/>
  <c r="F258" i="6" a="1"/>
  <c r="F258" i="6" s="1"/>
  <c r="F259" i="6" a="1"/>
  <c r="F259" i="6" s="1"/>
  <c r="F260" i="6" a="1"/>
  <c r="F260" i="6"/>
  <c r="F261" i="6" a="1"/>
  <c r="F261" i="6" s="1"/>
  <c r="F262" i="6" a="1"/>
  <c r="F262" i="6" s="1"/>
  <c r="F263" i="6" a="1"/>
  <c r="F263" i="6" s="1"/>
  <c r="F264" i="6" a="1"/>
  <c r="F264" i="6"/>
  <c r="F265" i="6" a="1"/>
  <c r="F265" i="6" s="1"/>
  <c r="F266" i="6" a="1"/>
  <c r="F266" i="6" s="1"/>
  <c r="F267" i="6" a="1"/>
  <c r="F267" i="6" s="1"/>
  <c r="F268" i="6" a="1"/>
  <c r="F268" i="6"/>
  <c r="F269" i="6" a="1"/>
  <c r="F269" i="6" s="1"/>
  <c r="F270" i="6" a="1"/>
  <c r="F270" i="6" s="1"/>
  <c r="F271" i="6" a="1"/>
  <c r="F271" i="6" s="1"/>
  <c r="F272" i="6" a="1"/>
  <c r="F272" i="6"/>
  <c r="F273" i="6" a="1"/>
  <c r="F273" i="6" s="1"/>
  <c r="F274" i="6" a="1"/>
  <c r="F274" i="6" s="1"/>
  <c r="F275" i="6" a="1"/>
  <c r="F275" i="6" s="1"/>
  <c r="F276" i="6" a="1"/>
  <c r="F276" i="6"/>
  <c r="F277" i="6" a="1"/>
  <c r="F277" i="6" s="1"/>
  <c r="F278" i="6" a="1"/>
  <c r="F278" i="6" s="1"/>
  <c r="F279" i="6" a="1"/>
  <c r="F279" i="6" s="1"/>
  <c r="F280" i="6" a="1"/>
  <c r="F280" i="6"/>
  <c r="F281" i="6" a="1"/>
  <c r="F281" i="6" s="1"/>
  <c r="F282" i="6" a="1"/>
  <c r="F282" i="6" s="1"/>
  <c r="F283" i="6" a="1"/>
  <c r="F283" i="6" s="1"/>
  <c r="F284" i="6" a="1"/>
  <c r="F284" i="6"/>
  <c r="F285" i="6" a="1"/>
  <c r="F285" i="6" s="1"/>
  <c r="F286" i="6" a="1"/>
  <c r="F286" i="6" s="1"/>
  <c r="F287" i="6" a="1"/>
  <c r="F287" i="6" s="1"/>
  <c r="F288" i="6" a="1"/>
  <c r="F288" i="6"/>
  <c r="F289" i="6" a="1"/>
  <c r="F289" i="6" s="1"/>
  <c r="F290" i="6" a="1"/>
  <c r="F290" i="6" s="1"/>
  <c r="F291" i="6" a="1"/>
  <c r="F291" i="6" s="1"/>
  <c r="F292" i="6" a="1"/>
  <c r="F292" i="6"/>
  <c r="F293" i="6" a="1"/>
  <c r="F293" i="6" s="1"/>
  <c r="F294" i="6" a="1"/>
  <c r="F294" i="6" s="1"/>
  <c r="F295" i="6" a="1"/>
  <c r="F295" i="6" s="1"/>
  <c r="F296" i="6" a="1"/>
  <c r="F296" i="6"/>
  <c r="F297" i="6" a="1"/>
  <c r="F297" i="6" s="1"/>
  <c r="F298" i="6" a="1"/>
  <c r="F298" i="6" s="1"/>
  <c r="F299" i="6" a="1"/>
  <c r="F299" i="6" s="1"/>
  <c r="F300" i="6" a="1"/>
  <c r="F300" i="6"/>
  <c r="F301" i="6" a="1"/>
  <c r="F301" i="6" s="1"/>
  <c r="F302" i="6" a="1"/>
  <c r="F302" i="6" s="1"/>
  <c r="F303" i="6" a="1"/>
  <c r="F303" i="6" s="1"/>
  <c r="F304" i="6" a="1"/>
  <c r="F304" i="6"/>
  <c r="F305" i="6" a="1"/>
  <c r="F305" i="6" s="1"/>
  <c r="F306" i="6" a="1"/>
  <c r="F306" i="6" s="1"/>
  <c r="F307" i="6" a="1"/>
  <c r="F307" i="6" s="1"/>
  <c r="F308" i="6" a="1"/>
  <c r="F308" i="6"/>
  <c r="F309" i="6" a="1"/>
  <c r="F309" i="6" s="1"/>
  <c r="F310" i="6" a="1"/>
  <c r="F310" i="6" s="1"/>
  <c r="F311" i="6" a="1"/>
  <c r="F311" i="6" s="1"/>
  <c r="F312" i="6" a="1"/>
  <c r="F312" i="6"/>
  <c r="F313" i="6" a="1"/>
  <c r="F313" i="6" s="1"/>
  <c r="F314" i="6" a="1"/>
  <c r="F314" i="6" s="1"/>
  <c r="F315" i="6" a="1"/>
  <c r="F315" i="6" s="1"/>
  <c r="F316" i="6" a="1"/>
  <c r="F316" i="6"/>
  <c r="F317" i="6" a="1"/>
  <c r="F317" i="6" s="1"/>
  <c r="F318" i="6" a="1"/>
  <c r="F318" i="6" s="1"/>
  <c r="F319" i="6" a="1"/>
  <c r="F319" i="6" s="1"/>
  <c r="F320" i="6" a="1"/>
  <c r="F320" i="6"/>
  <c r="F321" i="6" a="1"/>
  <c r="F321" i="6" s="1"/>
  <c r="F322" i="6" a="1"/>
  <c r="F322" i="6" s="1"/>
  <c r="F323" i="6" a="1"/>
  <c r="F323" i="6" s="1"/>
  <c r="F324" i="6" a="1"/>
  <c r="F324" i="6"/>
  <c r="F325" i="6" a="1"/>
  <c r="F325" i="6" s="1"/>
  <c r="F326" i="6" a="1"/>
  <c r="F326" i="6" s="1"/>
  <c r="F327" i="6" a="1"/>
  <c r="F327" i="6" s="1"/>
  <c r="F328" i="6" a="1"/>
  <c r="F328" i="6"/>
  <c r="F329" i="6" a="1"/>
  <c r="F329" i="6" s="1"/>
  <c r="F330" i="6" a="1"/>
  <c r="F330" i="6" s="1"/>
  <c r="F331" i="6" a="1"/>
  <c r="F331" i="6" s="1"/>
  <c r="F332" i="6" a="1"/>
  <c r="F332" i="6"/>
  <c r="F333" i="6" a="1"/>
  <c r="F333" i="6" s="1"/>
  <c r="F334" i="6" a="1"/>
  <c r="F334" i="6" s="1"/>
  <c r="F335" i="6" a="1"/>
  <c r="F335" i="6" s="1"/>
  <c r="F336" i="6" a="1"/>
  <c r="F336" i="6"/>
  <c r="F337" i="6" a="1"/>
  <c r="F337" i="6" s="1"/>
  <c r="F338" i="6" a="1"/>
  <c r="F338" i="6" s="1"/>
  <c r="F339" i="6" a="1"/>
  <c r="F339" i="6" s="1"/>
  <c r="F340" i="6" a="1"/>
  <c r="F340" i="6"/>
  <c r="F341" i="6" a="1"/>
  <c r="F341" i="6" s="1"/>
  <c r="F342" i="6" a="1"/>
  <c r="F342" i="6" s="1"/>
  <c r="F343" i="6" a="1"/>
  <c r="F343" i="6" s="1"/>
  <c r="F344" i="6" a="1"/>
  <c r="F344" i="6"/>
  <c r="F345" i="6" a="1"/>
  <c r="F345" i="6" s="1"/>
  <c r="F346" i="6" a="1"/>
  <c r="F346" i="6" s="1"/>
  <c r="F347" i="6" a="1"/>
  <c r="F347" i="6" s="1"/>
  <c r="F348" i="6" a="1"/>
  <c r="F348" i="6"/>
  <c r="F349" i="6" a="1"/>
  <c r="F349" i="6" s="1"/>
  <c r="F350" i="6" a="1"/>
  <c r="F350" i="6" s="1"/>
  <c r="F351" i="6" a="1"/>
  <c r="F351" i="6" s="1"/>
  <c r="F352" i="6" a="1"/>
  <c r="F352" i="6"/>
  <c r="F353" i="6" a="1"/>
  <c r="F353" i="6" s="1"/>
  <c r="F354" i="6" a="1"/>
  <c r="F354" i="6" s="1"/>
  <c r="F355" i="6" a="1"/>
  <c r="F355" i="6" s="1"/>
  <c r="F356" i="6" a="1"/>
  <c r="F356" i="6"/>
  <c r="F357" i="6" a="1"/>
  <c r="F357" i="6" s="1"/>
  <c r="F358" i="6" a="1"/>
  <c r="F358" i="6" s="1"/>
  <c r="F359" i="6" a="1"/>
  <c r="F359" i="6" s="1"/>
  <c r="F360" i="6" a="1"/>
  <c r="F360" i="6"/>
  <c r="F361" i="6" a="1"/>
  <c r="F361" i="6" s="1"/>
  <c r="F362" i="6" a="1"/>
  <c r="F362" i="6" s="1"/>
  <c r="F363" i="6" a="1"/>
  <c r="F363" i="6" s="1"/>
  <c r="F364" i="6" a="1"/>
  <c r="F364" i="6"/>
  <c r="F365" i="6" a="1"/>
  <c r="F365" i="6" s="1"/>
  <c r="F366" i="6" a="1"/>
  <c r="F366" i="6" s="1"/>
  <c r="F367" i="6" a="1"/>
  <c r="F367" i="6" s="1"/>
  <c r="F368" i="6" a="1"/>
  <c r="F368" i="6"/>
  <c r="F369" i="6" a="1"/>
  <c r="F369" i="6" s="1"/>
  <c r="F370" i="6" a="1"/>
  <c r="F370" i="6" s="1"/>
  <c r="F371" i="6" a="1"/>
  <c r="F371" i="6" s="1"/>
  <c r="F372" i="6" a="1"/>
  <c r="F372" i="6"/>
  <c r="F373" i="6" a="1"/>
  <c r="F373" i="6" s="1"/>
  <c r="F374" i="6" a="1"/>
  <c r="F374" i="6" s="1"/>
  <c r="F375" i="6" a="1"/>
  <c r="F375" i="6" s="1"/>
  <c r="F376" i="6" a="1"/>
  <c r="F376" i="6"/>
  <c r="F377" i="6" a="1"/>
  <c r="F377" i="6" s="1"/>
  <c r="F378" i="6" a="1"/>
  <c r="F378" i="6" s="1"/>
  <c r="F379" i="6" a="1"/>
  <c r="F379" i="6" s="1"/>
  <c r="F380" i="6" a="1"/>
  <c r="F380" i="6"/>
  <c r="F381" i="6" a="1"/>
  <c r="F381" i="6" s="1"/>
  <c r="F382" i="6" a="1"/>
  <c r="F382" i="6" s="1"/>
  <c r="F383" i="6" a="1"/>
  <c r="F383" i="6" s="1"/>
  <c r="F384" i="6" a="1"/>
  <c r="F384" i="6"/>
  <c r="F385" i="6" a="1"/>
  <c r="F385" i="6" s="1"/>
  <c r="F386" i="6" a="1"/>
  <c r="F386" i="6" s="1"/>
  <c r="F387" i="6" a="1"/>
  <c r="F387" i="6" s="1"/>
  <c r="F388" i="6" a="1"/>
  <c r="F388" i="6"/>
  <c r="F389" i="6" a="1"/>
  <c r="F389" i="6" s="1"/>
  <c r="F390" i="6" a="1"/>
  <c r="F390" i="6" s="1"/>
  <c r="F391" i="6" a="1"/>
  <c r="F391" i="6" s="1"/>
  <c r="F392" i="6" a="1"/>
  <c r="F392" i="6"/>
  <c r="F393" i="6" a="1"/>
  <c r="F393" i="6" s="1"/>
  <c r="F394" i="6" a="1"/>
  <c r="F394" i="6" s="1"/>
  <c r="F395" i="6" a="1"/>
  <c r="F395" i="6" s="1"/>
  <c r="F396" i="6" a="1"/>
  <c r="F396" i="6"/>
  <c r="F397" i="6" a="1"/>
  <c r="F397" i="6" s="1"/>
  <c r="F398" i="6" a="1"/>
  <c r="F398" i="6" s="1"/>
  <c r="F399" i="6" a="1"/>
  <c r="F399" i="6" s="1"/>
  <c r="F400" i="6" a="1"/>
  <c r="F400" i="6"/>
  <c r="F401" i="6" a="1"/>
  <c r="F401" i="6" s="1"/>
  <c r="F402" i="6" a="1"/>
  <c r="F402" i="6" s="1"/>
  <c r="F403" i="6" a="1"/>
  <c r="F403" i="6" s="1"/>
  <c r="F404" i="6" a="1"/>
  <c r="F404" i="6"/>
  <c r="F405" i="6" a="1"/>
  <c r="F405" i="6" s="1"/>
  <c r="F406" i="6" a="1"/>
  <c r="F406" i="6" s="1"/>
  <c r="F407" i="6" a="1"/>
  <c r="F407" i="6" s="1"/>
  <c r="F408" i="6" a="1"/>
  <c r="F408" i="6"/>
  <c r="F409" i="6" a="1"/>
  <c r="F409" i="6" s="1"/>
  <c r="F410" i="6" a="1"/>
  <c r="F410" i="6" s="1"/>
  <c r="F411" i="6" a="1"/>
  <c r="F411" i="6" s="1"/>
  <c r="F412" i="6" a="1"/>
  <c r="F412" i="6"/>
  <c r="F413" i="6" a="1"/>
  <c r="F413" i="6" s="1"/>
  <c r="F414" i="6" a="1"/>
  <c r="F414" i="6" s="1"/>
  <c r="F415" i="6" a="1"/>
  <c r="F415" i="6" s="1"/>
  <c r="F416" i="6" a="1"/>
  <c r="F416" i="6"/>
  <c r="F417" i="6" a="1"/>
  <c r="F417" i="6" s="1"/>
  <c r="F418" i="6" a="1"/>
  <c r="F418" i="6" s="1"/>
  <c r="F419" i="6" a="1"/>
  <c r="F419" i="6" s="1"/>
  <c r="F420" i="6" a="1"/>
  <c r="F420" i="6"/>
  <c r="F421" i="6" a="1"/>
  <c r="F421" i="6" s="1"/>
  <c r="F422" i="6" a="1"/>
  <c r="F422" i="6" s="1"/>
  <c r="F423" i="6" a="1"/>
  <c r="F423" i="6" s="1"/>
  <c r="F424" i="6" a="1"/>
  <c r="F424" i="6"/>
  <c r="F425" i="6" a="1"/>
  <c r="F425" i="6" s="1"/>
  <c r="F426" i="6" a="1"/>
  <c r="F426" i="6" s="1"/>
  <c r="F427" i="6" a="1"/>
  <c r="F427" i="6" s="1"/>
  <c r="F428" i="6" a="1"/>
  <c r="F428" i="6"/>
  <c r="F429" i="6" a="1"/>
  <c r="F429" i="6" s="1"/>
  <c r="F430" i="6" a="1"/>
  <c r="F430" i="6" s="1"/>
  <c r="F431" i="6" a="1"/>
  <c r="F431" i="6" s="1"/>
  <c r="F432" i="6" a="1"/>
  <c r="F432" i="6"/>
  <c r="F433" i="6" a="1"/>
  <c r="F433" i="6" s="1"/>
  <c r="F434" i="6" a="1"/>
  <c r="F434" i="6" s="1"/>
  <c r="F435" i="6" a="1"/>
  <c r="F435" i="6" s="1"/>
  <c r="F436" i="6" a="1"/>
  <c r="F436" i="6"/>
  <c r="F437" i="6" a="1"/>
  <c r="F437" i="6" s="1"/>
  <c r="F438" i="6" a="1"/>
  <c r="F438" i="6" s="1"/>
  <c r="F439" i="6" a="1"/>
  <c r="F439" i="6" s="1"/>
  <c r="F440" i="6" a="1"/>
  <c r="F440" i="6"/>
  <c r="F441" i="6" a="1"/>
  <c r="F441" i="6" s="1"/>
  <c r="F442" i="6" a="1"/>
  <c r="F442" i="6" s="1"/>
  <c r="F443" i="6" a="1"/>
  <c r="F443" i="6" s="1"/>
  <c r="F444" i="6" a="1"/>
  <c r="F444" i="6"/>
  <c r="F445" i="6" a="1"/>
  <c r="F445" i="6" s="1"/>
  <c r="F446" i="6" a="1"/>
  <c r="F446" i="6" s="1"/>
  <c r="F447" i="6" a="1"/>
  <c r="F447" i="6" s="1"/>
  <c r="F448" i="6" a="1"/>
  <c r="F448" i="6"/>
  <c r="F449" i="6" a="1"/>
  <c r="F449" i="6" s="1"/>
  <c r="F450" i="6" a="1"/>
  <c r="F450" i="6" s="1"/>
  <c r="F451" i="6" a="1"/>
  <c r="F451" i="6" s="1"/>
  <c r="F452" i="6" a="1"/>
  <c r="F452" i="6"/>
  <c r="F453" i="6" a="1"/>
  <c r="F453" i="6" s="1"/>
  <c r="F454" i="6" a="1"/>
  <c r="F454" i="6" s="1"/>
  <c r="F455" i="6" a="1"/>
  <c r="F455" i="6" s="1"/>
  <c r="F456" i="6" a="1"/>
  <c r="F456" i="6"/>
  <c r="F457" i="6" a="1"/>
  <c r="F457" i="6" s="1"/>
  <c r="F458" i="6" a="1"/>
  <c r="F458" i="6" s="1"/>
  <c r="F459" i="6" a="1"/>
  <c r="F459" i="6" s="1"/>
  <c r="F460" i="6" a="1"/>
  <c r="F460" i="6"/>
  <c r="F461" i="6" a="1"/>
  <c r="F461" i="6" s="1"/>
  <c r="F462" i="6" a="1"/>
  <c r="F462" i="6" s="1"/>
  <c r="F463" i="6" a="1"/>
  <c r="F463" i="6" s="1"/>
  <c r="F464" i="6" a="1"/>
  <c r="F464" i="6" s="1"/>
  <c r="F465" i="6" a="1"/>
  <c r="F465" i="6" s="1"/>
  <c r="F466" i="6" a="1"/>
  <c r="F466" i="6" s="1"/>
  <c r="F467" i="6" a="1"/>
  <c r="F467" i="6" s="1"/>
  <c r="F468" i="6" a="1"/>
  <c r="F468" i="6"/>
  <c r="F469" i="6" a="1"/>
  <c r="F469" i="6" s="1"/>
  <c r="F470" i="6" a="1"/>
  <c r="F470" i="6" s="1"/>
  <c r="F471" i="6" a="1"/>
  <c r="F471" i="6" s="1"/>
  <c r="F472" i="6" a="1"/>
  <c r="F472" i="6" s="1"/>
  <c r="F473" i="6" a="1"/>
  <c r="F473" i="6" s="1"/>
  <c r="F474" i="6" a="1"/>
  <c r="F474" i="6" s="1"/>
  <c r="F475" i="6" a="1"/>
  <c r="F475" i="6" s="1"/>
  <c r="F476" i="6" a="1"/>
  <c r="F476" i="6" s="1"/>
  <c r="F477" i="6" a="1"/>
  <c r="F477" i="6" s="1"/>
  <c r="F478" i="6" a="1"/>
  <c r="F478" i="6" s="1"/>
  <c r="F479" i="6" a="1"/>
  <c r="F479" i="6" s="1"/>
  <c r="F480" i="6" a="1"/>
  <c r="F480" i="6" s="1"/>
  <c r="F481" i="6" a="1"/>
  <c r="F481" i="6" s="1"/>
  <c r="F482" i="6" a="1"/>
  <c r="F482" i="6" s="1"/>
  <c r="F483" i="6" a="1"/>
  <c r="F483" i="6" s="1"/>
  <c r="F484" i="6" a="1"/>
  <c r="F484" i="6" s="1"/>
  <c r="F485" i="6" a="1"/>
  <c r="F485" i="6" s="1"/>
  <c r="F486" i="6" a="1"/>
  <c r="F486" i="6" s="1"/>
  <c r="F487" i="6" a="1"/>
  <c r="F487" i="6" s="1"/>
  <c r="F488" i="6" a="1"/>
  <c r="F488" i="6" s="1"/>
  <c r="F489" i="6" a="1"/>
  <c r="F489" i="6" s="1"/>
  <c r="F490" i="6" a="1"/>
  <c r="F490" i="6" s="1"/>
  <c r="F491" i="6" a="1"/>
  <c r="F491" i="6" s="1"/>
  <c r="F492" i="6" a="1"/>
  <c r="F492" i="6" s="1"/>
  <c r="F493" i="6" a="1"/>
  <c r="F493" i="6" s="1"/>
  <c r="F494" i="6" a="1"/>
  <c r="F494" i="6" s="1"/>
  <c r="F495" i="6" a="1"/>
  <c r="F495" i="6" s="1"/>
  <c r="F496" i="6" a="1"/>
  <c r="F496" i="6" s="1"/>
  <c r="F497" i="6" a="1"/>
  <c r="F497" i="6" s="1"/>
  <c r="F498" i="6" a="1"/>
  <c r="F498" i="6" s="1"/>
  <c r="F499" i="6" a="1"/>
  <c r="F499" i="6" s="1"/>
  <c r="F500" i="6" a="1"/>
  <c r="F500" i="6" s="1"/>
  <c r="F238" i="5" a="1"/>
  <c r="F238" i="5" s="1"/>
  <c r="F239" i="5" a="1"/>
  <c r="F239" i="5" s="1"/>
  <c r="F240" i="5" a="1"/>
  <c r="F240" i="5"/>
  <c r="F241" i="5" a="1"/>
  <c r="F241" i="5" s="1"/>
  <c r="F242" i="5" a="1"/>
  <c r="F242" i="5" s="1"/>
  <c r="F243" i="5" a="1"/>
  <c r="F243" i="5" s="1"/>
  <c r="F244" i="5" a="1"/>
  <c r="F244" i="5"/>
  <c r="F245" i="5" a="1"/>
  <c r="F245" i="5" s="1"/>
  <c r="F246" i="5" a="1"/>
  <c r="F246" i="5" s="1"/>
  <c r="F247" i="5" a="1"/>
  <c r="F247" i="5" s="1"/>
  <c r="F248" i="5" a="1"/>
  <c r="F248" i="5"/>
  <c r="F249" i="5" a="1"/>
  <c r="F249" i="5" s="1"/>
  <c r="F250" i="5" a="1"/>
  <c r="F250" i="5" s="1"/>
  <c r="F251" i="5" a="1"/>
  <c r="F251" i="5" s="1"/>
  <c r="F252" i="5" a="1"/>
  <c r="F252" i="5"/>
  <c r="F253" i="5" a="1"/>
  <c r="F253" i="5" s="1"/>
  <c r="F254" i="5" a="1"/>
  <c r="F254" i="5" s="1"/>
  <c r="F255" i="5" a="1"/>
  <c r="F255" i="5" s="1"/>
  <c r="F256" i="5" a="1"/>
  <c r="F256" i="5"/>
  <c r="F257" i="5" a="1"/>
  <c r="F257" i="5" s="1"/>
  <c r="F258" i="5" a="1"/>
  <c r="F258" i="5" s="1"/>
  <c r="F259" i="5" a="1"/>
  <c r="F259" i="5" s="1"/>
  <c r="F260" i="5" a="1"/>
  <c r="F260" i="5"/>
  <c r="F261" i="5" a="1"/>
  <c r="F261" i="5" s="1"/>
  <c r="F262" i="5" a="1"/>
  <c r="F262" i="5" s="1"/>
  <c r="F263" i="5" a="1"/>
  <c r="F263" i="5" s="1"/>
  <c r="F264" i="5" a="1"/>
  <c r="F264" i="5"/>
  <c r="F265" i="5" a="1"/>
  <c r="F265" i="5" s="1"/>
  <c r="F266" i="5" a="1"/>
  <c r="F266" i="5" s="1"/>
  <c r="F267" i="5" a="1"/>
  <c r="F267" i="5" s="1"/>
  <c r="F268" i="5" a="1"/>
  <c r="F268" i="5"/>
  <c r="F269" i="5" a="1"/>
  <c r="F269" i="5" s="1"/>
  <c r="F270" i="5" a="1"/>
  <c r="F270" i="5" s="1"/>
  <c r="F271" i="5" a="1"/>
  <c r="F271" i="5" s="1"/>
  <c r="F272" i="5" a="1"/>
  <c r="F272" i="5"/>
  <c r="F273" i="5" a="1"/>
  <c r="F273" i="5" s="1"/>
  <c r="F274" i="5" a="1"/>
  <c r="F274" i="5" s="1"/>
  <c r="F275" i="5" a="1"/>
  <c r="F275" i="5" s="1"/>
  <c r="F276" i="5" a="1"/>
  <c r="F276" i="5"/>
  <c r="F277" i="5" a="1"/>
  <c r="F277" i="5" s="1"/>
  <c r="F278" i="5" a="1"/>
  <c r="F278" i="5" s="1"/>
  <c r="F279" i="5" a="1"/>
  <c r="F279" i="5" s="1"/>
  <c r="F280" i="5" a="1"/>
  <c r="F280" i="5" s="1"/>
  <c r="F281" i="5" a="1"/>
  <c r="F281" i="5" s="1"/>
  <c r="F282" i="5" a="1"/>
  <c r="F282" i="5" s="1"/>
  <c r="F283" i="5" a="1"/>
  <c r="F283" i="5" s="1"/>
  <c r="F284" i="5" a="1"/>
  <c r="F284" i="5" s="1"/>
  <c r="F285" i="5" a="1"/>
  <c r="F285" i="5" s="1"/>
  <c r="F286" i="5" a="1"/>
  <c r="F286" i="5" s="1"/>
  <c r="F287" i="5" a="1"/>
  <c r="F287" i="5" s="1"/>
  <c r="F288" i="5" a="1"/>
  <c r="F288" i="5" s="1"/>
  <c r="F289" i="5" a="1"/>
  <c r="F289" i="5" s="1"/>
  <c r="F290" i="5" a="1"/>
  <c r="F290" i="5" s="1"/>
  <c r="F291" i="5" a="1"/>
  <c r="F291" i="5" s="1"/>
  <c r="F292" i="5" a="1"/>
  <c r="F292" i="5" s="1"/>
  <c r="F293" i="5" a="1"/>
  <c r="F293" i="5" s="1"/>
  <c r="F294" i="5" a="1"/>
  <c r="F294" i="5" s="1"/>
  <c r="F295" i="5" a="1"/>
  <c r="F295" i="5" s="1"/>
  <c r="F296" i="5" a="1"/>
  <c r="F296" i="5" s="1"/>
  <c r="F297" i="5" a="1"/>
  <c r="F297" i="5" s="1"/>
  <c r="F298" i="5" a="1"/>
  <c r="F298" i="5" s="1"/>
  <c r="F299" i="5" a="1"/>
  <c r="F299" i="5" s="1"/>
  <c r="F300" i="5" a="1"/>
  <c r="F300" i="5" s="1"/>
  <c r="F301" i="5" a="1"/>
  <c r="F301" i="5" s="1"/>
  <c r="F302" i="5" a="1"/>
  <c r="F302" i="5" s="1"/>
  <c r="F303" i="5" a="1"/>
  <c r="F303" i="5" s="1"/>
  <c r="F304" i="5" a="1"/>
  <c r="F304" i="5" s="1"/>
  <c r="F305" i="5" a="1"/>
  <c r="F305" i="5" s="1"/>
  <c r="F306" i="5" a="1"/>
  <c r="F306" i="5" s="1"/>
  <c r="F307" i="5" a="1"/>
  <c r="F307" i="5" s="1"/>
  <c r="F308" i="5" a="1"/>
  <c r="F308" i="5" s="1"/>
  <c r="F309" i="5" a="1"/>
  <c r="F309" i="5" s="1"/>
  <c r="F310" i="5" a="1"/>
  <c r="F310" i="5" s="1"/>
  <c r="F311" i="5" a="1"/>
  <c r="F311" i="5" s="1"/>
  <c r="F312" i="5" a="1"/>
  <c r="F312" i="5" s="1"/>
  <c r="F313" i="5" a="1"/>
  <c r="F313" i="5" s="1"/>
  <c r="F314" i="5" a="1"/>
  <c r="F314" i="5" s="1"/>
  <c r="F315" i="5" a="1"/>
  <c r="F315" i="5" s="1"/>
  <c r="F316" i="5" a="1"/>
  <c r="F316" i="5" s="1"/>
  <c r="F317" i="5" a="1"/>
  <c r="F317" i="5" s="1"/>
  <c r="F318" i="5" a="1"/>
  <c r="F318" i="5" s="1"/>
  <c r="F319" i="5" a="1"/>
  <c r="F319" i="5" s="1"/>
  <c r="F320" i="5" a="1"/>
  <c r="F320" i="5" s="1"/>
  <c r="F321" i="5" a="1"/>
  <c r="F321" i="5" s="1"/>
  <c r="F322" i="5" a="1"/>
  <c r="F322" i="5" s="1"/>
  <c r="F323" i="5" a="1"/>
  <c r="F323" i="5" s="1"/>
  <c r="F324" i="5" a="1"/>
  <c r="F324" i="5" s="1"/>
  <c r="F325" i="5" a="1"/>
  <c r="F325" i="5" s="1"/>
  <c r="F326" i="5" a="1"/>
  <c r="F326" i="5" s="1"/>
  <c r="F327" i="5" a="1"/>
  <c r="F327" i="5" s="1"/>
  <c r="F328" i="5" a="1"/>
  <c r="F328" i="5" s="1"/>
  <c r="F329" i="5" a="1"/>
  <c r="F329" i="5" s="1"/>
  <c r="F330" i="5" a="1"/>
  <c r="F330" i="5" s="1"/>
  <c r="F331" i="5" a="1"/>
  <c r="F331" i="5" s="1"/>
  <c r="F332" i="5" a="1"/>
  <c r="F332" i="5" s="1"/>
  <c r="F333" i="5" a="1"/>
  <c r="F333" i="5" s="1"/>
  <c r="F334" i="5" a="1"/>
  <c r="F334" i="5" s="1"/>
  <c r="F335" i="5" a="1"/>
  <c r="F335" i="5" s="1"/>
  <c r="F336" i="5" a="1"/>
  <c r="F336" i="5" s="1"/>
  <c r="F337" i="5" a="1"/>
  <c r="F337" i="5" s="1"/>
  <c r="F338" i="5" a="1"/>
  <c r="F338" i="5" s="1"/>
  <c r="F339" i="5" a="1"/>
  <c r="F339" i="5" s="1"/>
  <c r="F340" i="5" a="1"/>
  <c r="F340" i="5" s="1"/>
  <c r="F341" i="5" a="1"/>
  <c r="F341" i="5" s="1"/>
  <c r="F342" i="5" a="1"/>
  <c r="F342" i="5" s="1"/>
  <c r="F343" i="5" a="1"/>
  <c r="F343" i="5" s="1"/>
  <c r="F344" i="5" a="1"/>
  <c r="F344" i="5" s="1"/>
  <c r="F345" i="5" a="1"/>
  <c r="F345" i="5" s="1"/>
  <c r="F346" i="5" a="1"/>
  <c r="F346" i="5" s="1"/>
  <c r="F347" i="5" a="1"/>
  <c r="F347" i="5" s="1"/>
  <c r="F348" i="5" a="1"/>
  <c r="F348" i="5" s="1"/>
  <c r="F349" i="5" a="1"/>
  <c r="F349" i="5" s="1"/>
  <c r="F350" i="5" a="1"/>
  <c r="F350" i="5" s="1"/>
  <c r="F351" i="5" a="1"/>
  <c r="F351" i="5" s="1"/>
  <c r="F352" i="5" a="1"/>
  <c r="F352" i="5" s="1"/>
  <c r="F353" i="5" a="1"/>
  <c r="F353" i="5" s="1"/>
  <c r="F354" i="5" a="1"/>
  <c r="F354" i="5" s="1"/>
  <c r="F355" i="5" a="1"/>
  <c r="F355" i="5" s="1"/>
  <c r="F356" i="5" a="1"/>
  <c r="F356" i="5" s="1"/>
  <c r="F357" i="5" a="1"/>
  <c r="F357" i="5" s="1"/>
  <c r="F358" i="5" a="1"/>
  <c r="F358" i="5" s="1"/>
  <c r="F359" i="5" a="1"/>
  <c r="F359" i="5" s="1"/>
  <c r="F360" i="5" a="1"/>
  <c r="F360" i="5" s="1"/>
  <c r="F361" i="5" a="1"/>
  <c r="F361" i="5" s="1"/>
  <c r="F362" i="5" a="1"/>
  <c r="F362" i="5" s="1"/>
  <c r="F363" i="5" a="1"/>
  <c r="F363" i="5" s="1"/>
  <c r="F364" i="5" a="1"/>
  <c r="F364" i="5" s="1"/>
  <c r="F365" i="5" a="1"/>
  <c r="F365" i="5" s="1"/>
  <c r="F366" i="5" a="1"/>
  <c r="F366" i="5" s="1"/>
  <c r="F367" i="5" a="1"/>
  <c r="F367" i="5" s="1"/>
  <c r="F368" i="5" a="1"/>
  <c r="F368" i="5" s="1"/>
  <c r="F369" i="5" a="1"/>
  <c r="F369" i="5" s="1"/>
  <c r="F370" i="5" a="1"/>
  <c r="F370" i="5" s="1"/>
  <c r="F371" i="5" a="1"/>
  <c r="F371" i="5" s="1"/>
  <c r="F372" i="5" a="1"/>
  <c r="F372" i="5" s="1"/>
  <c r="F373" i="5" a="1"/>
  <c r="F373" i="5" s="1"/>
  <c r="F374" i="5" a="1"/>
  <c r="F374" i="5" s="1"/>
  <c r="F375" i="5" a="1"/>
  <c r="F375" i="5" s="1"/>
  <c r="F376" i="5" a="1"/>
  <c r="F376" i="5" s="1"/>
  <c r="F377" i="5" a="1"/>
  <c r="F377" i="5" s="1"/>
  <c r="F378" i="5" a="1"/>
  <c r="F378" i="5" s="1"/>
  <c r="F379" i="5" a="1"/>
  <c r="F379" i="5" s="1"/>
  <c r="F380" i="5" a="1"/>
  <c r="F380" i="5" s="1"/>
  <c r="F381" i="5" a="1"/>
  <c r="F381" i="5" s="1"/>
  <c r="F382" i="5" a="1"/>
  <c r="F382" i="5" s="1"/>
  <c r="F383" i="5" a="1"/>
  <c r="F383" i="5" s="1"/>
  <c r="F384" i="5" a="1"/>
  <c r="F384" i="5" s="1"/>
  <c r="F385" i="5" a="1"/>
  <c r="F385" i="5" s="1"/>
  <c r="F386" i="5" a="1"/>
  <c r="F386" i="5" s="1"/>
  <c r="F387" i="5" a="1"/>
  <c r="F387" i="5" s="1"/>
  <c r="F388" i="5" a="1"/>
  <c r="F388" i="5" s="1"/>
  <c r="F389" i="5" a="1"/>
  <c r="F389" i="5" s="1"/>
  <c r="F390" i="5" a="1"/>
  <c r="F390" i="5" s="1"/>
  <c r="F391" i="5" a="1"/>
  <c r="F391" i="5" s="1"/>
  <c r="F392" i="5" a="1"/>
  <c r="F392" i="5" s="1"/>
  <c r="F393" i="5" a="1"/>
  <c r="F393" i="5" s="1"/>
  <c r="F394" i="5" a="1"/>
  <c r="F394" i="5" s="1"/>
  <c r="F395" i="5" a="1"/>
  <c r="F395" i="5" s="1"/>
  <c r="F396" i="5" a="1"/>
  <c r="F396" i="5" s="1"/>
  <c r="F397" i="5" a="1"/>
  <c r="F397" i="5" s="1"/>
  <c r="F398" i="5" a="1"/>
  <c r="F398" i="5" s="1"/>
  <c r="F399" i="5" a="1"/>
  <c r="F399" i="5" s="1"/>
  <c r="F400" i="5" a="1"/>
  <c r="F400" i="5" s="1"/>
  <c r="F401" i="5" a="1"/>
  <c r="F401" i="5" s="1"/>
  <c r="F402" i="5" a="1"/>
  <c r="F402" i="5" s="1"/>
  <c r="F403" i="5" a="1"/>
  <c r="F403" i="5" s="1"/>
  <c r="F404" i="5" a="1"/>
  <c r="F404" i="5" s="1"/>
  <c r="F405" i="5" a="1"/>
  <c r="F405" i="5" s="1"/>
  <c r="F406" i="5" a="1"/>
  <c r="F406" i="5" s="1"/>
  <c r="F407" i="5" a="1"/>
  <c r="F407" i="5" s="1"/>
  <c r="F408" i="5" a="1"/>
  <c r="F408" i="5" s="1"/>
  <c r="F409" i="5" a="1"/>
  <c r="F409" i="5" s="1"/>
  <c r="F410" i="5" a="1"/>
  <c r="F410" i="5" s="1"/>
  <c r="F411" i="5" a="1"/>
  <c r="F411" i="5" s="1"/>
  <c r="F412" i="5" a="1"/>
  <c r="F412" i="5" s="1"/>
  <c r="F413" i="5" a="1"/>
  <c r="F413" i="5" s="1"/>
  <c r="F414" i="5" a="1"/>
  <c r="F414" i="5" s="1"/>
  <c r="F415" i="5" a="1"/>
  <c r="F415" i="5" s="1"/>
  <c r="F416" i="5" a="1"/>
  <c r="F416" i="5" s="1"/>
  <c r="F417" i="5" a="1"/>
  <c r="F417" i="5" s="1"/>
  <c r="F418" i="5" a="1"/>
  <c r="F418" i="5" s="1"/>
  <c r="F419" i="5" a="1"/>
  <c r="F419" i="5" s="1"/>
  <c r="F420" i="5" a="1"/>
  <c r="F420" i="5" s="1"/>
  <c r="F421" i="5" a="1"/>
  <c r="F421" i="5" s="1"/>
  <c r="F422" i="5" a="1"/>
  <c r="F422" i="5" s="1"/>
  <c r="F423" i="5" a="1"/>
  <c r="F423" i="5" s="1"/>
  <c r="F424" i="5" a="1"/>
  <c r="F424" i="5" s="1"/>
  <c r="F425" i="5" a="1"/>
  <c r="F425" i="5" s="1"/>
  <c r="F426" i="5" a="1"/>
  <c r="F426" i="5" s="1"/>
  <c r="F427" i="5" a="1"/>
  <c r="F427" i="5" s="1"/>
  <c r="F428" i="5" a="1"/>
  <c r="F428" i="5" s="1"/>
  <c r="F429" i="5" a="1"/>
  <c r="F429" i="5" s="1"/>
  <c r="F430" i="5" a="1"/>
  <c r="F430" i="5" s="1"/>
  <c r="F431" i="5" a="1"/>
  <c r="F431" i="5" s="1"/>
  <c r="F432" i="5" a="1"/>
  <c r="F432" i="5" s="1"/>
  <c r="F433" i="5" a="1"/>
  <c r="F433" i="5" s="1"/>
  <c r="F434" i="5" a="1"/>
  <c r="F434" i="5" s="1"/>
  <c r="F435" i="5" a="1"/>
  <c r="F435" i="5" s="1"/>
  <c r="F436" i="5" a="1"/>
  <c r="F436" i="5" s="1"/>
  <c r="F437" i="5" a="1"/>
  <c r="F437" i="5" s="1"/>
  <c r="F438" i="5" a="1"/>
  <c r="F438" i="5" s="1"/>
  <c r="F439" i="5" a="1"/>
  <c r="F439" i="5" s="1"/>
  <c r="F440" i="5" a="1"/>
  <c r="F440" i="5" s="1"/>
  <c r="F441" i="5" a="1"/>
  <c r="F441" i="5" s="1"/>
  <c r="F442" i="5" a="1"/>
  <c r="F442" i="5" s="1"/>
  <c r="F443" i="5" a="1"/>
  <c r="F443" i="5" s="1"/>
  <c r="F444" i="5" a="1"/>
  <c r="F444" i="5" s="1"/>
  <c r="F445" i="5" a="1"/>
  <c r="F445" i="5" s="1"/>
  <c r="F446" i="5" a="1"/>
  <c r="F446" i="5" s="1"/>
  <c r="F447" i="5" a="1"/>
  <c r="F447" i="5" s="1"/>
  <c r="F448" i="5" a="1"/>
  <c r="F448" i="5" s="1"/>
  <c r="F449" i="5" a="1"/>
  <c r="F449" i="5" s="1"/>
  <c r="F450" i="5" a="1"/>
  <c r="F450" i="5" s="1"/>
  <c r="F451" i="5" a="1"/>
  <c r="F451" i="5" s="1"/>
  <c r="F452" i="5" a="1"/>
  <c r="F452" i="5" s="1"/>
  <c r="F453" i="5" a="1"/>
  <c r="F453" i="5" s="1"/>
  <c r="F454" i="5" a="1"/>
  <c r="F454" i="5" s="1"/>
  <c r="F455" i="5" a="1"/>
  <c r="F455" i="5" s="1"/>
  <c r="F456" i="5" a="1"/>
  <c r="F456" i="5" s="1"/>
  <c r="F457" i="5" a="1"/>
  <c r="F457" i="5" s="1"/>
  <c r="F458" i="5" a="1"/>
  <c r="F458" i="5" s="1"/>
  <c r="F459" i="5" a="1"/>
  <c r="F459" i="5" s="1"/>
  <c r="F460" i="5" a="1"/>
  <c r="F460" i="5" s="1"/>
  <c r="F461" i="5" a="1"/>
  <c r="F461" i="5" s="1"/>
  <c r="F462" i="5" a="1"/>
  <c r="F462" i="5" s="1"/>
  <c r="F463" i="5" a="1"/>
  <c r="F463" i="5" s="1"/>
  <c r="F464" i="5" a="1"/>
  <c r="F464" i="5" s="1"/>
  <c r="F465" i="5" a="1"/>
  <c r="F465" i="5" s="1"/>
  <c r="F466" i="5" a="1"/>
  <c r="F466" i="5" s="1"/>
  <c r="F467" i="5" a="1"/>
  <c r="F467" i="5" s="1"/>
  <c r="F468" i="5" a="1"/>
  <c r="F468" i="5" s="1"/>
  <c r="F469" i="5" a="1"/>
  <c r="F469" i="5" s="1"/>
  <c r="F470" i="5" a="1"/>
  <c r="F470" i="5" s="1"/>
  <c r="F471" i="5" a="1"/>
  <c r="F471" i="5" s="1"/>
  <c r="F472" i="5" a="1"/>
  <c r="F472" i="5" s="1"/>
  <c r="F473" i="5" a="1"/>
  <c r="F473" i="5" s="1"/>
  <c r="F474" i="5" a="1"/>
  <c r="F474" i="5" s="1"/>
  <c r="F475" i="5" a="1"/>
  <c r="F475" i="5" s="1"/>
  <c r="F476" i="5" a="1"/>
  <c r="F476" i="5" s="1"/>
  <c r="F477" i="5" a="1"/>
  <c r="F477" i="5" s="1"/>
  <c r="F478" i="5" a="1"/>
  <c r="F478" i="5" s="1"/>
  <c r="F479" i="5" a="1"/>
  <c r="F479" i="5" s="1"/>
  <c r="F480" i="5" a="1"/>
  <c r="F480" i="5" s="1"/>
  <c r="F481" i="5" a="1"/>
  <c r="F481" i="5" s="1"/>
  <c r="F482" i="5" a="1"/>
  <c r="F482" i="5" s="1"/>
  <c r="F483" i="5" a="1"/>
  <c r="F483" i="5" s="1"/>
  <c r="F484" i="5" a="1"/>
  <c r="F484" i="5" s="1"/>
  <c r="F485" i="5" a="1"/>
  <c r="F485" i="5" s="1"/>
  <c r="F486" i="5" a="1"/>
  <c r="F486" i="5" s="1"/>
  <c r="F487" i="5" a="1"/>
  <c r="F487" i="5" s="1"/>
  <c r="F488" i="5" a="1"/>
  <c r="F488" i="5" s="1"/>
  <c r="F489" i="5" a="1"/>
  <c r="F489" i="5" s="1"/>
  <c r="F490" i="5" a="1"/>
  <c r="F490" i="5" s="1"/>
  <c r="F491" i="5" a="1"/>
  <c r="F491" i="5" s="1"/>
  <c r="F492" i="5" a="1"/>
  <c r="F492" i="5" s="1"/>
  <c r="F493" i="5" a="1"/>
  <c r="F493" i="5" s="1"/>
  <c r="F494" i="5" a="1"/>
  <c r="F494" i="5" s="1"/>
  <c r="F495" i="5" a="1"/>
  <c r="F495" i="5" s="1"/>
  <c r="F496" i="5" a="1"/>
  <c r="F496" i="5" s="1"/>
  <c r="F497" i="5" a="1"/>
  <c r="F497" i="5" s="1"/>
  <c r="F498" i="5" a="1"/>
  <c r="F498" i="5" s="1"/>
  <c r="F499" i="5" a="1"/>
  <c r="F499" i="5" s="1"/>
  <c r="F500" i="5" a="1"/>
  <c r="F500" i="5" s="1"/>
  <c r="F499" i="12" a="1"/>
  <c r="F499" i="12" s="1"/>
  <c r="F500" i="12" a="1"/>
  <c r="F500" i="12" s="1"/>
  <c r="F238" i="12" a="1"/>
  <c r="F238" i="12" s="1"/>
  <c r="F239" i="12" a="1"/>
  <c r="F239" i="12" s="1"/>
  <c r="F240" i="12" a="1"/>
  <c r="F240" i="12" s="1"/>
  <c r="F241" i="12" a="1"/>
  <c r="F241" i="12" s="1"/>
  <c r="F242" i="12" a="1"/>
  <c r="F242" i="12" s="1"/>
  <c r="F243" i="12" a="1"/>
  <c r="F243" i="12" s="1"/>
  <c r="F244" i="12" a="1"/>
  <c r="F244" i="12" s="1"/>
  <c r="F245" i="12" a="1"/>
  <c r="F245" i="12" s="1"/>
  <c r="F246" i="12" a="1"/>
  <c r="F246" i="12" s="1"/>
  <c r="F247" i="12" a="1"/>
  <c r="F247" i="12" s="1"/>
  <c r="F248" i="12" a="1"/>
  <c r="F248" i="12" s="1"/>
  <c r="F249" i="12" a="1"/>
  <c r="F249" i="12" s="1"/>
  <c r="F250" i="12" a="1"/>
  <c r="F250" i="12" s="1"/>
  <c r="F251" i="12" a="1"/>
  <c r="F251" i="12" s="1"/>
  <c r="F252" i="12" a="1"/>
  <c r="F252" i="12" s="1"/>
  <c r="F253" i="12" a="1"/>
  <c r="F253" i="12" s="1"/>
  <c r="F254" i="12" a="1"/>
  <c r="F254" i="12" s="1"/>
  <c r="F255" i="12" a="1"/>
  <c r="F255" i="12" s="1"/>
  <c r="F256" i="12" a="1"/>
  <c r="F256" i="12" s="1"/>
  <c r="F257" i="12" a="1"/>
  <c r="F257" i="12" s="1"/>
  <c r="F258" i="12" a="1"/>
  <c r="F258" i="12" s="1"/>
  <c r="F259" i="12" a="1"/>
  <c r="F259" i="12" s="1"/>
  <c r="F260" i="12" a="1"/>
  <c r="F260" i="12" s="1"/>
  <c r="F261" i="12" a="1"/>
  <c r="F261" i="12" s="1"/>
  <c r="F262" i="12" a="1"/>
  <c r="F262" i="12" s="1"/>
  <c r="F263" i="12" a="1"/>
  <c r="F263" i="12" s="1"/>
  <c r="F264" i="12" a="1"/>
  <c r="F264" i="12" s="1"/>
  <c r="F265" i="12" a="1"/>
  <c r="F265" i="12" s="1"/>
  <c r="F266" i="12" a="1"/>
  <c r="F266" i="12" s="1"/>
  <c r="F267" i="12" a="1"/>
  <c r="F267" i="12" s="1"/>
  <c r="F268" i="12" a="1"/>
  <c r="F268" i="12" s="1"/>
  <c r="F269" i="12" a="1"/>
  <c r="F269" i="12" s="1"/>
  <c r="F270" i="12" a="1"/>
  <c r="F270" i="12" s="1"/>
  <c r="F271" i="12" a="1"/>
  <c r="F271" i="12" s="1"/>
  <c r="F272" i="12" a="1"/>
  <c r="F272" i="12" s="1"/>
  <c r="F273" i="12" a="1"/>
  <c r="F273" i="12" s="1"/>
  <c r="F274" i="12" a="1"/>
  <c r="F274" i="12" s="1"/>
  <c r="F275" i="12" a="1"/>
  <c r="F275" i="12" s="1"/>
  <c r="F276" i="12" a="1"/>
  <c r="F276" i="12" s="1"/>
  <c r="F277" i="12" a="1"/>
  <c r="F277" i="12" s="1"/>
  <c r="F278" i="12" a="1"/>
  <c r="F278" i="12" s="1"/>
  <c r="F279" i="12" a="1"/>
  <c r="F279" i="12" s="1"/>
  <c r="F280" i="12" a="1"/>
  <c r="F280" i="12" s="1"/>
  <c r="F281" i="12" a="1"/>
  <c r="F281" i="12" s="1"/>
  <c r="F282" i="12" a="1"/>
  <c r="F282" i="12" s="1"/>
  <c r="F283" i="12" a="1"/>
  <c r="F283" i="12" s="1"/>
  <c r="F284" i="12" a="1"/>
  <c r="F284" i="12" s="1"/>
  <c r="F285" i="12" a="1"/>
  <c r="F285" i="12" s="1"/>
  <c r="F286" i="12" a="1"/>
  <c r="F286" i="12" s="1"/>
  <c r="F287" i="12" a="1"/>
  <c r="F287" i="12" s="1"/>
  <c r="F288" i="12" a="1"/>
  <c r="F288" i="12" s="1"/>
  <c r="F289" i="12" a="1"/>
  <c r="F289" i="12" s="1"/>
  <c r="F290" i="12" a="1"/>
  <c r="F290" i="12" s="1"/>
  <c r="F291" i="12" a="1"/>
  <c r="F291" i="12" s="1"/>
  <c r="F292" i="12" a="1"/>
  <c r="F292" i="12" s="1"/>
  <c r="F293" i="12" a="1"/>
  <c r="F293" i="12" s="1"/>
  <c r="F294" i="12" a="1"/>
  <c r="F294" i="12" s="1"/>
  <c r="F295" i="12" a="1"/>
  <c r="F295" i="12" s="1"/>
  <c r="F296" i="12" a="1"/>
  <c r="F296" i="12" s="1"/>
  <c r="F297" i="12" a="1"/>
  <c r="F297" i="12" s="1"/>
  <c r="F298" i="12" a="1"/>
  <c r="F298" i="12" s="1"/>
  <c r="F299" i="12" a="1"/>
  <c r="F299" i="12" s="1"/>
  <c r="F300" i="12" a="1"/>
  <c r="F300" i="12" s="1"/>
  <c r="F301" i="12" a="1"/>
  <c r="F301" i="12" s="1"/>
  <c r="F302" i="12" a="1"/>
  <c r="F302" i="12" s="1"/>
  <c r="F303" i="12" a="1"/>
  <c r="F303" i="12" s="1"/>
  <c r="F304" i="12" a="1"/>
  <c r="F304" i="12" s="1"/>
  <c r="F305" i="12" a="1"/>
  <c r="F305" i="12" s="1"/>
  <c r="F306" i="12" a="1"/>
  <c r="F306" i="12" s="1"/>
  <c r="F307" i="12" a="1"/>
  <c r="F307" i="12" s="1"/>
  <c r="F308" i="12" a="1"/>
  <c r="F308" i="12" s="1"/>
  <c r="F309" i="12" a="1"/>
  <c r="F309" i="12" s="1"/>
  <c r="F310" i="12" a="1"/>
  <c r="F310" i="12" s="1"/>
  <c r="F311" i="12" a="1"/>
  <c r="F311" i="12" s="1"/>
  <c r="F312" i="12" a="1"/>
  <c r="F312" i="12" s="1"/>
  <c r="F313" i="12" a="1"/>
  <c r="F313" i="12" s="1"/>
  <c r="F314" i="12" a="1"/>
  <c r="F314" i="12" s="1"/>
  <c r="F315" i="12" a="1"/>
  <c r="F315" i="12" s="1"/>
  <c r="F316" i="12" a="1"/>
  <c r="F316" i="12" s="1"/>
  <c r="F317" i="12" a="1"/>
  <c r="F317" i="12" s="1"/>
  <c r="F318" i="12" a="1"/>
  <c r="F318" i="12" s="1"/>
  <c r="F319" i="12" a="1"/>
  <c r="F319" i="12" s="1"/>
  <c r="F320" i="12" a="1"/>
  <c r="F320" i="12" s="1"/>
  <c r="F321" i="12" a="1"/>
  <c r="F321" i="12" s="1"/>
  <c r="F322" i="12" a="1"/>
  <c r="F322" i="12" s="1"/>
  <c r="F323" i="12" a="1"/>
  <c r="F323" i="12" s="1"/>
  <c r="F324" i="12" a="1"/>
  <c r="F324" i="12" s="1"/>
  <c r="F325" i="12" a="1"/>
  <c r="F325" i="12" s="1"/>
  <c r="F326" i="12" a="1"/>
  <c r="F326" i="12" s="1"/>
  <c r="F327" i="12" a="1"/>
  <c r="F327" i="12" s="1"/>
  <c r="F328" i="12" a="1"/>
  <c r="F328" i="12" s="1"/>
  <c r="F329" i="12" a="1"/>
  <c r="F329" i="12" s="1"/>
  <c r="F330" i="12" a="1"/>
  <c r="F330" i="12" s="1"/>
  <c r="F331" i="12" a="1"/>
  <c r="F331" i="12" s="1"/>
  <c r="F332" i="12" a="1"/>
  <c r="F332" i="12" s="1"/>
  <c r="F333" i="12" a="1"/>
  <c r="F333" i="12" s="1"/>
  <c r="F334" i="12" a="1"/>
  <c r="F334" i="12" s="1"/>
  <c r="F335" i="12" a="1"/>
  <c r="F335" i="12" s="1"/>
  <c r="F336" i="12" a="1"/>
  <c r="F336" i="12" s="1"/>
  <c r="F337" i="12" a="1"/>
  <c r="F337" i="12" s="1"/>
  <c r="F338" i="12" a="1"/>
  <c r="F338" i="12" s="1"/>
  <c r="F339" i="12" a="1"/>
  <c r="F339" i="12" s="1"/>
  <c r="F340" i="12" a="1"/>
  <c r="F340" i="12" s="1"/>
  <c r="F341" i="12" a="1"/>
  <c r="F341" i="12" s="1"/>
  <c r="F342" i="12" a="1"/>
  <c r="F342" i="12" s="1"/>
  <c r="F343" i="12" a="1"/>
  <c r="F343" i="12" s="1"/>
  <c r="F344" i="12" a="1"/>
  <c r="F344" i="12" s="1"/>
  <c r="F345" i="12" a="1"/>
  <c r="F345" i="12" s="1"/>
  <c r="F346" i="12" a="1"/>
  <c r="F346" i="12" s="1"/>
  <c r="F347" i="12" a="1"/>
  <c r="F347" i="12" s="1"/>
  <c r="F348" i="12" a="1"/>
  <c r="F348" i="12" s="1"/>
  <c r="F349" i="12" a="1"/>
  <c r="F349" i="12" s="1"/>
  <c r="F350" i="12" a="1"/>
  <c r="F350" i="12" s="1"/>
  <c r="F351" i="12" a="1"/>
  <c r="F351" i="12" s="1"/>
  <c r="F352" i="12" a="1"/>
  <c r="F352" i="12" s="1"/>
  <c r="F353" i="12" a="1"/>
  <c r="F353" i="12" s="1"/>
  <c r="F354" i="12" a="1"/>
  <c r="F354" i="12" s="1"/>
  <c r="F355" i="12" a="1"/>
  <c r="F355" i="12" s="1"/>
  <c r="F356" i="12" a="1"/>
  <c r="F356" i="12" s="1"/>
  <c r="F357" i="12" a="1"/>
  <c r="F357" i="12" s="1"/>
  <c r="F358" i="12" a="1"/>
  <c r="F358" i="12" s="1"/>
  <c r="F359" i="12" a="1"/>
  <c r="F359" i="12" s="1"/>
  <c r="F360" i="12" a="1"/>
  <c r="F360" i="12" s="1"/>
  <c r="F361" i="12" a="1"/>
  <c r="F361" i="12" s="1"/>
  <c r="F362" i="12" a="1"/>
  <c r="F362" i="12" s="1"/>
  <c r="F363" i="12" a="1"/>
  <c r="F363" i="12" s="1"/>
  <c r="F364" i="12" a="1"/>
  <c r="F364" i="12" s="1"/>
  <c r="F365" i="12" a="1"/>
  <c r="F365" i="12" s="1"/>
  <c r="F366" i="12" a="1"/>
  <c r="F366" i="12" s="1"/>
  <c r="F367" i="12" a="1"/>
  <c r="F367" i="12" s="1"/>
  <c r="F368" i="12" a="1"/>
  <c r="F368" i="12" s="1"/>
  <c r="F369" i="12" a="1"/>
  <c r="F369" i="12" s="1"/>
  <c r="F370" i="12" a="1"/>
  <c r="F370" i="12" s="1"/>
  <c r="F371" i="12" a="1"/>
  <c r="F371" i="12" s="1"/>
  <c r="F372" i="12" a="1"/>
  <c r="F372" i="12" s="1"/>
  <c r="F373" i="12" a="1"/>
  <c r="F373" i="12" s="1"/>
  <c r="F374" i="12" a="1"/>
  <c r="F374" i="12" s="1"/>
  <c r="F375" i="12" a="1"/>
  <c r="F375" i="12" s="1"/>
  <c r="F376" i="12" a="1"/>
  <c r="F376" i="12" s="1"/>
  <c r="F377" i="12" a="1"/>
  <c r="F377" i="12" s="1"/>
  <c r="F378" i="12" a="1"/>
  <c r="F378" i="12" s="1"/>
  <c r="F379" i="12" a="1"/>
  <c r="F379" i="12" s="1"/>
  <c r="F380" i="12" a="1"/>
  <c r="F380" i="12" s="1"/>
  <c r="F381" i="12" a="1"/>
  <c r="F381" i="12" s="1"/>
  <c r="F382" i="12" a="1"/>
  <c r="F382" i="12" s="1"/>
  <c r="F383" i="12" a="1"/>
  <c r="F383" i="12" s="1"/>
  <c r="F384" i="12" a="1"/>
  <c r="F384" i="12" s="1"/>
  <c r="F385" i="12" a="1"/>
  <c r="F385" i="12" s="1"/>
  <c r="F386" i="12" a="1"/>
  <c r="F386" i="12" s="1"/>
  <c r="F387" i="12" a="1"/>
  <c r="F387" i="12" s="1"/>
  <c r="F388" i="12" a="1"/>
  <c r="F388" i="12" s="1"/>
  <c r="F389" i="12" a="1"/>
  <c r="F389" i="12" s="1"/>
  <c r="F390" i="12" a="1"/>
  <c r="F390" i="12" s="1"/>
  <c r="F391" i="12" a="1"/>
  <c r="F391" i="12" s="1"/>
  <c r="F392" i="12" a="1"/>
  <c r="F392" i="12" s="1"/>
  <c r="F393" i="12" a="1"/>
  <c r="F393" i="12" s="1"/>
  <c r="F394" i="12" a="1"/>
  <c r="F394" i="12" s="1"/>
  <c r="F395" i="12" a="1"/>
  <c r="F395" i="12" s="1"/>
  <c r="F396" i="12" a="1"/>
  <c r="F396" i="12" s="1"/>
  <c r="F397" i="12" a="1"/>
  <c r="F397" i="12" s="1"/>
  <c r="F398" i="12" a="1"/>
  <c r="F398" i="12" s="1"/>
  <c r="F399" i="12" a="1"/>
  <c r="F399" i="12" s="1"/>
  <c r="F400" i="12" a="1"/>
  <c r="F400" i="12" s="1"/>
  <c r="F401" i="12" a="1"/>
  <c r="F401" i="12" s="1"/>
  <c r="F402" i="12" a="1"/>
  <c r="F402" i="12" s="1"/>
  <c r="F403" i="12" a="1"/>
  <c r="F403" i="12" s="1"/>
  <c r="F404" i="12" a="1"/>
  <c r="F404" i="12" s="1"/>
  <c r="F405" i="12" a="1"/>
  <c r="F405" i="12" s="1"/>
  <c r="F406" i="12" a="1"/>
  <c r="F406" i="12" s="1"/>
  <c r="F407" i="12" a="1"/>
  <c r="F407" i="12" s="1"/>
  <c r="F408" i="12" a="1"/>
  <c r="F408" i="12" s="1"/>
  <c r="F409" i="12" a="1"/>
  <c r="F409" i="12" s="1"/>
  <c r="F410" i="12" a="1"/>
  <c r="F410" i="12" s="1"/>
  <c r="F411" i="12" a="1"/>
  <c r="F411" i="12" s="1"/>
  <c r="F412" i="12" a="1"/>
  <c r="F412" i="12" s="1"/>
  <c r="F413" i="12" a="1"/>
  <c r="F413" i="12" s="1"/>
  <c r="F414" i="12" a="1"/>
  <c r="F414" i="12" s="1"/>
  <c r="F415" i="12" a="1"/>
  <c r="F415" i="12" s="1"/>
  <c r="F416" i="12" a="1"/>
  <c r="F416" i="12" s="1"/>
  <c r="F417" i="12" a="1"/>
  <c r="F417" i="12" s="1"/>
  <c r="F418" i="12" a="1"/>
  <c r="F418" i="12" s="1"/>
  <c r="F419" i="12" a="1"/>
  <c r="F419" i="12" s="1"/>
  <c r="F420" i="12" a="1"/>
  <c r="F420" i="12" s="1"/>
  <c r="F421" i="12" a="1"/>
  <c r="F421" i="12" s="1"/>
  <c r="F422" i="12" a="1"/>
  <c r="F422" i="12" s="1"/>
  <c r="F423" i="12" a="1"/>
  <c r="F423" i="12" s="1"/>
  <c r="F424" i="12" a="1"/>
  <c r="F424" i="12" s="1"/>
  <c r="F425" i="12" a="1"/>
  <c r="F425" i="12" s="1"/>
  <c r="F426" i="12" a="1"/>
  <c r="F426" i="12" s="1"/>
  <c r="F427" i="12" a="1"/>
  <c r="F427" i="12" s="1"/>
  <c r="F428" i="12" a="1"/>
  <c r="F428" i="12" s="1"/>
  <c r="F429" i="12" a="1"/>
  <c r="F429" i="12" s="1"/>
  <c r="F430" i="12" a="1"/>
  <c r="F430" i="12" s="1"/>
  <c r="F431" i="12" a="1"/>
  <c r="F431" i="12" s="1"/>
  <c r="F432" i="12" a="1"/>
  <c r="F432" i="12" s="1"/>
  <c r="F433" i="12" a="1"/>
  <c r="F433" i="12" s="1"/>
  <c r="F434" i="12" a="1"/>
  <c r="F434" i="12" s="1"/>
  <c r="F435" i="12" a="1"/>
  <c r="F435" i="12" s="1"/>
  <c r="F436" i="12" a="1"/>
  <c r="F436" i="12" s="1"/>
  <c r="F437" i="12" a="1"/>
  <c r="F437" i="12" s="1"/>
  <c r="F438" i="12" a="1"/>
  <c r="F438" i="12" s="1"/>
  <c r="F439" i="12" a="1"/>
  <c r="F439" i="12" s="1"/>
  <c r="F440" i="12" a="1"/>
  <c r="F440" i="12" s="1"/>
  <c r="F441" i="12" a="1"/>
  <c r="F441" i="12" s="1"/>
  <c r="F442" i="12" a="1"/>
  <c r="F442" i="12" s="1"/>
  <c r="F443" i="12" a="1"/>
  <c r="F443" i="12" s="1"/>
  <c r="F444" i="12" a="1"/>
  <c r="F444" i="12" s="1"/>
  <c r="F445" i="12" a="1"/>
  <c r="F445" i="12" s="1"/>
  <c r="F446" i="12" a="1"/>
  <c r="F446" i="12" s="1"/>
  <c r="F447" i="12" a="1"/>
  <c r="F447" i="12" s="1"/>
  <c r="F448" i="12" a="1"/>
  <c r="F448" i="12" s="1"/>
  <c r="F449" i="12" a="1"/>
  <c r="F449" i="12" s="1"/>
  <c r="F450" i="12" a="1"/>
  <c r="F450" i="12" s="1"/>
  <c r="F451" i="12" a="1"/>
  <c r="F451" i="12" s="1"/>
  <c r="F452" i="12" a="1"/>
  <c r="F452" i="12" s="1"/>
  <c r="F453" i="12" a="1"/>
  <c r="F453" i="12" s="1"/>
  <c r="F454" i="12" a="1"/>
  <c r="F454" i="12" s="1"/>
  <c r="F455" i="12" a="1"/>
  <c r="F455" i="12" s="1"/>
  <c r="F456" i="12" a="1"/>
  <c r="F456" i="12" s="1"/>
  <c r="F457" i="12" a="1"/>
  <c r="F457" i="12" s="1"/>
  <c r="F458" i="12" a="1"/>
  <c r="F458" i="12" s="1"/>
  <c r="F459" i="12" a="1"/>
  <c r="F459" i="12" s="1"/>
  <c r="F460" i="12" a="1"/>
  <c r="F460" i="12" s="1"/>
  <c r="F461" i="12" a="1"/>
  <c r="F461" i="12" s="1"/>
  <c r="F462" i="12" a="1"/>
  <c r="F462" i="12" s="1"/>
  <c r="F463" i="12" a="1"/>
  <c r="F463" i="12" s="1"/>
  <c r="F464" i="12" a="1"/>
  <c r="F464" i="12" s="1"/>
  <c r="F465" i="12" a="1"/>
  <c r="F465" i="12" s="1"/>
  <c r="F466" i="12" a="1"/>
  <c r="F466" i="12" s="1"/>
  <c r="F467" i="12" a="1"/>
  <c r="F467" i="12" s="1"/>
  <c r="F468" i="12" a="1"/>
  <c r="F468" i="12" s="1"/>
  <c r="F469" i="12" a="1"/>
  <c r="F469" i="12" s="1"/>
  <c r="F470" i="12" a="1"/>
  <c r="F470" i="12" s="1"/>
  <c r="F471" i="12" a="1"/>
  <c r="F471" i="12" s="1"/>
  <c r="F472" i="12" a="1"/>
  <c r="F472" i="12" s="1"/>
  <c r="F473" i="12" a="1"/>
  <c r="F473" i="12" s="1"/>
  <c r="F474" i="12" a="1"/>
  <c r="F474" i="12" s="1"/>
  <c r="F475" i="12" a="1"/>
  <c r="F475" i="12" s="1"/>
  <c r="F476" i="12" a="1"/>
  <c r="F476" i="12" s="1"/>
  <c r="F477" i="12" a="1"/>
  <c r="F477" i="12" s="1"/>
  <c r="F478" i="12" a="1"/>
  <c r="F478" i="12" s="1"/>
  <c r="F479" i="12" a="1"/>
  <c r="F479" i="12" s="1"/>
  <c r="F480" i="12" a="1"/>
  <c r="F480" i="12" s="1"/>
  <c r="F481" i="12" a="1"/>
  <c r="F481" i="12" s="1"/>
  <c r="F482" i="12" a="1"/>
  <c r="F482" i="12" s="1"/>
  <c r="F483" i="12" a="1"/>
  <c r="F483" i="12" s="1"/>
  <c r="F484" i="12" a="1"/>
  <c r="F484" i="12" s="1"/>
  <c r="F485" i="12" a="1"/>
  <c r="F485" i="12" s="1"/>
  <c r="F486" i="12" a="1"/>
  <c r="F486" i="12" s="1"/>
  <c r="F487" i="12" a="1"/>
  <c r="F487" i="12" s="1"/>
  <c r="F488" i="12" a="1"/>
  <c r="F488" i="12" s="1"/>
  <c r="F489" i="12" a="1"/>
  <c r="F489" i="12" s="1"/>
  <c r="F490" i="12" a="1"/>
  <c r="F490" i="12" s="1"/>
  <c r="F491" i="12" a="1"/>
  <c r="F491" i="12" s="1"/>
  <c r="F492" i="12" a="1"/>
  <c r="F492" i="12" s="1"/>
  <c r="F493" i="12" a="1"/>
  <c r="F493" i="12" s="1"/>
  <c r="F494" i="12" a="1"/>
  <c r="F494" i="12" s="1"/>
  <c r="F495" i="12" a="1"/>
  <c r="F495" i="12" s="1"/>
  <c r="F496" i="12" a="1"/>
  <c r="F496" i="12" s="1"/>
  <c r="F497" i="12" a="1"/>
  <c r="F497" i="12" s="1"/>
  <c r="F498" i="12" a="1"/>
  <c r="F498" i="12" s="1"/>
  <c r="J24" i="1" l="1" a="1"/>
  <c r="J24" i="1" s="1"/>
  <c r="J25" i="1" a="1"/>
  <c r="J25" i="1" s="1"/>
  <c r="J26" i="1" a="1"/>
  <c r="J26" i="1" s="1"/>
  <c r="J27" i="1" a="1"/>
  <c r="J27" i="1" s="1"/>
  <c r="J23" i="1" a="1"/>
  <c r="J23" i="1" s="1"/>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A2" i="10" l="1" a="1"/>
  <c r="A2" i="10" s="1"/>
  <c r="B2" i="10" a="1"/>
  <c r="B2" i="10" s="1"/>
  <c r="N2" i="2" a="1"/>
  <c r="N2" i="2" s="1"/>
  <c r="E1" i="10" l="1" a="1"/>
  <c r="E1" i="9" a="1"/>
  <c r="E1" i="8" a="1"/>
  <c r="E1" i="7" a="1"/>
  <c r="E1" i="6" a="1"/>
  <c r="A2" i="6" a="1"/>
  <c r="A2" i="6" s="1"/>
  <c r="E1" i="5" a="1"/>
  <c r="J3" i="1" a="1"/>
  <c r="J3" i="1" s="1"/>
  <c r="J4" i="1" a="1"/>
  <c r="J4" i="1" s="1"/>
  <c r="J5" i="1" a="1"/>
  <c r="J5" i="1" s="1"/>
  <c r="E1" i="12" a="1"/>
  <c r="F226" i="7" l="1" a="1"/>
  <c r="F226" i="7" s="1"/>
  <c r="F227" i="7" a="1"/>
  <c r="F227" i="7" s="1"/>
  <c r="F228" i="7" a="1"/>
  <c r="F228" i="7" s="1"/>
  <c r="F229" i="7" a="1"/>
  <c r="F229" i="7" s="1"/>
  <c r="F230" i="7" a="1"/>
  <c r="F230" i="7" s="1"/>
  <c r="F231" i="7" a="1"/>
  <c r="F231" i="7" s="1"/>
  <c r="F232" i="7" a="1"/>
  <c r="F232" i="7" s="1"/>
  <c r="F233" i="7" a="1"/>
  <c r="F233" i="7" s="1"/>
  <c r="F234" i="7" a="1"/>
  <c r="F234" i="7" s="1"/>
  <c r="F235" i="7" a="1"/>
  <c r="F235" i="7" s="1"/>
  <c r="F224" i="7" a="1"/>
  <c r="F224" i="7" s="1"/>
  <c r="F236" i="7" a="1"/>
  <c r="F236" i="7" s="1"/>
  <c r="F225" i="7" a="1"/>
  <c r="F225" i="7" s="1"/>
  <c r="F237" i="7" a="1"/>
  <c r="F237" i="7" s="1"/>
  <c r="F228" i="9" a="1"/>
  <c r="F228" i="9" s="1"/>
  <c r="F229" i="9" a="1"/>
  <c r="F229" i="9" s="1"/>
  <c r="F230" i="9" a="1"/>
  <c r="F230" i="9" s="1"/>
  <c r="F231" i="9" a="1"/>
  <c r="F231" i="9" s="1"/>
  <c r="F232" i="9" a="1"/>
  <c r="F232" i="9" s="1"/>
  <c r="F233" i="9" a="1"/>
  <c r="F233" i="9" s="1"/>
  <c r="F234" i="9" a="1"/>
  <c r="F234" i="9" s="1"/>
  <c r="F235" i="9" a="1"/>
  <c r="F235" i="9" s="1"/>
  <c r="F224" i="9" a="1"/>
  <c r="F224" i="9" s="1"/>
  <c r="F236" i="9" a="1"/>
  <c r="F236" i="9" s="1"/>
  <c r="F225" i="9" a="1"/>
  <c r="F225" i="9" s="1"/>
  <c r="F237" i="9" a="1"/>
  <c r="F237" i="9" s="1"/>
  <c r="F226" i="9" a="1"/>
  <c r="F226" i="9" s="1"/>
  <c r="F227" i="9" a="1"/>
  <c r="F227" i="9" s="1"/>
  <c r="F229" i="10" a="1"/>
  <c r="F229" i="10" s="1"/>
  <c r="F230" i="10" a="1"/>
  <c r="F230" i="10" s="1"/>
  <c r="F231" i="10" a="1"/>
  <c r="F231" i="10" s="1"/>
  <c r="F232" i="10" a="1"/>
  <c r="F232" i="10" s="1"/>
  <c r="F233" i="10" a="1"/>
  <c r="F233" i="10" s="1"/>
  <c r="F234" i="10" a="1"/>
  <c r="F234" i="10" s="1"/>
  <c r="F235" i="10" a="1"/>
  <c r="F235" i="10" s="1"/>
  <c r="F224" i="10" a="1"/>
  <c r="F224" i="10" s="1"/>
  <c r="F236" i="10" a="1"/>
  <c r="F236" i="10" s="1"/>
  <c r="F225" i="10" a="1"/>
  <c r="F225" i="10" s="1"/>
  <c r="F237" i="10" a="1"/>
  <c r="F237" i="10" s="1"/>
  <c r="F226" i="10" a="1"/>
  <c r="F226" i="10" s="1"/>
  <c r="F227" i="10" a="1"/>
  <c r="F227" i="10" s="1"/>
  <c r="F228" i="10" a="1"/>
  <c r="F228" i="10" s="1"/>
  <c r="F227" i="8" a="1"/>
  <c r="F227" i="8" s="1"/>
  <c r="F228" i="8" a="1"/>
  <c r="F228" i="8" s="1"/>
  <c r="F229" i="8" a="1"/>
  <c r="F229" i="8" s="1"/>
  <c r="F230" i="8" a="1"/>
  <c r="F230" i="8" s="1"/>
  <c r="F231" i="8" a="1"/>
  <c r="F231" i="8" s="1"/>
  <c r="F232" i="8" a="1"/>
  <c r="F232" i="8" s="1"/>
  <c r="F233" i="8" a="1"/>
  <c r="F233" i="8" s="1"/>
  <c r="F234" i="8" a="1"/>
  <c r="F234" i="8" s="1"/>
  <c r="F235" i="8" a="1"/>
  <c r="F235" i="8" s="1"/>
  <c r="F224" i="8" a="1"/>
  <c r="F224" i="8" s="1"/>
  <c r="F236" i="8" a="1"/>
  <c r="F236" i="8" s="1"/>
  <c r="F225" i="8" a="1"/>
  <c r="F225" i="8" s="1"/>
  <c r="F237" i="8" a="1"/>
  <c r="F237" i="8" s="1"/>
  <c r="F226" i="8" a="1"/>
  <c r="F226" i="8" s="1"/>
  <c r="F232" i="12" a="1"/>
  <c r="F232" i="12" s="1"/>
  <c r="F233" i="12" a="1"/>
  <c r="F233" i="12" s="1"/>
  <c r="F234" i="12" a="1"/>
  <c r="F234" i="12" s="1"/>
  <c r="F235" i="12" a="1"/>
  <c r="F235" i="12" s="1"/>
  <c r="F237" i="12" a="1"/>
  <c r="F237" i="12" s="1"/>
  <c r="F224" i="12" a="1"/>
  <c r="F224" i="12" s="1"/>
  <c r="F236" i="12" a="1"/>
  <c r="F236" i="12" s="1"/>
  <c r="F225" i="12" a="1"/>
  <c r="F225" i="12" s="1"/>
  <c r="F226" i="12" a="1"/>
  <c r="F226" i="12" s="1"/>
  <c r="F227" i="12" a="1"/>
  <c r="F227" i="12" s="1"/>
  <c r="F228" i="12" a="1"/>
  <c r="F228" i="12" s="1"/>
  <c r="F229" i="12" a="1"/>
  <c r="F229" i="12" s="1"/>
  <c r="F230" i="12" a="1"/>
  <c r="F230" i="12" s="1"/>
  <c r="F231" i="12" a="1"/>
  <c r="F231" i="12" s="1"/>
  <c r="F231" i="6" a="1"/>
  <c r="F231" i="6" s="1"/>
  <c r="F232" i="6" a="1"/>
  <c r="F232" i="6" s="1"/>
  <c r="F233" i="6" a="1"/>
  <c r="F233" i="6" s="1"/>
  <c r="F234" i="6" a="1"/>
  <c r="F234" i="6" s="1"/>
  <c r="F235" i="6" a="1"/>
  <c r="F235" i="6" s="1"/>
  <c r="F224" i="6" a="1"/>
  <c r="F224" i="6" s="1"/>
  <c r="F236" i="6" a="1"/>
  <c r="F236" i="6" s="1"/>
  <c r="F225" i="6" a="1"/>
  <c r="F225" i="6" s="1"/>
  <c r="F237" i="6" a="1"/>
  <c r="F237" i="6" s="1"/>
  <c r="F226" i="6" a="1"/>
  <c r="F226" i="6" s="1"/>
  <c r="F227" i="6" a="1"/>
  <c r="F227" i="6" s="1"/>
  <c r="F228" i="6" a="1"/>
  <c r="F228" i="6" s="1"/>
  <c r="F229" i="6" a="1"/>
  <c r="F229" i="6" s="1"/>
  <c r="F230" i="6" a="1"/>
  <c r="F230" i="6" s="1"/>
  <c r="F233" i="5" a="1"/>
  <c r="F233" i="5" s="1"/>
  <c r="F234" i="5" a="1"/>
  <c r="F234" i="5" s="1"/>
  <c r="F235" i="5" a="1"/>
  <c r="F235" i="5" s="1"/>
  <c r="F224" i="5" a="1"/>
  <c r="F224" i="5" s="1"/>
  <c r="F236" i="5" a="1"/>
  <c r="F236" i="5" s="1"/>
  <c r="F225" i="5" a="1"/>
  <c r="F225" i="5" s="1"/>
  <c r="F237" i="5" a="1"/>
  <c r="F237" i="5" s="1"/>
  <c r="F226" i="5" a="1"/>
  <c r="F226" i="5" s="1"/>
  <c r="F227" i="5" a="1"/>
  <c r="F227" i="5" s="1"/>
  <c r="F228" i="5" a="1"/>
  <c r="F228" i="5" s="1"/>
  <c r="F229" i="5" a="1"/>
  <c r="F229" i="5" s="1"/>
  <c r="F230" i="5" a="1"/>
  <c r="F230" i="5" s="1"/>
  <c r="F231" i="5" a="1"/>
  <c r="F231" i="5" s="1"/>
  <c r="F232" i="5" a="1"/>
  <c r="F232" i="5" s="1"/>
  <c r="F223" i="7" a="1"/>
  <c r="F223" i="7" s="1"/>
  <c r="F218" i="7" a="1"/>
  <c r="F218" i="7" s="1"/>
  <c r="F219" i="7" a="1"/>
  <c r="F219" i="7" s="1"/>
  <c r="F222" i="7" a="1"/>
  <c r="F222" i="7" s="1"/>
  <c r="F220" i="7" a="1"/>
  <c r="F220" i="7" s="1"/>
  <c r="F221" i="7" a="1"/>
  <c r="F221" i="7" s="1"/>
  <c r="F220" i="12" a="1"/>
  <c r="F220" i="12" s="1"/>
  <c r="F221" i="12" a="1"/>
  <c r="F221" i="12" s="1"/>
  <c r="F222" i="12" a="1"/>
  <c r="F222" i="12" s="1"/>
  <c r="F223" i="12" a="1"/>
  <c r="F223" i="12" s="1"/>
  <c r="F218" i="12" a="1"/>
  <c r="F218" i="12" s="1"/>
  <c r="F219" i="12" a="1"/>
  <c r="F219" i="12" s="1"/>
  <c r="F219" i="8" a="1"/>
  <c r="F219" i="8" s="1"/>
  <c r="F220" i="8" a="1"/>
  <c r="F220" i="8" s="1"/>
  <c r="F221" i="8" a="1"/>
  <c r="F221" i="8" s="1"/>
  <c r="F222" i="8" a="1"/>
  <c r="F222" i="8" s="1"/>
  <c r="F223" i="8" a="1"/>
  <c r="F223" i="8" s="1"/>
  <c r="F218" i="8" a="1"/>
  <c r="F218" i="8" s="1"/>
  <c r="F222" i="9" a="1"/>
  <c r="F222" i="9" s="1"/>
  <c r="F221" i="9" a="1"/>
  <c r="F221" i="9" s="1"/>
  <c r="F223" i="9" a="1"/>
  <c r="F223" i="9" s="1"/>
  <c r="F218" i="9" a="1"/>
  <c r="F218" i="9" s="1"/>
  <c r="F220" i="9" a="1"/>
  <c r="F220" i="9" s="1"/>
  <c r="F219" i="9" a="1"/>
  <c r="F219" i="9" s="1"/>
  <c r="F218" i="10" a="1"/>
  <c r="F218" i="10" s="1"/>
  <c r="F219" i="10" a="1"/>
  <c r="F219" i="10" s="1"/>
  <c r="F220" i="10" a="1"/>
  <c r="F220" i="10" s="1"/>
  <c r="F221" i="10" a="1"/>
  <c r="F221" i="10" s="1"/>
  <c r="F223" i="10" a="1"/>
  <c r="F223" i="10" s="1"/>
  <c r="F222" i="10" a="1"/>
  <c r="F222" i="10" s="1"/>
  <c r="F223" i="5" a="1"/>
  <c r="F223" i="5" s="1"/>
  <c r="F222" i="5" a="1"/>
  <c r="F222" i="5" s="1"/>
  <c r="F221" i="5" a="1"/>
  <c r="F221" i="5" s="1"/>
  <c r="F218" i="5" a="1"/>
  <c r="F218" i="5" s="1"/>
  <c r="F219" i="5" a="1"/>
  <c r="F219" i="5" s="1"/>
  <c r="F220" i="5" a="1"/>
  <c r="F220" i="5" s="1"/>
  <c r="F223" i="6" a="1"/>
  <c r="F223" i="6" s="1"/>
  <c r="F218" i="6" a="1"/>
  <c r="F218" i="6" s="1"/>
  <c r="F222" i="6" a="1"/>
  <c r="F222" i="6" s="1"/>
  <c r="F219" i="6" a="1"/>
  <c r="F219" i="6" s="1"/>
  <c r="F221" i="6" a="1"/>
  <c r="F221" i="6" s="1"/>
  <c r="F220" i="6" a="1"/>
  <c r="F220" i="6" s="1"/>
  <c r="F210" i="9" a="1"/>
  <c r="F210" i="9" s="1"/>
  <c r="F217" i="9" a="1"/>
  <c r="F217" i="9" s="1"/>
  <c r="F211" i="9" a="1"/>
  <c r="F211" i="9" s="1"/>
  <c r="F212" i="9" a="1"/>
  <c r="F212" i="9" s="1"/>
  <c r="F213" i="9" a="1"/>
  <c r="F213" i="9" s="1"/>
  <c r="F214" i="9" a="1"/>
  <c r="F214" i="9" s="1"/>
  <c r="F216" i="9" a="1"/>
  <c r="F216" i="9" s="1"/>
  <c r="F215" i="9" a="1"/>
  <c r="F215" i="9" s="1"/>
  <c r="F210" i="10" a="1"/>
  <c r="F210" i="10" s="1"/>
  <c r="F211" i="10" a="1"/>
  <c r="F211" i="10" s="1"/>
  <c r="F212" i="10" a="1"/>
  <c r="F212" i="10" s="1"/>
  <c r="F213" i="10" a="1"/>
  <c r="F213" i="10" s="1"/>
  <c r="F214" i="10" a="1"/>
  <c r="F214" i="10" s="1"/>
  <c r="F217" i="10" a="1"/>
  <c r="F217" i="10" s="1"/>
  <c r="F215" i="10" a="1"/>
  <c r="F215" i="10" s="1"/>
  <c r="F216" i="10" a="1"/>
  <c r="F216" i="10" s="1"/>
  <c r="F210" i="5" a="1"/>
  <c r="F210" i="5" s="1"/>
  <c r="F212" i="5" a="1"/>
  <c r="F212" i="5" s="1"/>
  <c r="F213" i="5" a="1"/>
  <c r="F213" i="5" s="1"/>
  <c r="F214" i="5" a="1"/>
  <c r="F214" i="5" s="1"/>
  <c r="F215" i="5" a="1"/>
  <c r="F215" i="5" s="1"/>
  <c r="F216" i="5" a="1"/>
  <c r="F216" i="5" s="1"/>
  <c r="F217" i="5" a="1"/>
  <c r="F217" i="5" s="1"/>
  <c r="F211" i="5" a="1"/>
  <c r="F211" i="5" s="1"/>
  <c r="F210" i="6" a="1"/>
  <c r="F210" i="6" s="1"/>
  <c r="F212" i="6" a="1"/>
  <c r="F212" i="6" s="1"/>
  <c r="F213" i="6" a="1"/>
  <c r="F213" i="6" s="1"/>
  <c r="F214" i="6" a="1"/>
  <c r="F214" i="6" s="1"/>
  <c r="F215" i="6" a="1"/>
  <c r="F215" i="6" s="1"/>
  <c r="F216" i="6" a="1"/>
  <c r="F216" i="6" s="1"/>
  <c r="F217" i="6" a="1"/>
  <c r="F217" i="6" s="1"/>
  <c r="F211" i="6" a="1"/>
  <c r="F211" i="6" s="1"/>
  <c r="F210" i="7" a="1"/>
  <c r="F210" i="7" s="1"/>
  <c r="F213" i="7" a="1"/>
  <c r="F213" i="7" s="1"/>
  <c r="F214" i="7" a="1"/>
  <c r="F214" i="7" s="1"/>
  <c r="F215" i="7" a="1"/>
  <c r="F215" i="7" s="1"/>
  <c r="F216" i="7" a="1"/>
  <c r="F216" i="7" s="1"/>
  <c r="F217" i="7" a="1"/>
  <c r="F217" i="7" s="1"/>
  <c r="F211" i="7" a="1"/>
  <c r="F211" i="7" s="1"/>
  <c r="F212" i="7" a="1"/>
  <c r="F212" i="7" s="1"/>
  <c r="F210" i="12" a="1"/>
  <c r="F210" i="12" s="1"/>
  <c r="F217" i="12" a="1"/>
  <c r="F217" i="12" s="1"/>
  <c r="F215" i="12" a="1"/>
  <c r="F215" i="12" s="1"/>
  <c r="F211" i="12" a="1"/>
  <c r="F211" i="12" s="1"/>
  <c r="F212" i="12" a="1"/>
  <c r="F212" i="12" s="1"/>
  <c r="F213" i="12" a="1"/>
  <c r="F213" i="12" s="1"/>
  <c r="F214" i="12" a="1"/>
  <c r="F214" i="12" s="1"/>
  <c r="F216" i="12" a="1"/>
  <c r="F216" i="12" s="1"/>
  <c r="F210" i="8" a="1"/>
  <c r="F210" i="8" s="1"/>
  <c r="F215" i="8" a="1"/>
  <c r="F215" i="8" s="1"/>
  <c r="F216" i="8" a="1"/>
  <c r="F216" i="8" s="1"/>
  <c r="F217" i="8" a="1"/>
  <c r="F217" i="8" s="1"/>
  <c r="F213" i="8" a="1"/>
  <c r="F213" i="8" s="1"/>
  <c r="F211" i="8" a="1"/>
  <c r="F211" i="8" s="1"/>
  <c r="F212" i="8" a="1"/>
  <c r="F212" i="8" s="1"/>
  <c r="F214" i="8" a="1"/>
  <c r="F214" i="8" s="1"/>
  <c r="F203" i="10" a="1"/>
  <c r="F203" i="10" s="1"/>
  <c r="F201" i="10" a="1"/>
  <c r="F201" i="10" s="1"/>
  <c r="F204" i="10" a="1"/>
  <c r="F204" i="10" s="1"/>
  <c r="F205" i="10" a="1"/>
  <c r="F205" i="10" s="1"/>
  <c r="F206" i="10" a="1"/>
  <c r="F206" i="10" s="1"/>
  <c r="F207" i="10" a="1"/>
  <c r="F207" i="10" s="1"/>
  <c r="F209" i="10" a="1"/>
  <c r="F209" i="10" s="1"/>
  <c r="F208" i="10" a="1"/>
  <c r="F208" i="10" s="1"/>
  <c r="F202" i="10" a="1"/>
  <c r="F202" i="10" s="1"/>
  <c r="F199" i="10" a="1"/>
  <c r="F199" i="10" s="1"/>
  <c r="F198" i="10" a="1"/>
  <c r="F198" i="10" s="1"/>
  <c r="F197" i="10" a="1"/>
  <c r="F197" i="10" s="1"/>
  <c r="F196" i="10" a="1"/>
  <c r="F196" i="10" s="1"/>
  <c r="F193" i="10" a="1"/>
  <c r="F193" i="10" s="1"/>
  <c r="F195" i="10" a="1"/>
  <c r="F195" i="10" s="1"/>
  <c r="F194" i="10" a="1"/>
  <c r="F194" i="10" s="1"/>
  <c r="F200" i="10" a="1"/>
  <c r="F200" i="10" s="1"/>
  <c r="F192" i="10" a="1"/>
  <c r="F192" i="10" s="1"/>
  <c r="F207" i="9" a="1"/>
  <c r="F207" i="9" s="1"/>
  <c r="F208" i="9" a="1"/>
  <c r="F208" i="9" s="1"/>
  <c r="F205" i="9" a="1"/>
  <c r="F205" i="9" s="1"/>
  <c r="F201" i="9" a="1"/>
  <c r="F201" i="9" s="1"/>
  <c r="F209" i="9" a="1"/>
  <c r="F209" i="9" s="1"/>
  <c r="F202" i="9" a="1"/>
  <c r="F202" i="9" s="1"/>
  <c r="F203" i="9" a="1"/>
  <c r="F203" i="9" s="1"/>
  <c r="F204" i="9" a="1"/>
  <c r="F204" i="9" s="1"/>
  <c r="F206" i="9" a="1"/>
  <c r="F206" i="9" s="1"/>
  <c r="F200" i="9" a="1"/>
  <c r="F200" i="9" s="1"/>
  <c r="F192" i="9" a="1"/>
  <c r="F192" i="9" s="1"/>
  <c r="F199" i="9" a="1"/>
  <c r="F199" i="9" s="1"/>
  <c r="F198" i="9" a="1"/>
  <c r="F198" i="9" s="1"/>
  <c r="F197" i="9" a="1"/>
  <c r="F197" i="9" s="1"/>
  <c r="F196" i="9" a="1"/>
  <c r="F196" i="9" s="1"/>
  <c r="F194" i="9" a="1"/>
  <c r="F194" i="9" s="1"/>
  <c r="F195" i="9" a="1"/>
  <c r="F195" i="9" s="1"/>
  <c r="F193" i="9" a="1"/>
  <c r="F193" i="9" s="1"/>
  <c r="F207" i="12" a="1"/>
  <c r="F207" i="12" s="1"/>
  <c r="F208" i="12" a="1"/>
  <c r="F208" i="12" s="1"/>
  <c r="F201" i="12" a="1"/>
  <c r="F201" i="12" s="1"/>
  <c r="F209" i="12" a="1"/>
  <c r="F209" i="12" s="1"/>
  <c r="F202" i="12" a="1"/>
  <c r="F202" i="12" s="1"/>
  <c r="F205" i="12" a="1"/>
  <c r="F205" i="12" s="1"/>
  <c r="F203" i="12" a="1"/>
  <c r="F203" i="12" s="1"/>
  <c r="F204" i="12" a="1"/>
  <c r="F204" i="12" s="1"/>
  <c r="F206" i="12" a="1"/>
  <c r="F206" i="12" s="1"/>
  <c r="F196" i="12" a="1"/>
  <c r="F196" i="12" s="1"/>
  <c r="F197" i="12" a="1"/>
  <c r="F197" i="12" s="1"/>
  <c r="F198" i="12" a="1"/>
  <c r="F198" i="12" s="1"/>
  <c r="F199" i="12" a="1"/>
  <c r="F199" i="12" s="1"/>
  <c r="F192" i="12" a="1"/>
  <c r="F192" i="12" s="1"/>
  <c r="F200" i="12" a="1"/>
  <c r="F200" i="12" s="1"/>
  <c r="F194" i="12" a="1"/>
  <c r="F194" i="12" s="1"/>
  <c r="F195" i="12" a="1"/>
  <c r="F195" i="12" s="1"/>
  <c r="F193" i="12" a="1"/>
  <c r="F193" i="12" s="1"/>
  <c r="F206" i="5" a="1"/>
  <c r="F206" i="5" s="1"/>
  <c r="F204" i="5" a="1"/>
  <c r="F204" i="5" s="1"/>
  <c r="F207" i="5" a="1"/>
  <c r="F207" i="5" s="1"/>
  <c r="F208" i="5" a="1"/>
  <c r="F208" i="5" s="1"/>
  <c r="F201" i="5" a="1"/>
  <c r="F201" i="5" s="1"/>
  <c r="F209" i="5" a="1"/>
  <c r="F209" i="5" s="1"/>
  <c r="F202" i="5" a="1"/>
  <c r="F202" i="5" s="1"/>
  <c r="F203" i="5" a="1"/>
  <c r="F203" i="5" s="1"/>
  <c r="F205" i="5" a="1"/>
  <c r="F205" i="5" s="1"/>
  <c r="F196" i="5" a="1"/>
  <c r="F196" i="5" s="1"/>
  <c r="F195" i="5" a="1"/>
  <c r="F195" i="5" s="1"/>
  <c r="F194" i="5" a="1"/>
  <c r="F194" i="5" s="1"/>
  <c r="F193" i="5" a="1"/>
  <c r="F193" i="5" s="1"/>
  <c r="F199" i="5" a="1"/>
  <c r="F199" i="5" s="1"/>
  <c r="F198" i="5" a="1"/>
  <c r="F198" i="5" s="1"/>
  <c r="F200" i="5" a="1"/>
  <c r="F200" i="5" s="1"/>
  <c r="F192" i="5" a="1"/>
  <c r="F192" i="5" s="1"/>
  <c r="F197" i="5" a="1"/>
  <c r="F197" i="5" s="1"/>
  <c r="F202" i="6" a="1"/>
  <c r="F202" i="6" s="1"/>
  <c r="F203" i="6" a="1"/>
  <c r="F203" i="6" s="1"/>
  <c r="F204" i="6" a="1"/>
  <c r="F204" i="6" s="1"/>
  <c r="F205" i="6" a="1"/>
  <c r="F205" i="6" s="1"/>
  <c r="F206" i="6" a="1"/>
  <c r="F206" i="6" s="1"/>
  <c r="F207" i="6" a="1"/>
  <c r="F207" i="6" s="1"/>
  <c r="F208" i="6" a="1"/>
  <c r="F208" i="6" s="1"/>
  <c r="F201" i="6" a="1"/>
  <c r="F201" i="6" s="1"/>
  <c r="F209" i="6" a="1"/>
  <c r="F209" i="6" s="1"/>
  <c r="F194" i="6" a="1"/>
  <c r="F194" i="6" s="1"/>
  <c r="F193" i="6" a="1"/>
  <c r="F193" i="6" s="1"/>
  <c r="F200" i="6" a="1"/>
  <c r="F200" i="6" s="1"/>
  <c r="F192" i="6" a="1"/>
  <c r="F192" i="6" s="1"/>
  <c r="F197" i="6" a="1"/>
  <c r="F197" i="6" s="1"/>
  <c r="F199" i="6" a="1"/>
  <c r="F199" i="6" s="1"/>
  <c r="F198" i="6" a="1"/>
  <c r="F198" i="6" s="1"/>
  <c r="F196" i="6" a="1"/>
  <c r="F196" i="6" s="1"/>
  <c r="F195" i="6" a="1"/>
  <c r="F195" i="6" s="1"/>
  <c r="F207" i="7" a="1"/>
  <c r="F207" i="7" s="1"/>
  <c r="F208" i="7" a="1"/>
  <c r="F208" i="7" s="1"/>
  <c r="F201" i="7" a="1"/>
  <c r="F201" i="7" s="1"/>
  <c r="F209" i="7" a="1"/>
  <c r="F209" i="7" s="1"/>
  <c r="F202" i="7" a="1"/>
  <c r="F202" i="7" s="1"/>
  <c r="F203" i="7" a="1"/>
  <c r="F203" i="7" s="1"/>
  <c r="F204" i="7" a="1"/>
  <c r="F204" i="7" s="1"/>
  <c r="F206" i="7" a="1"/>
  <c r="F206" i="7" s="1"/>
  <c r="F205" i="7" a="1"/>
  <c r="F205" i="7" s="1"/>
  <c r="F194" i="7" a="1"/>
  <c r="F194" i="7" s="1"/>
  <c r="F193" i="7" a="1"/>
  <c r="F193" i="7" s="1"/>
  <c r="F200" i="7" a="1"/>
  <c r="F200" i="7" s="1"/>
  <c r="F192" i="7" a="1"/>
  <c r="F192" i="7" s="1"/>
  <c r="F199" i="7" a="1"/>
  <c r="F199" i="7" s="1"/>
  <c r="F198" i="7" a="1"/>
  <c r="F198" i="7" s="1"/>
  <c r="F197" i="7" a="1"/>
  <c r="F197" i="7" s="1"/>
  <c r="F196" i="7" a="1"/>
  <c r="F196" i="7" s="1"/>
  <c r="F195" i="7" a="1"/>
  <c r="F195" i="7" s="1"/>
  <c r="F203" i="8" a="1"/>
  <c r="F203" i="8" s="1"/>
  <c r="F204" i="8" a="1"/>
  <c r="F204" i="8" s="1"/>
  <c r="F205" i="8" a="1"/>
  <c r="F205" i="8" s="1"/>
  <c r="F206" i="8" a="1"/>
  <c r="F206" i="8" s="1"/>
  <c r="F201" i="8" a="1"/>
  <c r="F201" i="8" s="1"/>
  <c r="F207" i="8" a="1"/>
  <c r="F207" i="8" s="1"/>
  <c r="F209" i="8" a="1"/>
  <c r="F209" i="8" s="1"/>
  <c r="F208" i="8" a="1"/>
  <c r="F208" i="8" s="1"/>
  <c r="F202" i="8" a="1"/>
  <c r="F202" i="8" s="1"/>
  <c r="F200" i="8" a="1"/>
  <c r="F200" i="8" s="1"/>
  <c r="F192" i="8" a="1"/>
  <c r="F192" i="8" s="1"/>
  <c r="F199" i="8" a="1"/>
  <c r="F199" i="8" s="1"/>
  <c r="F198" i="8" a="1"/>
  <c r="F198" i="8" s="1"/>
  <c r="F195" i="8" a="1"/>
  <c r="F195" i="8" s="1"/>
  <c r="F197" i="8" a="1"/>
  <c r="F197" i="8" s="1"/>
  <c r="F196" i="8" a="1"/>
  <c r="F196" i="8" s="1"/>
  <c r="F194" i="8" a="1"/>
  <c r="F194" i="8" s="1"/>
  <c r="F193" i="8" a="1"/>
  <c r="F193" i="8" s="1"/>
  <c r="F188" i="9" a="1"/>
  <c r="F188" i="9" s="1"/>
  <c r="F180" i="9" a="1"/>
  <c r="F180" i="9" s="1"/>
  <c r="F187" i="9" a="1"/>
  <c r="F187" i="9" s="1"/>
  <c r="F179" i="9" a="1"/>
  <c r="F179" i="9" s="1"/>
  <c r="F186" i="9" a="1"/>
  <c r="F186" i="9" s="1"/>
  <c r="F178" i="9" a="1"/>
  <c r="F178" i="9" s="1"/>
  <c r="F174" i="9" a="1"/>
  <c r="F174" i="9" s="1"/>
  <c r="F185" i="9" a="1"/>
  <c r="F185" i="9" s="1"/>
  <c r="F177" i="9" a="1"/>
  <c r="F177" i="9" s="1"/>
  <c r="F184" i="9" a="1"/>
  <c r="F184" i="9" s="1"/>
  <c r="F176" i="9" a="1"/>
  <c r="F176" i="9" s="1"/>
  <c r="F190" i="9" a="1"/>
  <c r="F190" i="9" s="1"/>
  <c r="F191" i="9" a="1"/>
  <c r="F191" i="9" s="1"/>
  <c r="F183" i="9" a="1"/>
  <c r="F183" i="9" s="1"/>
  <c r="F175" i="9" a="1"/>
  <c r="F175" i="9" s="1"/>
  <c r="F189" i="9" a="1"/>
  <c r="F189" i="9" s="1"/>
  <c r="F181" i="9" a="1"/>
  <c r="F181" i="9" s="1"/>
  <c r="F182" i="9" a="1"/>
  <c r="F182" i="9" s="1"/>
  <c r="F185" i="10" a="1"/>
  <c r="F185" i="10" s="1"/>
  <c r="F177" i="10" a="1"/>
  <c r="F177" i="10" s="1"/>
  <c r="F179" i="10" a="1"/>
  <c r="F179" i="10" s="1"/>
  <c r="F184" i="10" a="1"/>
  <c r="F184" i="10" s="1"/>
  <c r="F176" i="10" a="1"/>
  <c r="F176" i="10" s="1"/>
  <c r="F191" i="10" a="1"/>
  <c r="F191" i="10" s="1"/>
  <c r="F183" i="10" a="1"/>
  <c r="F183" i="10" s="1"/>
  <c r="F175" i="10" a="1"/>
  <c r="F175" i="10" s="1"/>
  <c r="F190" i="10" a="1"/>
  <c r="F190" i="10" s="1"/>
  <c r="F182" i="10" a="1"/>
  <c r="F182" i="10" s="1"/>
  <c r="F174" i="10" a="1"/>
  <c r="F174" i="10" s="1"/>
  <c r="F189" i="10" a="1"/>
  <c r="F189" i="10" s="1"/>
  <c r="F181" i="10" a="1"/>
  <c r="F181" i="10" s="1"/>
  <c r="F188" i="10" a="1"/>
  <c r="F188" i="10" s="1"/>
  <c r="F180" i="10" a="1"/>
  <c r="F180" i="10" s="1"/>
  <c r="F187" i="10" a="1"/>
  <c r="F187" i="10" s="1"/>
  <c r="F186" i="10" a="1"/>
  <c r="F186" i="10" s="1"/>
  <c r="F178" i="10" a="1"/>
  <c r="F178" i="10" s="1"/>
  <c r="F179" i="12" a="1"/>
  <c r="F179" i="12" s="1"/>
  <c r="F187" i="12" a="1"/>
  <c r="F187" i="12" s="1"/>
  <c r="F180" i="12" a="1"/>
  <c r="F180" i="12" s="1"/>
  <c r="F188" i="12" a="1"/>
  <c r="F188" i="12" s="1"/>
  <c r="F177" i="12" a="1"/>
  <c r="F177" i="12" s="1"/>
  <c r="F181" i="12" a="1"/>
  <c r="F181" i="12" s="1"/>
  <c r="F189" i="12" a="1"/>
  <c r="F189" i="12" s="1"/>
  <c r="F174" i="12" a="1"/>
  <c r="F174" i="12" s="1"/>
  <c r="F182" i="12" a="1"/>
  <c r="F182" i="12" s="1"/>
  <c r="F190" i="12" a="1"/>
  <c r="F190" i="12" s="1"/>
  <c r="F185" i="12" a="1"/>
  <c r="F185" i="12" s="1"/>
  <c r="F175" i="12" a="1"/>
  <c r="F175" i="12" s="1"/>
  <c r="F183" i="12" a="1"/>
  <c r="F183" i="12" s="1"/>
  <c r="F191" i="12" a="1"/>
  <c r="F191" i="12" s="1"/>
  <c r="F176" i="12" a="1"/>
  <c r="F176" i="12" s="1"/>
  <c r="F184" i="12" a="1"/>
  <c r="F184" i="12" s="1"/>
  <c r="F178" i="12" a="1"/>
  <c r="F178" i="12" s="1"/>
  <c r="F186" i="12" a="1"/>
  <c r="F186" i="12" s="1"/>
  <c r="F184" i="5" a="1"/>
  <c r="F184" i="5" s="1"/>
  <c r="F176" i="5" a="1"/>
  <c r="F176" i="5" s="1"/>
  <c r="F178" i="5" a="1"/>
  <c r="F178" i="5" s="1"/>
  <c r="F191" i="5" a="1"/>
  <c r="F191" i="5" s="1"/>
  <c r="F183" i="5" a="1"/>
  <c r="F183" i="5" s="1"/>
  <c r="F175" i="5" a="1"/>
  <c r="F175" i="5" s="1"/>
  <c r="F190" i="5" a="1"/>
  <c r="F190" i="5" s="1"/>
  <c r="F182" i="5" a="1"/>
  <c r="F182" i="5" s="1"/>
  <c r="F174" i="5" a="1"/>
  <c r="F174" i="5" s="1"/>
  <c r="F189" i="5" a="1"/>
  <c r="F189" i="5" s="1"/>
  <c r="F181" i="5" a="1"/>
  <c r="F181" i="5" s="1"/>
  <c r="F188" i="5" a="1"/>
  <c r="F188" i="5" s="1"/>
  <c r="F180" i="5" a="1"/>
  <c r="F180" i="5" s="1"/>
  <c r="F187" i="5" a="1"/>
  <c r="F187" i="5" s="1"/>
  <c r="F179" i="5" a="1"/>
  <c r="F179" i="5" s="1"/>
  <c r="F186" i="5" a="1"/>
  <c r="F186" i="5" s="1"/>
  <c r="F185" i="5" a="1"/>
  <c r="F185" i="5" s="1"/>
  <c r="F177" i="5" a="1"/>
  <c r="F177" i="5" s="1"/>
  <c r="F187" i="6" a="1"/>
  <c r="F187" i="6" s="1"/>
  <c r="F179" i="6" a="1"/>
  <c r="F179" i="6" s="1"/>
  <c r="F186" i="6" a="1"/>
  <c r="F186" i="6" s="1"/>
  <c r="F178" i="6" a="1"/>
  <c r="F178" i="6" s="1"/>
  <c r="F189" i="6" a="1"/>
  <c r="F189" i="6" s="1"/>
  <c r="F185" i="6" a="1"/>
  <c r="F185" i="6" s="1"/>
  <c r="F177" i="6" a="1"/>
  <c r="F177" i="6" s="1"/>
  <c r="F184" i="6" a="1"/>
  <c r="F184" i="6" s="1"/>
  <c r="F176" i="6" a="1"/>
  <c r="F176" i="6" s="1"/>
  <c r="F181" i="6" a="1"/>
  <c r="F181" i="6" s="1"/>
  <c r="F191" i="6" a="1"/>
  <c r="F191" i="6" s="1"/>
  <c r="F183" i="6" a="1"/>
  <c r="F183" i="6" s="1"/>
  <c r="F175" i="6" a="1"/>
  <c r="F175" i="6" s="1"/>
  <c r="F190" i="6" a="1"/>
  <c r="F190" i="6" s="1"/>
  <c r="F182" i="6" a="1"/>
  <c r="F182" i="6" s="1"/>
  <c r="F174" i="6" a="1"/>
  <c r="F174" i="6" s="1"/>
  <c r="F188" i="6" a="1"/>
  <c r="F188" i="6" s="1"/>
  <c r="F180" i="6" a="1"/>
  <c r="F180" i="6" s="1"/>
  <c r="F190" i="7" a="1"/>
  <c r="F190" i="7" s="1"/>
  <c r="F182" i="7" a="1"/>
  <c r="F182" i="7" s="1"/>
  <c r="F174" i="7" a="1"/>
  <c r="F174" i="7" s="1"/>
  <c r="F184" i="7" a="1"/>
  <c r="F184" i="7" s="1"/>
  <c r="F189" i="7" a="1"/>
  <c r="F189" i="7" s="1"/>
  <c r="F181" i="7" a="1"/>
  <c r="F181" i="7" s="1"/>
  <c r="F188" i="7" a="1"/>
  <c r="F188" i="7" s="1"/>
  <c r="F180" i="7" a="1"/>
  <c r="F180" i="7" s="1"/>
  <c r="F187" i="7" a="1"/>
  <c r="F187" i="7" s="1"/>
  <c r="F179" i="7" a="1"/>
  <c r="F179" i="7" s="1"/>
  <c r="F186" i="7" a="1"/>
  <c r="F186" i="7" s="1"/>
  <c r="F178" i="7" a="1"/>
  <c r="F178" i="7" s="1"/>
  <c r="F185" i="7" a="1"/>
  <c r="F185" i="7" s="1"/>
  <c r="F177" i="7" a="1"/>
  <c r="F177" i="7" s="1"/>
  <c r="F176" i="7" a="1"/>
  <c r="F176" i="7" s="1"/>
  <c r="F191" i="7" a="1"/>
  <c r="F191" i="7" s="1"/>
  <c r="F183" i="7" a="1"/>
  <c r="F183" i="7" s="1"/>
  <c r="F175" i="7" a="1"/>
  <c r="F175" i="7" s="1"/>
  <c r="F185" i="8" a="1"/>
  <c r="F185" i="8" s="1"/>
  <c r="F177" i="8" a="1"/>
  <c r="F177" i="8" s="1"/>
  <c r="F184" i="8" a="1"/>
  <c r="F184" i="8" s="1"/>
  <c r="F176" i="8" a="1"/>
  <c r="F176" i="8" s="1"/>
  <c r="F187" i="8" a="1"/>
  <c r="F187" i="8" s="1"/>
  <c r="F191" i="8" a="1"/>
  <c r="F191" i="8" s="1"/>
  <c r="F183" i="8" a="1"/>
  <c r="F183" i="8" s="1"/>
  <c r="F175" i="8" a="1"/>
  <c r="F175" i="8" s="1"/>
  <c r="F190" i="8" a="1"/>
  <c r="F190" i="8" s="1"/>
  <c r="F182" i="8" a="1"/>
  <c r="F182" i="8" s="1"/>
  <c r="F174" i="8" a="1"/>
  <c r="F174" i="8" s="1"/>
  <c r="F179" i="8" a="1"/>
  <c r="F179" i="8" s="1"/>
  <c r="F189" i="8" a="1"/>
  <c r="F189" i="8" s="1"/>
  <c r="F181" i="8" a="1"/>
  <c r="F181" i="8" s="1"/>
  <c r="F188" i="8" a="1"/>
  <c r="F188" i="8" s="1"/>
  <c r="F180" i="8" a="1"/>
  <c r="F180" i="8" s="1"/>
  <c r="F186" i="8" a="1"/>
  <c r="F186" i="8" s="1"/>
  <c r="F178" i="8" a="1"/>
  <c r="F178" i="8" s="1"/>
  <c r="F172" i="9" a="1"/>
  <c r="F172" i="9" s="1"/>
  <c r="F173" i="9" a="1"/>
  <c r="F173" i="9" s="1"/>
  <c r="F173" i="10" a="1"/>
  <c r="F173" i="10" s="1"/>
  <c r="F172" i="10" a="1"/>
  <c r="F172" i="10" s="1"/>
  <c r="F173" i="5" a="1"/>
  <c r="F173" i="5" s="1"/>
  <c r="F172" i="5" a="1"/>
  <c r="F172" i="5" s="1"/>
  <c r="F172" i="6" a="1"/>
  <c r="F172" i="6" s="1"/>
  <c r="F173" i="6" a="1"/>
  <c r="F173" i="6" s="1"/>
  <c r="F173" i="7" a="1"/>
  <c r="F173" i="7" s="1"/>
  <c r="F172" i="7" a="1"/>
  <c r="F172" i="7" s="1"/>
  <c r="F172" i="12" a="1"/>
  <c r="F172" i="12" s="1"/>
  <c r="F173" i="12" a="1"/>
  <c r="F173" i="12" s="1"/>
  <c r="F173" i="8" a="1"/>
  <c r="F173" i="8" s="1"/>
  <c r="F172" i="8" a="1"/>
  <c r="F172" i="8" s="1"/>
  <c r="F171" i="7" a="1"/>
  <c r="F171" i="7" s="1"/>
  <c r="F170" i="7" a="1"/>
  <c r="F170" i="7" s="1"/>
  <c r="F170" i="12" a="1"/>
  <c r="F170" i="12" s="1"/>
  <c r="F171" i="12" a="1"/>
  <c r="F171" i="12" s="1"/>
  <c r="F171" i="8" a="1"/>
  <c r="F171" i="8" s="1"/>
  <c r="F170" i="8" a="1"/>
  <c r="F170" i="8" s="1"/>
  <c r="F171" i="9" a="1"/>
  <c r="F171" i="9" s="1"/>
  <c r="F170" i="9" a="1"/>
  <c r="F170" i="9" s="1"/>
  <c r="F171" i="10" a="1"/>
  <c r="F171" i="10" s="1"/>
  <c r="F170" i="10" a="1"/>
  <c r="F170" i="10" s="1"/>
  <c r="F171" i="5" a="1"/>
  <c r="F171" i="5" s="1"/>
  <c r="F170" i="5" a="1"/>
  <c r="F170" i="5" s="1"/>
  <c r="F171" i="6" a="1"/>
  <c r="F171" i="6" s="1"/>
  <c r="F170" i="6" a="1"/>
  <c r="F170" i="6" s="1"/>
  <c r="F168" i="8" a="1"/>
  <c r="F168" i="8" s="1"/>
  <c r="F169" i="8" a="1"/>
  <c r="F169" i="8" s="1"/>
  <c r="F168" i="9" a="1"/>
  <c r="F168" i="9" s="1"/>
  <c r="F169" i="9" a="1"/>
  <c r="F169" i="9" s="1"/>
  <c r="F168" i="5" a="1"/>
  <c r="F168" i="5" s="1"/>
  <c r="F169" i="5" a="1"/>
  <c r="F169" i="5" s="1"/>
  <c r="F168" i="6" a="1"/>
  <c r="F168" i="6" s="1"/>
  <c r="F169" i="6" a="1"/>
  <c r="F169" i="6" s="1"/>
  <c r="F168" i="12" a="1"/>
  <c r="F168" i="12" s="1"/>
  <c r="F169" i="12" a="1"/>
  <c r="F169" i="12" s="1"/>
  <c r="F168" i="10" a="1"/>
  <c r="F168" i="10" s="1"/>
  <c r="F169" i="10" a="1"/>
  <c r="F169" i="10" s="1"/>
  <c r="F168" i="7" a="1"/>
  <c r="F168" i="7" s="1"/>
  <c r="F169" i="7" a="1"/>
  <c r="F169" i="7" s="1"/>
  <c r="F166" i="7" a="1"/>
  <c r="F166" i="7" s="1"/>
  <c r="F165" i="7" a="1"/>
  <c r="F165" i="7" s="1"/>
  <c r="F164" i="7" a="1"/>
  <c r="F164" i="7" s="1"/>
  <c r="F167" i="7" a="1"/>
  <c r="F167" i="7" s="1"/>
  <c r="F167" i="12" a="1"/>
  <c r="F167" i="12" s="1"/>
  <c r="F166" i="12" a="1"/>
  <c r="F166" i="12" s="1"/>
  <c r="F164" i="12" a="1"/>
  <c r="F164" i="12" s="1"/>
  <c r="F165" i="12" a="1"/>
  <c r="F165" i="12" s="1"/>
  <c r="F167" i="8" a="1"/>
  <c r="F167" i="8" s="1"/>
  <c r="F166" i="8" a="1"/>
  <c r="F166" i="8" s="1"/>
  <c r="F165" i="8" a="1"/>
  <c r="F165" i="8" s="1"/>
  <c r="F164" i="8" a="1"/>
  <c r="F164" i="8" s="1"/>
  <c r="F164" i="9" a="1"/>
  <c r="F164" i="9" s="1"/>
  <c r="F165" i="9" a="1"/>
  <c r="F165" i="9" s="1"/>
  <c r="F167" i="9" a="1"/>
  <c r="F167" i="9" s="1"/>
  <c r="F166" i="9" a="1"/>
  <c r="F166" i="9" s="1"/>
  <c r="F167" i="10" a="1"/>
  <c r="F167" i="10" s="1"/>
  <c r="F166" i="10" a="1"/>
  <c r="F166" i="10" s="1"/>
  <c r="F165" i="10" a="1"/>
  <c r="F165" i="10" s="1"/>
  <c r="F164" i="10" a="1"/>
  <c r="F164" i="10" s="1"/>
  <c r="F167" i="5" a="1"/>
  <c r="F167" i="5" s="1"/>
  <c r="F166" i="5" a="1"/>
  <c r="F166" i="5" s="1"/>
  <c r="F165" i="5" a="1"/>
  <c r="F165" i="5" s="1"/>
  <c r="F164" i="5" a="1"/>
  <c r="F164" i="5" s="1"/>
  <c r="F164" i="6" a="1"/>
  <c r="F164" i="6" s="1"/>
  <c r="F167" i="6" a="1"/>
  <c r="F167" i="6" s="1"/>
  <c r="F166" i="6" a="1"/>
  <c r="F166" i="6" s="1"/>
  <c r="F165" i="6" a="1"/>
  <c r="F165" i="6" s="1"/>
  <c r="F161" i="9" a="1"/>
  <c r="F161" i="9" s="1"/>
  <c r="F160" i="9" a="1"/>
  <c r="F160" i="9" s="1"/>
  <c r="F163" i="9" a="1"/>
  <c r="F163" i="9" s="1"/>
  <c r="F162" i="9" a="1"/>
  <c r="F162" i="9" s="1"/>
  <c r="F161" i="5" a="1"/>
  <c r="F161" i="5" s="1"/>
  <c r="F160" i="5" a="1"/>
  <c r="F160" i="5" s="1"/>
  <c r="F163" i="5" a="1"/>
  <c r="F163" i="5" s="1"/>
  <c r="F162" i="5" a="1"/>
  <c r="F162" i="5" s="1"/>
  <c r="F163" i="7" a="1"/>
  <c r="F163" i="7" s="1"/>
  <c r="F160" i="7" a="1"/>
  <c r="F160" i="7" s="1"/>
  <c r="F162" i="7" a="1"/>
  <c r="F162" i="7" s="1"/>
  <c r="F161" i="7" a="1"/>
  <c r="F161" i="7" s="1"/>
  <c r="F160" i="10" a="1"/>
  <c r="F160" i="10" s="1"/>
  <c r="F162" i="10" a="1"/>
  <c r="F162" i="10" s="1"/>
  <c r="F163" i="10" a="1"/>
  <c r="F163" i="10" s="1"/>
  <c r="F161" i="10" a="1"/>
  <c r="F161" i="10" s="1"/>
  <c r="F162" i="6" a="1"/>
  <c r="F162" i="6" s="1"/>
  <c r="F163" i="6" a="1"/>
  <c r="F163" i="6" s="1"/>
  <c r="F160" i="6" a="1"/>
  <c r="F160" i="6" s="1"/>
  <c r="F161" i="6" a="1"/>
  <c r="F161" i="6" s="1"/>
  <c r="F163" i="12" a="1"/>
  <c r="F163" i="12" s="1"/>
  <c r="F160" i="12" a="1"/>
  <c r="F160" i="12" s="1"/>
  <c r="F161" i="12" a="1"/>
  <c r="F161" i="12" s="1"/>
  <c r="F162" i="12" a="1"/>
  <c r="F162" i="12" s="1"/>
  <c r="F163" i="8" a="1"/>
  <c r="F163" i="8" s="1"/>
  <c r="F162" i="8" a="1"/>
  <c r="F162" i="8" s="1"/>
  <c r="F161" i="8" a="1"/>
  <c r="F161" i="8" s="1"/>
  <c r="F160" i="8" a="1"/>
  <c r="F160" i="8" s="1"/>
  <c r="F156" i="7" a="1"/>
  <c r="F156" i="7" s="1"/>
  <c r="F159" i="7" a="1"/>
  <c r="F159" i="7" s="1"/>
  <c r="F158" i="7" a="1"/>
  <c r="F158" i="7" s="1"/>
  <c r="F157" i="7" a="1"/>
  <c r="F157" i="7" s="1"/>
  <c r="F156" i="12" a="1"/>
  <c r="F156" i="12" s="1"/>
  <c r="F157" i="12" a="1"/>
  <c r="F157" i="12" s="1"/>
  <c r="F158" i="12" a="1"/>
  <c r="F158" i="12" s="1"/>
  <c r="F159" i="12" a="1"/>
  <c r="F159" i="12" s="1"/>
  <c r="F156" i="8" a="1"/>
  <c r="F156" i="8" s="1"/>
  <c r="F159" i="8" a="1"/>
  <c r="F159" i="8" s="1"/>
  <c r="F158" i="8" a="1"/>
  <c r="F158" i="8" s="1"/>
  <c r="F157" i="8" a="1"/>
  <c r="F157" i="8" s="1"/>
  <c r="F156" i="9" a="1"/>
  <c r="F156" i="9" s="1"/>
  <c r="F157" i="9" a="1"/>
  <c r="F157" i="9" s="1"/>
  <c r="F159" i="9" a="1"/>
  <c r="F159" i="9" s="1"/>
  <c r="F158" i="9" a="1"/>
  <c r="F158" i="9" s="1"/>
  <c r="F156" i="10" a="1"/>
  <c r="F156" i="10" s="1"/>
  <c r="F159" i="10" a="1"/>
  <c r="F159" i="10" s="1"/>
  <c r="F158" i="10" a="1"/>
  <c r="F158" i="10" s="1"/>
  <c r="F157" i="10" a="1"/>
  <c r="F157" i="10" s="1"/>
  <c r="F156" i="5" a="1"/>
  <c r="F156" i="5" s="1"/>
  <c r="F157" i="5" a="1"/>
  <c r="F157" i="5" s="1"/>
  <c r="F158" i="5" a="1"/>
  <c r="F158" i="5" s="1"/>
  <c r="F159" i="5" a="1"/>
  <c r="F159" i="5" s="1"/>
  <c r="F156" i="6" a="1"/>
  <c r="F156" i="6" s="1"/>
  <c r="F159" i="6" a="1"/>
  <c r="F159" i="6" s="1"/>
  <c r="F158" i="6" a="1"/>
  <c r="F158" i="6" s="1"/>
  <c r="F157" i="6" a="1"/>
  <c r="F157" i="6" s="1"/>
  <c r="F155" i="9" a="1"/>
  <c r="F155" i="9" s="1"/>
  <c r="F147" i="9" a="1"/>
  <c r="F147" i="9" s="1"/>
  <c r="F139" i="9" a="1"/>
  <c r="F139" i="9" s="1"/>
  <c r="F131" i="9" a="1"/>
  <c r="F131" i="9" s="1"/>
  <c r="F123" i="9" a="1"/>
  <c r="F123" i="9" s="1"/>
  <c r="F115" i="9" a="1"/>
  <c r="F115" i="9" s="1"/>
  <c r="F107" i="9" a="1"/>
  <c r="F107" i="9" s="1"/>
  <c r="F99" i="9" a="1"/>
  <c r="F99" i="9" s="1"/>
  <c r="F91" i="9" a="1"/>
  <c r="F91" i="9" s="1"/>
  <c r="F83" i="9" a="1"/>
  <c r="F83" i="9" s="1"/>
  <c r="F154" i="9" a="1"/>
  <c r="F154" i="9" s="1"/>
  <c r="F146" i="9" a="1"/>
  <c r="F146" i="9" s="1"/>
  <c r="F138" i="9" a="1"/>
  <c r="F138" i="9" s="1"/>
  <c r="F130" i="9" a="1"/>
  <c r="F130" i="9" s="1"/>
  <c r="F122" i="9" a="1"/>
  <c r="F122" i="9" s="1"/>
  <c r="F114" i="9" a="1"/>
  <c r="F114" i="9" s="1"/>
  <c r="F106" i="9" a="1"/>
  <c r="F106" i="9" s="1"/>
  <c r="F98" i="9" a="1"/>
  <c r="F98" i="9" s="1"/>
  <c r="F90" i="9" a="1"/>
  <c r="F90" i="9" s="1"/>
  <c r="F82" i="9" a="1"/>
  <c r="F82" i="9" s="1"/>
  <c r="F153" i="9" a="1"/>
  <c r="F153" i="9" s="1"/>
  <c r="F145" i="9" a="1"/>
  <c r="F145" i="9" s="1"/>
  <c r="F137" i="9" a="1"/>
  <c r="F137" i="9" s="1"/>
  <c r="F129" i="9" a="1"/>
  <c r="F129" i="9" s="1"/>
  <c r="F121" i="9" a="1"/>
  <c r="F121" i="9" s="1"/>
  <c r="F113" i="9" a="1"/>
  <c r="F113" i="9" s="1"/>
  <c r="F105" i="9" a="1"/>
  <c r="F105" i="9" s="1"/>
  <c r="F97" i="9" a="1"/>
  <c r="F97" i="9" s="1"/>
  <c r="F89" i="9" a="1"/>
  <c r="F89" i="9" s="1"/>
  <c r="F81" i="9" a="1"/>
  <c r="F81" i="9" s="1"/>
  <c r="F152" i="9" a="1"/>
  <c r="F152" i="9" s="1"/>
  <c r="F144" i="9" a="1"/>
  <c r="F144" i="9" s="1"/>
  <c r="F136" i="9" a="1"/>
  <c r="F136" i="9" s="1"/>
  <c r="F128" i="9" a="1"/>
  <c r="F128" i="9" s="1"/>
  <c r="F120" i="9" a="1"/>
  <c r="F120" i="9" s="1"/>
  <c r="F112" i="9" a="1"/>
  <c r="F112" i="9" s="1"/>
  <c r="F104" i="9" a="1"/>
  <c r="F104" i="9" s="1"/>
  <c r="F96" i="9" a="1"/>
  <c r="F96" i="9" s="1"/>
  <c r="F88" i="9" a="1"/>
  <c r="F88" i="9" s="1"/>
  <c r="F80" i="9" a="1"/>
  <c r="F80" i="9" s="1"/>
  <c r="F151" i="9" a="1"/>
  <c r="F151" i="9" s="1"/>
  <c r="F143" i="9" a="1"/>
  <c r="F143" i="9" s="1"/>
  <c r="F135" i="9" a="1"/>
  <c r="F135" i="9" s="1"/>
  <c r="F127" i="9" a="1"/>
  <c r="F127" i="9" s="1"/>
  <c r="F119" i="9" a="1"/>
  <c r="F119" i="9" s="1"/>
  <c r="F111" i="9" a="1"/>
  <c r="F111" i="9" s="1"/>
  <c r="F103" i="9" a="1"/>
  <c r="F103" i="9" s="1"/>
  <c r="F95" i="9" a="1"/>
  <c r="F95" i="9" s="1"/>
  <c r="F87" i="9" a="1"/>
  <c r="F87" i="9" s="1"/>
  <c r="F150" i="9" a="1"/>
  <c r="F150" i="9" s="1"/>
  <c r="F142" i="9" a="1"/>
  <c r="F142" i="9" s="1"/>
  <c r="F134" i="9" a="1"/>
  <c r="F134" i="9" s="1"/>
  <c r="F126" i="9" a="1"/>
  <c r="F126" i="9" s="1"/>
  <c r="F118" i="9" a="1"/>
  <c r="F118" i="9" s="1"/>
  <c r="F110" i="9" a="1"/>
  <c r="F110" i="9" s="1"/>
  <c r="F102" i="9" a="1"/>
  <c r="F102" i="9" s="1"/>
  <c r="F94" i="9" a="1"/>
  <c r="F94" i="9" s="1"/>
  <c r="F86" i="9" a="1"/>
  <c r="F86" i="9" s="1"/>
  <c r="F149" i="9" a="1"/>
  <c r="F149" i="9" s="1"/>
  <c r="F141" i="9" a="1"/>
  <c r="F141" i="9" s="1"/>
  <c r="F133" i="9" a="1"/>
  <c r="F133" i="9" s="1"/>
  <c r="F125" i="9" a="1"/>
  <c r="F125" i="9" s="1"/>
  <c r="F117" i="9" a="1"/>
  <c r="F117" i="9" s="1"/>
  <c r="F109" i="9" a="1"/>
  <c r="F109" i="9" s="1"/>
  <c r="F101" i="9" a="1"/>
  <c r="F101" i="9" s="1"/>
  <c r="F93" i="9" a="1"/>
  <c r="F93" i="9" s="1"/>
  <c r="F85" i="9" a="1"/>
  <c r="F85" i="9" s="1"/>
  <c r="F148" i="9" a="1"/>
  <c r="F148" i="9" s="1"/>
  <c r="F140" i="9" a="1"/>
  <c r="F140" i="9" s="1"/>
  <c r="F132" i="9" a="1"/>
  <c r="F132" i="9" s="1"/>
  <c r="F124" i="9" a="1"/>
  <c r="F124" i="9" s="1"/>
  <c r="F116" i="9" a="1"/>
  <c r="F116" i="9" s="1"/>
  <c r="F108" i="9" a="1"/>
  <c r="F108" i="9" s="1"/>
  <c r="F100" i="9" a="1"/>
  <c r="F100" i="9" s="1"/>
  <c r="F92" i="9" a="1"/>
  <c r="F92" i="9" s="1"/>
  <c r="F84" i="9" a="1"/>
  <c r="F84" i="9" s="1"/>
  <c r="F84" i="12" a="1"/>
  <c r="F84" i="12" s="1"/>
  <c r="F92" i="12" a="1"/>
  <c r="F92" i="12" s="1"/>
  <c r="F100" i="12" a="1"/>
  <c r="F100" i="12" s="1"/>
  <c r="F108" i="12" a="1"/>
  <c r="F108" i="12" s="1"/>
  <c r="F116" i="12" a="1"/>
  <c r="F116" i="12" s="1"/>
  <c r="F124" i="12" a="1"/>
  <c r="F124" i="12" s="1"/>
  <c r="F132" i="12" a="1"/>
  <c r="F132" i="12" s="1"/>
  <c r="F140" i="12" a="1"/>
  <c r="F140" i="12" s="1"/>
  <c r="F148" i="12" a="1"/>
  <c r="F148" i="12" s="1"/>
  <c r="F151" i="12" a="1"/>
  <c r="F151" i="12" s="1"/>
  <c r="F131" i="12" a="1"/>
  <c r="F131" i="12" s="1"/>
  <c r="F85" i="12" a="1"/>
  <c r="F85" i="12" s="1"/>
  <c r="F93" i="12" a="1"/>
  <c r="F93" i="12" s="1"/>
  <c r="F101" i="12" a="1"/>
  <c r="F101" i="12" s="1"/>
  <c r="F109" i="12" a="1"/>
  <c r="F109" i="12" s="1"/>
  <c r="F117" i="12" a="1"/>
  <c r="F117" i="12" s="1"/>
  <c r="F125" i="12" a="1"/>
  <c r="F125" i="12" s="1"/>
  <c r="F133" i="12" a="1"/>
  <c r="F133" i="12" s="1"/>
  <c r="F141" i="12" a="1"/>
  <c r="F141" i="12" s="1"/>
  <c r="F149" i="12" a="1"/>
  <c r="F149" i="12" s="1"/>
  <c r="F143" i="12" a="1"/>
  <c r="F143" i="12" s="1"/>
  <c r="F139" i="12" a="1"/>
  <c r="F139" i="12" s="1"/>
  <c r="F86" i="12" a="1"/>
  <c r="F86" i="12" s="1"/>
  <c r="F94" i="12" a="1"/>
  <c r="F94" i="12" s="1"/>
  <c r="F102" i="12" a="1"/>
  <c r="F102" i="12" s="1"/>
  <c r="F110" i="12" a="1"/>
  <c r="F110" i="12" s="1"/>
  <c r="F118" i="12" a="1"/>
  <c r="F118" i="12" s="1"/>
  <c r="F126" i="12" a="1"/>
  <c r="F126" i="12" s="1"/>
  <c r="F134" i="12" a="1"/>
  <c r="F134" i="12" s="1"/>
  <c r="F142" i="12" a="1"/>
  <c r="F142" i="12" s="1"/>
  <c r="F150" i="12" a="1"/>
  <c r="F150" i="12" s="1"/>
  <c r="F135" i="12" a="1"/>
  <c r="F135" i="12" s="1"/>
  <c r="F83" i="12" a="1"/>
  <c r="F83" i="12" s="1"/>
  <c r="F147" i="12" a="1"/>
  <c r="F147" i="12" s="1"/>
  <c r="F87" i="12" a="1"/>
  <c r="F87" i="12" s="1"/>
  <c r="F95" i="12" a="1"/>
  <c r="F95" i="12" s="1"/>
  <c r="F103" i="12" a="1"/>
  <c r="F103" i="12" s="1"/>
  <c r="F111" i="12" a="1"/>
  <c r="F111" i="12" s="1"/>
  <c r="F119" i="12" a="1"/>
  <c r="F119" i="12" s="1"/>
  <c r="F127" i="12" a="1"/>
  <c r="F127" i="12" s="1"/>
  <c r="F123" i="12" a="1"/>
  <c r="F123" i="12" s="1"/>
  <c r="F80" i="12" a="1"/>
  <c r="F80" i="12" s="1"/>
  <c r="F88" i="12" a="1"/>
  <c r="F88" i="12" s="1"/>
  <c r="F96" i="12" a="1"/>
  <c r="F96" i="12" s="1"/>
  <c r="F104" i="12" a="1"/>
  <c r="F104" i="12" s="1"/>
  <c r="F112" i="12" a="1"/>
  <c r="F112" i="12" s="1"/>
  <c r="F120" i="12" a="1"/>
  <c r="F120" i="12" s="1"/>
  <c r="F128" i="12" a="1"/>
  <c r="F128" i="12" s="1"/>
  <c r="F136" i="12" a="1"/>
  <c r="F136" i="12" s="1"/>
  <c r="F144" i="12" a="1"/>
  <c r="F144" i="12" s="1"/>
  <c r="F152" i="12" a="1"/>
  <c r="F152" i="12" s="1"/>
  <c r="F115" i="12" a="1"/>
  <c r="F115" i="12" s="1"/>
  <c r="F81" i="12" a="1"/>
  <c r="F81" i="12" s="1"/>
  <c r="F89" i="12" a="1"/>
  <c r="F89" i="12" s="1"/>
  <c r="F97" i="12" a="1"/>
  <c r="F97" i="12" s="1"/>
  <c r="F105" i="12" a="1"/>
  <c r="F105" i="12" s="1"/>
  <c r="F113" i="12" a="1"/>
  <c r="F113" i="12" s="1"/>
  <c r="F121" i="12" a="1"/>
  <c r="F121" i="12" s="1"/>
  <c r="F129" i="12" a="1"/>
  <c r="F129" i="12" s="1"/>
  <c r="F137" i="12" a="1"/>
  <c r="F137" i="12" s="1"/>
  <c r="F145" i="12" a="1"/>
  <c r="F145" i="12" s="1"/>
  <c r="F153" i="12" a="1"/>
  <c r="F153" i="12" s="1"/>
  <c r="F107" i="12" a="1"/>
  <c r="F107" i="12" s="1"/>
  <c r="F82" i="12" a="1"/>
  <c r="F82" i="12" s="1"/>
  <c r="F90" i="12" a="1"/>
  <c r="F90" i="12" s="1"/>
  <c r="F98" i="12" a="1"/>
  <c r="F98" i="12" s="1"/>
  <c r="F106" i="12" a="1"/>
  <c r="F106" i="12" s="1"/>
  <c r="F114" i="12" a="1"/>
  <c r="F114" i="12" s="1"/>
  <c r="F122" i="12" a="1"/>
  <c r="F122" i="12" s="1"/>
  <c r="F130" i="12" a="1"/>
  <c r="F130" i="12" s="1"/>
  <c r="F138" i="12" a="1"/>
  <c r="F138" i="12" s="1"/>
  <c r="F146" i="12" a="1"/>
  <c r="F146" i="12" s="1"/>
  <c r="F154" i="12" a="1"/>
  <c r="F154" i="12" s="1"/>
  <c r="F91" i="12" a="1"/>
  <c r="F91" i="12" s="1"/>
  <c r="F155" i="12" a="1"/>
  <c r="F155" i="12" s="1"/>
  <c r="F99" i="12" a="1"/>
  <c r="F99" i="12" s="1"/>
  <c r="F155" i="5" a="1"/>
  <c r="F155" i="5" s="1"/>
  <c r="F147" i="5" a="1"/>
  <c r="F147" i="5" s="1"/>
  <c r="F139" i="5" a="1"/>
  <c r="F139" i="5" s="1"/>
  <c r="F131" i="5" a="1"/>
  <c r="F131" i="5" s="1"/>
  <c r="F123" i="5" a="1"/>
  <c r="F123" i="5" s="1"/>
  <c r="F115" i="5" a="1"/>
  <c r="F115" i="5" s="1"/>
  <c r="F107" i="5" a="1"/>
  <c r="F107" i="5" s="1"/>
  <c r="F99" i="5" a="1"/>
  <c r="F99" i="5" s="1"/>
  <c r="F91" i="5" a="1"/>
  <c r="F91" i="5" s="1"/>
  <c r="F83" i="5" a="1"/>
  <c r="F83" i="5" s="1"/>
  <c r="F92" i="5" a="1"/>
  <c r="F92" i="5" s="1"/>
  <c r="F154" i="5" a="1"/>
  <c r="F154" i="5" s="1"/>
  <c r="F146" i="5" a="1"/>
  <c r="F146" i="5" s="1"/>
  <c r="F138" i="5" a="1"/>
  <c r="F138" i="5" s="1"/>
  <c r="F130" i="5" a="1"/>
  <c r="F130" i="5" s="1"/>
  <c r="F122" i="5" a="1"/>
  <c r="F122" i="5" s="1"/>
  <c r="F114" i="5" a="1"/>
  <c r="F114" i="5" s="1"/>
  <c r="F106" i="5" a="1"/>
  <c r="F106" i="5" s="1"/>
  <c r="F98" i="5" a="1"/>
  <c r="F98" i="5" s="1"/>
  <c r="F90" i="5" a="1"/>
  <c r="F90" i="5" s="1"/>
  <c r="F82" i="5" a="1"/>
  <c r="F82" i="5" s="1"/>
  <c r="F84" i="5" a="1"/>
  <c r="F84" i="5" s="1"/>
  <c r="F153" i="5" a="1"/>
  <c r="F153" i="5" s="1"/>
  <c r="F145" i="5" a="1"/>
  <c r="F145" i="5" s="1"/>
  <c r="F137" i="5" a="1"/>
  <c r="F137" i="5" s="1"/>
  <c r="F129" i="5" a="1"/>
  <c r="F129" i="5" s="1"/>
  <c r="F121" i="5" a="1"/>
  <c r="F121" i="5" s="1"/>
  <c r="F113" i="5" a="1"/>
  <c r="F113" i="5" s="1"/>
  <c r="F105" i="5" a="1"/>
  <c r="F105" i="5" s="1"/>
  <c r="F97" i="5" a="1"/>
  <c r="F97" i="5" s="1"/>
  <c r="F89" i="5" a="1"/>
  <c r="F89" i="5" s="1"/>
  <c r="F81" i="5" a="1"/>
  <c r="F81" i="5" s="1"/>
  <c r="F152" i="5" a="1"/>
  <c r="F152" i="5" s="1"/>
  <c r="F144" i="5" a="1"/>
  <c r="F144" i="5" s="1"/>
  <c r="F136" i="5" a="1"/>
  <c r="F136" i="5" s="1"/>
  <c r="F128" i="5" a="1"/>
  <c r="F128" i="5" s="1"/>
  <c r="F120" i="5" a="1"/>
  <c r="F120" i="5" s="1"/>
  <c r="F112" i="5" a="1"/>
  <c r="F112" i="5" s="1"/>
  <c r="F104" i="5" a="1"/>
  <c r="F104" i="5" s="1"/>
  <c r="F96" i="5" a="1"/>
  <c r="F96" i="5" s="1"/>
  <c r="F88" i="5" a="1"/>
  <c r="F88" i="5" s="1"/>
  <c r="F80" i="5" a="1"/>
  <c r="F80" i="5" s="1"/>
  <c r="F124" i="5" a="1"/>
  <c r="F124" i="5" s="1"/>
  <c r="F151" i="5" a="1"/>
  <c r="F151" i="5" s="1"/>
  <c r="F143" i="5" a="1"/>
  <c r="F143" i="5" s="1"/>
  <c r="F135" i="5" a="1"/>
  <c r="F135" i="5" s="1"/>
  <c r="F127" i="5" a="1"/>
  <c r="F127" i="5" s="1"/>
  <c r="F119" i="5" a="1"/>
  <c r="F119" i="5" s="1"/>
  <c r="F111" i="5" a="1"/>
  <c r="F111" i="5" s="1"/>
  <c r="F103" i="5" a="1"/>
  <c r="F103" i="5" s="1"/>
  <c r="F95" i="5" a="1"/>
  <c r="F95" i="5" s="1"/>
  <c r="F87" i="5" a="1"/>
  <c r="F87" i="5" s="1"/>
  <c r="F108" i="5" a="1"/>
  <c r="F108" i="5" s="1"/>
  <c r="F150" i="5" a="1"/>
  <c r="F150" i="5" s="1"/>
  <c r="F142" i="5" a="1"/>
  <c r="F142" i="5" s="1"/>
  <c r="F134" i="5" a="1"/>
  <c r="F134" i="5" s="1"/>
  <c r="F126" i="5" a="1"/>
  <c r="F126" i="5" s="1"/>
  <c r="F118" i="5" a="1"/>
  <c r="F118" i="5" s="1"/>
  <c r="F110" i="5" a="1"/>
  <c r="F110" i="5" s="1"/>
  <c r="F102" i="5" a="1"/>
  <c r="F102" i="5" s="1"/>
  <c r="F94" i="5" a="1"/>
  <c r="F94" i="5" s="1"/>
  <c r="F86" i="5" a="1"/>
  <c r="F86" i="5" s="1"/>
  <c r="F140" i="5" a="1"/>
  <c r="F140" i="5" s="1"/>
  <c r="F100" i="5" a="1"/>
  <c r="F100" i="5" s="1"/>
  <c r="F149" i="5" a="1"/>
  <c r="F149" i="5" s="1"/>
  <c r="F141" i="5" a="1"/>
  <c r="F141" i="5" s="1"/>
  <c r="F133" i="5" a="1"/>
  <c r="F133" i="5" s="1"/>
  <c r="F125" i="5" a="1"/>
  <c r="F125" i="5" s="1"/>
  <c r="F117" i="5" a="1"/>
  <c r="F117" i="5" s="1"/>
  <c r="F109" i="5" a="1"/>
  <c r="F109" i="5" s="1"/>
  <c r="F101" i="5" a="1"/>
  <c r="F101" i="5" s="1"/>
  <c r="F93" i="5" a="1"/>
  <c r="F93" i="5" s="1"/>
  <c r="F85" i="5" a="1"/>
  <c r="F85" i="5" s="1"/>
  <c r="F132" i="5" a="1"/>
  <c r="F132" i="5" s="1"/>
  <c r="F148" i="5" a="1"/>
  <c r="F148" i="5" s="1"/>
  <c r="F116" i="5" a="1"/>
  <c r="F116" i="5" s="1"/>
  <c r="F154" i="10" a="1"/>
  <c r="F154" i="10" s="1"/>
  <c r="F146" i="10" a="1"/>
  <c r="F146" i="10" s="1"/>
  <c r="F138" i="10" a="1"/>
  <c r="F138" i="10" s="1"/>
  <c r="F130" i="10" a="1"/>
  <c r="F130" i="10" s="1"/>
  <c r="F122" i="10" a="1"/>
  <c r="F122" i="10" s="1"/>
  <c r="F114" i="10" a="1"/>
  <c r="F114" i="10" s="1"/>
  <c r="F106" i="10" a="1"/>
  <c r="F106" i="10" s="1"/>
  <c r="F98" i="10" a="1"/>
  <c r="F98" i="10" s="1"/>
  <c r="F90" i="10" a="1"/>
  <c r="F90" i="10" s="1"/>
  <c r="F82" i="10" a="1"/>
  <c r="F82" i="10" s="1"/>
  <c r="F153" i="10" a="1"/>
  <c r="F153" i="10" s="1"/>
  <c r="F145" i="10" a="1"/>
  <c r="F145" i="10" s="1"/>
  <c r="F137" i="10" a="1"/>
  <c r="F137" i="10" s="1"/>
  <c r="F129" i="10" a="1"/>
  <c r="F129" i="10" s="1"/>
  <c r="F121" i="10" a="1"/>
  <c r="F121" i="10" s="1"/>
  <c r="F113" i="10" a="1"/>
  <c r="F113" i="10" s="1"/>
  <c r="F105" i="10" a="1"/>
  <c r="F105" i="10" s="1"/>
  <c r="F97" i="10" a="1"/>
  <c r="F97" i="10" s="1"/>
  <c r="F89" i="10" a="1"/>
  <c r="F89" i="10" s="1"/>
  <c r="F81" i="10" a="1"/>
  <c r="F81" i="10" s="1"/>
  <c r="F152" i="10" a="1"/>
  <c r="F152" i="10" s="1"/>
  <c r="F144" i="10" a="1"/>
  <c r="F144" i="10" s="1"/>
  <c r="F136" i="10" a="1"/>
  <c r="F136" i="10" s="1"/>
  <c r="F128" i="10" a="1"/>
  <c r="F128" i="10" s="1"/>
  <c r="F120" i="10" a="1"/>
  <c r="F120" i="10" s="1"/>
  <c r="F112" i="10" a="1"/>
  <c r="F112" i="10" s="1"/>
  <c r="F104" i="10" a="1"/>
  <c r="F104" i="10" s="1"/>
  <c r="F96" i="10" a="1"/>
  <c r="F96" i="10" s="1"/>
  <c r="F88" i="10" a="1"/>
  <c r="F88" i="10" s="1"/>
  <c r="F80" i="10" a="1"/>
  <c r="F80" i="10" s="1"/>
  <c r="F151" i="10" a="1"/>
  <c r="F151" i="10" s="1"/>
  <c r="F143" i="10" a="1"/>
  <c r="F143" i="10" s="1"/>
  <c r="F135" i="10" a="1"/>
  <c r="F135" i="10" s="1"/>
  <c r="F127" i="10" a="1"/>
  <c r="F127" i="10" s="1"/>
  <c r="F119" i="10" a="1"/>
  <c r="F119" i="10" s="1"/>
  <c r="F111" i="10" a="1"/>
  <c r="F111" i="10" s="1"/>
  <c r="F103" i="10" a="1"/>
  <c r="F103" i="10" s="1"/>
  <c r="F95" i="10" a="1"/>
  <c r="F95" i="10" s="1"/>
  <c r="F87" i="10" a="1"/>
  <c r="F87" i="10" s="1"/>
  <c r="F150" i="10" a="1"/>
  <c r="F150" i="10" s="1"/>
  <c r="F142" i="10" a="1"/>
  <c r="F142" i="10" s="1"/>
  <c r="F134" i="10" a="1"/>
  <c r="F134" i="10" s="1"/>
  <c r="F126" i="10" a="1"/>
  <c r="F126" i="10" s="1"/>
  <c r="F118" i="10" a="1"/>
  <c r="F118" i="10" s="1"/>
  <c r="F110" i="10" a="1"/>
  <c r="F110" i="10" s="1"/>
  <c r="F102" i="10" a="1"/>
  <c r="F102" i="10" s="1"/>
  <c r="F94" i="10" a="1"/>
  <c r="F94" i="10" s="1"/>
  <c r="F86" i="10" a="1"/>
  <c r="F86" i="10" s="1"/>
  <c r="F149" i="10" a="1"/>
  <c r="F149" i="10" s="1"/>
  <c r="F141" i="10" a="1"/>
  <c r="F141" i="10" s="1"/>
  <c r="F133" i="10" a="1"/>
  <c r="F133" i="10" s="1"/>
  <c r="F125" i="10" a="1"/>
  <c r="F125" i="10" s="1"/>
  <c r="F117" i="10" a="1"/>
  <c r="F117" i="10" s="1"/>
  <c r="F109" i="10" a="1"/>
  <c r="F109" i="10" s="1"/>
  <c r="F101" i="10" a="1"/>
  <c r="F101" i="10" s="1"/>
  <c r="F93" i="10" a="1"/>
  <c r="F93" i="10" s="1"/>
  <c r="F85" i="10" a="1"/>
  <c r="F85" i="10" s="1"/>
  <c r="F148" i="10" a="1"/>
  <c r="F148" i="10" s="1"/>
  <c r="F140" i="10" a="1"/>
  <c r="F140" i="10" s="1"/>
  <c r="F132" i="10" a="1"/>
  <c r="F132" i="10" s="1"/>
  <c r="F124" i="10" a="1"/>
  <c r="F124" i="10" s="1"/>
  <c r="F116" i="10" a="1"/>
  <c r="F116" i="10" s="1"/>
  <c r="F108" i="10" a="1"/>
  <c r="F108" i="10" s="1"/>
  <c r="F100" i="10" a="1"/>
  <c r="F100" i="10" s="1"/>
  <c r="F92" i="10" a="1"/>
  <c r="F92" i="10" s="1"/>
  <c r="F84" i="10" a="1"/>
  <c r="F84" i="10" s="1"/>
  <c r="F155" i="10" a="1"/>
  <c r="F155" i="10" s="1"/>
  <c r="F147" i="10" a="1"/>
  <c r="F147" i="10" s="1"/>
  <c r="F139" i="10" a="1"/>
  <c r="F139" i="10" s="1"/>
  <c r="F131" i="10" a="1"/>
  <c r="F131" i="10" s="1"/>
  <c r="F123" i="10" a="1"/>
  <c r="F123" i="10" s="1"/>
  <c r="F115" i="10" a="1"/>
  <c r="F115" i="10" s="1"/>
  <c r="F107" i="10" a="1"/>
  <c r="F107" i="10" s="1"/>
  <c r="F99" i="10" a="1"/>
  <c r="F99" i="10" s="1"/>
  <c r="F91" i="10" a="1"/>
  <c r="F91" i="10" s="1"/>
  <c r="F83" i="10" a="1"/>
  <c r="F83" i="10" s="1"/>
  <c r="F151" i="6" a="1"/>
  <c r="F151" i="6" s="1"/>
  <c r="F143" i="6" a="1"/>
  <c r="F143" i="6" s="1"/>
  <c r="F135" i="6" a="1"/>
  <c r="F135" i="6" s="1"/>
  <c r="F127" i="6" a="1"/>
  <c r="F127" i="6" s="1"/>
  <c r="F119" i="6" a="1"/>
  <c r="F119" i="6" s="1"/>
  <c r="F111" i="6" a="1"/>
  <c r="F111" i="6" s="1"/>
  <c r="F103" i="6" a="1"/>
  <c r="F103" i="6" s="1"/>
  <c r="F95" i="6" a="1"/>
  <c r="F95" i="6" s="1"/>
  <c r="F87" i="6" a="1"/>
  <c r="F87" i="6" s="1"/>
  <c r="F150" i="6" a="1"/>
  <c r="F150" i="6" s="1"/>
  <c r="F142" i="6" a="1"/>
  <c r="F142" i="6" s="1"/>
  <c r="F134" i="6" a="1"/>
  <c r="F134" i="6" s="1"/>
  <c r="F126" i="6" a="1"/>
  <c r="F126" i="6" s="1"/>
  <c r="F118" i="6" a="1"/>
  <c r="F118" i="6" s="1"/>
  <c r="F110" i="6" a="1"/>
  <c r="F110" i="6" s="1"/>
  <c r="F102" i="6" a="1"/>
  <c r="F102" i="6" s="1"/>
  <c r="F94" i="6" a="1"/>
  <c r="F94" i="6" s="1"/>
  <c r="F86" i="6" a="1"/>
  <c r="F86" i="6" s="1"/>
  <c r="F149" i="6" a="1"/>
  <c r="F149" i="6" s="1"/>
  <c r="F141" i="6" a="1"/>
  <c r="F141" i="6" s="1"/>
  <c r="F133" i="6" a="1"/>
  <c r="F133" i="6" s="1"/>
  <c r="F125" i="6" a="1"/>
  <c r="F125" i="6" s="1"/>
  <c r="F117" i="6" a="1"/>
  <c r="F117" i="6" s="1"/>
  <c r="F109" i="6" a="1"/>
  <c r="F109" i="6" s="1"/>
  <c r="F101" i="6" a="1"/>
  <c r="F101" i="6" s="1"/>
  <c r="F93" i="6" a="1"/>
  <c r="F93" i="6" s="1"/>
  <c r="F85" i="6" a="1"/>
  <c r="F85" i="6" s="1"/>
  <c r="F148" i="6" a="1"/>
  <c r="F148" i="6" s="1"/>
  <c r="F140" i="6" a="1"/>
  <c r="F140" i="6" s="1"/>
  <c r="F132" i="6" a="1"/>
  <c r="F132" i="6" s="1"/>
  <c r="F124" i="6" a="1"/>
  <c r="F124" i="6" s="1"/>
  <c r="F116" i="6" a="1"/>
  <c r="F116" i="6" s="1"/>
  <c r="F108" i="6" a="1"/>
  <c r="F108" i="6" s="1"/>
  <c r="F100" i="6" a="1"/>
  <c r="F100" i="6" s="1"/>
  <c r="F92" i="6" a="1"/>
  <c r="F92" i="6" s="1"/>
  <c r="F84" i="6" a="1"/>
  <c r="F84" i="6" s="1"/>
  <c r="F155" i="6" a="1"/>
  <c r="F155" i="6" s="1"/>
  <c r="F147" i="6" a="1"/>
  <c r="F147" i="6" s="1"/>
  <c r="F139" i="6" a="1"/>
  <c r="F139" i="6" s="1"/>
  <c r="F131" i="6" a="1"/>
  <c r="F131" i="6" s="1"/>
  <c r="F123" i="6" a="1"/>
  <c r="F123" i="6" s="1"/>
  <c r="F115" i="6" a="1"/>
  <c r="F115" i="6" s="1"/>
  <c r="F107" i="6" a="1"/>
  <c r="F107" i="6" s="1"/>
  <c r="F99" i="6" a="1"/>
  <c r="F99" i="6" s="1"/>
  <c r="F91" i="6" a="1"/>
  <c r="F91" i="6" s="1"/>
  <c r="F83" i="6" a="1"/>
  <c r="F83" i="6" s="1"/>
  <c r="F80" i="6" a="1"/>
  <c r="F80" i="6" s="1"/>
  <c r="F154" i="6" a="1"/>
  <c r="F154" i="6" s="1"/>
  <c r="F146" i="6" a="1"/>
  <c r="F146" i="6" s="1"/>
  <c r="F138" i="6" a="1"/>
  <c r="F138" i="6" s="1"/>
  <c r="F130" i="6" a="1"/>
  <c r="F130" i="6" s="1"/>
  <c r="F122" i="6" a="1"/>
  <c r="F122" i="6" s="1"/>
  <c r="F114" i="6" a="1"/>
  <c r="F114" i="6" s="1"/>
  <c r="F106" i="6" a="1"/>
  <c r="F106" i="6" s="1"/>
  <c r="F98" i="6" a="1"/>
  <c r="F98" i="6" s="1"/>
  <c r="F90" i="6" a="1"/>
  <c r="F90" i="6" s="1"/>
  <c r="F82" i="6" a="1"/>
  <c r="F82" i="6" s="1"/>
  <c r="F153" i="6" a="1"/>
  <c r="F153" i="6" s="1"/>
  <c r="F145" i="6" a="1"/>
  <c r="F145" i="6" s="1"/>
  <c r="F137" i="6" a="1"/>
  <c r="F137" i="6" s="1"/>
  <c r="F129" i="6" a="1"/>
  <c r="F129" i="6" s="1"/>
  <c r="F121" i="6" a="1"/>
  <c r="F121" i="6" s="1"/>
  <c r="F113" i="6" a="1"/>
  <c r="F113" i="6" s="1"/>
  <c r="F105" i="6" a="1"/>
  <c r="F105" i="6" s="1"/>
  <c r="F97" i="6" a="1"/>
  <c r="F97" i="6" s="1"/>
  <c r="F89" i="6" a="1"/>
  <c r="F89" i="6" s="1"/>
  <c r="F81" i="6" a="1"/>
  <c r="F81" i="6" s="1"/>
  <c r="F96" i="6" a="1"/>
  <c r="F96" i="6" s="1"/>
  <c r="F152" i="6" a="1"/>
  <c r="F152" i="6" s="1"/>
  <c r="F144" i="6" a="1"/>
  <c r="F144" i="6" s="1"/>
  <c r="F136" i="6" a="1"/>
  <c r="F136" i="6" s="1"/>
  <c r="F128" i="6" a="1"/>
  <c r="F128" i="6" s="1"/>
  <c r="F120" i="6" a="1"/>
  <c r="F120" i="6" s="1"/>
  <c r="F112" i="6" a="1"/>
  <c r="F112" i="6" s="1"/>
  <c r="F104" i="6" a="1"/>
  <c r="F104" i="6" s="1"/>
  <c r="F88" i="6" a="1"/>
  <c r="F88" i="6" s="1"/>
  <c r="F155" i="7" a="1"/>
  <c r="F155" i="7" s="1"/>
  <c r="F147" i="7" a="1"/>
  <c r="F147" i="7" s="1"/>
  <c r="F139" i="7" a="1"/>
  <c r="F139" i="7" s="1"/>
  <c r="F131" i="7" a="1"/>
  <c r="F131" i="7" s="1"/>
  <c r="F123" i="7" a="1"/>
  <c r="F123" i="7" s="1"/>
  <c r="F115" i="7" a="1"/>
  <c r="F115" i="7" s="1"/>
  <c r="F107" i="7" a="1"/>
  <c r="F107" i="7" s="1"/>
  <c r="F99" i="7" a="1"/>
  <c r="F99" i="7" s="1"/>
  <c r="F91" i="7" a="1"/>
  <c r="F91" i="7" s="1"/>
  <c r="F83" i="7" a="1"/>
  <c r="F83" i="7" s="1"/>
  <c r="F154" i="7" a="1"/>
  <c r="F154" i="7" s="1"/>
  <c r="F146" i="7" a="1"/>
  <c r="F146" i="7" s="1"/>
  <c r="F138" i="7" a="1"/>
  <c r="F138" i="7" s="1"/>
  <c r="F130" i="7" a="1"/>
  <c r="F130" i="7" s="1"/>
  <c r="F122" i="7" a="1"/>
  <c r="F122" i="7" s="1"/>
  <c r="F114" i="7" a="1"/>
  <c r="F114" i="7" s="1"/>
  <c r="F106" i="7" a="1"/>
  <c r="F106" i="7" s="1"/>
  <c r="F98" i="7" a="1"/>
  <c r="F98" i="7" s="1"/>
  <c r="F90" i="7" a="1"/>
  <c r="F90" i="7" s="1"/>
  <c r="F82" i="7" a="1"/>
  <c r="F82" i="7" s="1"/>
  <c r="F153" i="7" a="1"/>
  <c r="F153" i="7" s="1"/>
  <c r="F145" i="7" a="1"/>
  <c r="F145" i="7" s="1"/>
  <c r="F137" i="7" a="1"/>
  <c r="F137" i="7" s="1"/>
  <c r="F129" i="7" a="1"/>
  <c r="F129" i="7" s="1"/>
  <c r="F121" i="7" a="1"/>
  <c r="F121" i="7" s="1"/>
  <c r="F113" i="7" a="1"/>
  <c r="F113" i="7" s="1"/>
  <c r="F105" i="7" a="1"/>
  <c r="F105" i="7" s="1"/>
  <c r="F97" i="7" a="1"/>
  <c r="F97" i="7" s="1"/>
  <c r="F89" i="7" a="1"/>
  <c r="F89" i="7" s="1"/>
  <c r="F81" i="7" a="1"/>
  <c r="F81" i="7" s="1"/>
  <c r="F152" i="7" a="1"/>
  <c r="F152" i="7" s="1"/>
  <c r="F144" i="7" a="1"/>
  <c r="F144" i="7" s="1"/>
  <c r="F136" i="7" a="1"/>
  <c r="F136" i="7" s="1"/>
  <c r="F128" i="7" a="1"/>
  <c r="F128" i="7" s="1"/>
  <c r="F120" i="7" a="1"/>
  <c r="F120" i="7" s="1"/>
  <c r="F112" i="7" a="1"/>
  <c r="F112" i="7" s="1"/>
  <c r="F104" i="7" a="1"/>
  <c r="F104" i="7" s="1"/>
  <c r="F96" i="7" a="1"/>
  <c r="F96" i="7" s="1"/>
  <c r="F88" i="7" a="1"/>
  <c r="F88" i="7" s="1"/>
  <c r="F80" i="7" a="1"/>
  <c r="F80" i="7" s="1"/>
  <c r="F151" i="7" a="1"/>
  <c r="F151" i="7" s="1"/>
  <c r="F143" i="7" a="1"/>
  <c r="F143" i="7" s="1"/>
  <c r="F135" i="7" a="1"/>
  <c r="F135" i="7" s="1"/>
  <c r="F127" i="7" a="1"/>
  <c r="F127" i="7" s="1"/>
  <c r="F119" i="7" a="1"/>
  <c r="F119" i="7" s="1"/>
  <c r="F111" i="7" a="1"/>
  <c r="F111" i="7" s="1"/>
  <c r="F103" i="7" a="1"/>
  <c r="F103" i="7" s="1"/>
  <c r="F95" i="7" a="1"/>
  <c r="F95" i="7" s="1"/>
  <c r="F87" i="7" a="1"/>
  <c r="F87" i="7" s="1"/>
  <c r="F150" i="7" a="1"/>
  <c r="F150" i="7" s="1"/>
  <c r="F142" i="7" a="1"/>
  <c r="F142" i="7" s="1"/>
  <c r="F134" i="7" a="1"/>
  <c r="F134" i="7" s="1"/>
  <c r="F126" i="7" a="1"/>
  <c r="F126" i="7" s="1"/>
  <c r="F118" i="7" a="1"/>
  <c r="F118" i="7" s="1"/>
  <c r="F110" i="7" a="1"/>
  <c r="F110" i="7" s="1"/>
  <c r="F102" i="7" a="1"/>
  <c r="F102" i="7" s="1"/>
  <c r="F94" i="7" a="1"/>
  <c r="F94" i="7" s="1"/>
  <c r="F86" i="7" a="1"/>
  <c r="F86" i="7" s="1"/>
  <c r="F149" i="7" a="1"/>
  <c r="F149" i="7" s="1"/>
  <c r="F141" i="7" a="1"/>
  <c r="F141" i="7" s="1"/>
  <c r="F133" i="7" a="1"/>
  <c r="F133" i="7" s="1"/>
  <c r="F125" i="7" a="1"/>
  <c r="F125" i="7" s="1"/>
  <c r="F117" i="7" a="1"/>
  <c r="F117" i="7" s="1"/>
  <c r="F109" i="7" a="1"/>
  <c r="F109" i="7" s="1"/>
  <c r="F101" i="7" a="1"/>
  <c r="F101" i="7" s="1"/>
  <c r="F93" i="7" a="1"/>
  <c r="F93" i="7" s="1"/>
  <c r="F85" i="7" a="1"/>
  <c r="F85" i="7" s="1"/>
  <c r="F148" i="7" a="1"/>
  <c r="F148" i="7" s="1"/>
  <c r="F140" i="7" a="1"/>
  <c r="F140" i="7" s="1"/>
  <c r="F132" i="7" a="1"/>
  <c r="F132" i="7" s="1"/>
  <c r="F124" i="7" a="1"/>
  <c r="F124" i="7" s="1"/>
  <c r="F116" i="7" a="1"/>
  <c r="F116" i="7" s="1"/>
  <c r="F108" i="7" a="1"/>
  <c r="F108" i="7" s="1"/>
  <c r="F100" i="7" a="1"/>
  <c r="F100" i="7" s="1"/>
  <c r="F92" i="7" a="1"/>
  <c r="F92" i="7" s="1"/>
  <c r="F84" i="7" a="1"/>
  <c r="F84" i="7" s="1"/>
  <c r="F151" i="8" a="1"/>
  <c r="F151" i="8" s="1"/>
  <c r="F143" i="8" a="1"/>
  <c r="F143" i="8" s="1"/>
  <c r="F135" i="8" a="1"/>
  <c r="F135" i="8" s="1"/>
  <c r="F127" i="8" a="1"/>
  <c r="F127" i="8" s="1"/>
  <c r="F119" i="8" a="1"/>
  <c r="F119" i="8" s="1"/>
  <c r="F111" i="8" a="1"/>
  <c r="F111" i="8" s="1"/>
  <c r="F103" i="8" a="1"/>
  <c r="F103" i="8" s="1"/>
  <c r="F95" i="8" a="1"/>
  <c r="F95" i="8" s="1"/>
  <c r="F87" i="8" a="1"/>
  <c r="F87" i="8" s="1"/>
  <c r="F150" i="8" a="1"/>
  <c r="F150" i="8" s="1"/>
  <c r="F142" i="8" a="1"/>
  <c r="F142" i="8" s="1"/>
  <c r="F134" i="8" a="1"/>
  <c r="F134" i="8" s="1"/>
  <c r="F126" i="8" a="1"/>
  <c r="F126" i="8" s="1"/>
  <c r="F118" i="8" a="1"/>
  <c r="F118" i="8" s="1"/>
  <c r="F110" i="8" a="1"/>
  <c r="F110" i="8" s="1"/>
  <c r="F102" i="8" a="1"/>
  <c r="F102" i="8" s="1"/>
  <c r="F94" i="8" a="1"/>
  <c r="F94" i="8" s="1"/>
  <c r="F86" i="8" a="1"/>
  <c r="F86" i="8" s="1"/>
  <c r="F149" i="8" a="1"/>
  <c r="F149" i="8" s="1"/>
  <c r="F141" i="8" a="1"/>
  <c r="F141" i="8" s="1"/>
  <c r="F133" i="8" a="1"/>
  <c r="F133" i="8" s="1"/>
  <c r="F125" i="8" a="1"/>
  <c r="F125" i="8" s="1"/>
  <c r="F117" i="8" a="1"/>
  <c r="F117" i="8" s="1"/>
  <c r="F109" i="8" a="1"/>
  <c r="F109" i="8" s="1"/>
  <c r="F101" i="8" a="1"/>
  <c r="F101" i="8" s="1"/>
  <c r="F93" i="8" a="1"/>
  <c r="F93" i="8" s="1"/>
  <c r="F85" i="8" a="1"/>
  <c r="F85" i="8" s="1"/>
  <c r="F148" i="8" a="1"/>
  <c r="F148" i="8" s="1"/>
  <c r="F140" i="8" a="1"/>
  <c r="F140" i="8" s="1"/>
  <c r="F132" i="8" a="1"/>
  <c r="F132" i="8" s="1"/>
  <c r="F124" i="8" a="1"/>
  <c r="F124" i="8" s="1"/>
  <c r="F116" i="8" a="1"/>
  <c r="F116" i="8" s="1"/>
  <c r="F108" i="8" a="1"/>
  <c r="F108" i="8" s="1"/>
  <c r="F100" i="8" a="1"/>
  <c r="F100" i="8" s="1"/>
  <c r="F92" i="8" a="1"/>
  <c r="F92" i="8" s="1"/>
  <c r="F84" i="8" a="1"/>
  <c r="F84" i="8" s="1"/>
  <c r="F155" i="8" a="1"/>
  <c r="F155" i="8" s="1"/>
  <c r="F147" i="8" a="1"/>
  <c r="F147" i="8" s="1"/>
  <c r="F139" i="8" a="1"/>
  <c r="F139" i="8" s="1"/>
  <c r="F131" i="8" a="1"/>
  <c r="F131" i="8" s="1"/>
  <c r="F123" i="8" a="1"/>
  <c r="F123" i="8" s="1"/>
  <c r="F115" i="8" a="1"/>
  <c r="F115" i="8" s="1"/>
  <c r="F107" i="8" a="1"/>
  <c r="F107" i="8" s="1"/>
  <c r="F99" i="8" a="1"/>
  <c r="F99" i="8" s="1"/>
  <c r="F91" i="8" a="1"/>
  <c r="F91" i="8" s="1"/>
  <c r="F83" i="8" a="1"/>
  <c r="F83" i="8" s="1"/>
  <c r="F154" i="8" a="1"/>
  <c r="F154" i="8" s="1"/>
  <c r="F146" i="8" a="1"/>
  <c r="F146" i="8" s="1"/>
  <c r="F138" i="8" a="1"/>
  <c r="F138" i="8" s="1"/>
  <c r="F130" i="8" a="1"/>
  <c r="F130" i="8" s="1"/>
  <c r="F122" i="8" a="1"/>
  <c r="F122" i="8" s="1"/>
  <c r="F114" i="8" a="1"/>
  <c r="F114" i="8" s="1"/>
  <c r="F106" i="8" a="1"/>
  <c r="F106" i="8" s="1"/>
  <c r="F98" i="8" a="1"/>
  <c r="F98" i="8" s="1"/>
  <c r="F90" i="8" a="1"/>
  <c r="F90" i="8" s="1"/>
  <c r="F82" i="8" a="1"/>
  <c r="F82" i="8" s="1"/>
  <c r="F153" i="8" a="1"/>
  <c r="F153" i="8" s="1"/>
  <c r="F145" i="8" a="1"/>
  <c r="F145" i="8" s="1"/>
  <c r="F137" i="8" a="1"/>
  <c r="F137" i="8" s="1"/>
  <c r="F129" i="8" a="1"/>
  <c r="F129" i="8" s="1"/>
  <c r="F121" i="8" a="1"/>
  <c r="F121" i="8" s="1"/>
  <c r="F113" i="8" a="1"/>
  <c r="F113" i="8" s="1"/>
  <c r="F105" i="8" a="1"/>
  <c r="F105" i="8" s="1"/>
  <c r="F97" i="8" a="1"/>
  <c r="F97" i="8" s="1"/>
  <c r="F89" i="8" a="1"/>
  <c r="F89" i="8" s="1"/>
  <c r="F81" i="8" a="1"/>
  <c r="F81" i="8" s="1"/>
  <c r="F152" i="8" a="1"/>
  <c r="F152" i="8" s="1"/>
  <c r="F144" i="8" a="1"/>
  <c r="F144" i="8" s="1"/>
  <c r="F136" i="8" a="1"/>
  <c r="F136" i="8" s="1"/>
  <c r="F128" i="8" a="1"/>
  <c r="F128" i="8" s="1"/>
  <c r="F120" i="8" a="1"/>
  <c r="F120" i="8" s="1"/>
  <c r="F112" i="8" a="1"/>
  <c r="F112" i="8" s="1"/>
  <c r="F104" i="8" a="1"/>
  <c r="F104" i="8" s="1"/>
  <c r="F96" i="8" a="1"/>
  <c r="F96" i="8" s="1"/>
  <c r="F88" i="8" a="1"/>
  <c r="F88" i="8" s="1"/>
  <c r="F80" i="8" a="1"/>
  <c r="F80" i="8" s="1"/>
  <c r="F79" i="12" a="1"/>
  <c r="F79" i="12" s="1"/>
  <c r="F77" i="12" a="1"/>
  <c r="F77" i="12" s="1"/>
  <c r="F75" i="12" a="1"/>
  <c r="F75" i="12" s="1"/>
  <c r="F76" i="12" a="1"/>
  <c r="F76" i="12" s="1"/>
  <c r="F78" i="12" a="1"/>
  <c r="F78" i="12" s="1"/>
  <c r="F79" i="8" a="1"/>
  <c r="F79" i="8" s="1"/>
  <c r="F78" i="8" a="1"/>
  <c r="F78" i="8" s="1"/>
  <c r="F77" i="8" a="1"/>
  <c r="F77" i="8" s="1"/>
  <c r="F76" i="8" a="1"/>
  <c r="F76" i="8" s="1"/>
  <c r="F75" i="8" a="1"/>
  <c r="F75" i="8" s="1"/>
  <c r="F79" i="9" a="1"/>
  <c r="F79" i="9" s="1"/>
  <c r="F78" i="9" a="1"/>
  <c r="F78" i="9" s="1"/>
  <c r="F77" i="9" a="1"/>
  <c r="F77" i="9" s="1"/>
  <c r="F76" i="9" a="1"/>
  <c r="F76" i="9" s="1"/>
  <c r="F75" i="9" a="1"/>
  <c r="F75" i="9" s="1"/>
  <c r="F79" i="10" a="1"/>
  <c r="F79" i="10" s="1"/>
  <c r="F75" i="10" a="1"/>
  <c r="F75" i="10" s="1"/>
  <c r="F78" i="10" a="1"/>
  <c r="F78" i="10" s="1"/>
  <c r="F77" i="10" a="1"/>
  <c r="F77" i="10" s="1"/>
  <c r="F76" i="10" a="1"/>
  <c r="F76" i="10" s="1"/>
  <c r="F78" i="5" a="1"/>
  <c r="F78" i="5" s="1"/>
  <c r="F77" i="5" a="1"/>
  <c r="F77" i="5" s="1"/>
  <c r="F76" i="5" a="1"/>
  <c r="F76" i="5" s="1"/>
  <c r="F75" i="5" a="1"/>
  <c r="F75" i="5" s="1"/>
  <c r="F79" i="5" a="1"/>
  <c r="F79" i="5" s="1"/>
  <c r="F79" i="6" a="1"/>
  <c r="F79" i="6" s="1"/>
  <c r="F78" i="6" a="1"/>
  <c r="F78" i="6" s="1"/>
  <c r="F76" i="6" a="1"/>
  <c r="F76" i="6" s="1"/>
  <c r="F77" i="6" a="1"/>
  <c r="F77" i="6" s="1"/>
  <c r="F75" i="6" a="1"/>
  <c r="F75" i="6" s="1"/>
  <c r="F77" i="7" a="1"/>
  <c r="F77" i="7" s="1"/>
  <c r="F76" i="7" a="1"/>
  <c r="F76" i="7" s="1"/>
  <c r="F75" i="7" a="1"/>
  <c r="F75" i="7" s="1"/>
  <c r="F79" i="7" a="1"/>
  <c r="F79" i="7" s="1"/>
  <c r="F78" i="7" a="1"/>
  <c r="F78" i="7" s="1"/>
  <c r="F70" i="7" a="1"/>
  <c r="F70" i="7" s="1"/>
  <c r="F74" i="7" a="1"/>
  <c r="F74" i="7" s="1"/>
  <c r="F73" i="7" a="1"/>
  <c r="F73" i="7" s="1"/>
  <c r="F72" i="7" a="1"/>
  <c r="F72" i="7" s="1"/>
  <c r="F71" i="7" a="1"/>
  <c r="F71" i="7" s="1"/>
  <c r="F70" i="12" a="1"/>
  <c r="F70" i="12" s="1"/>
  <c r="F74" i="12" a="1"/>
  <c r="F74" i="12" s="1"/>
  <c r="F71" i="12" a="1"/>
  <c r="F71" i="12" s="1"/>
  <c r="F72" i="12" a="1"/>
  <c r="F72" i="12" s="1"/>
  <c r="F73" i="12" a="1"/>
  <c r="F73" i="12" s="1"/>
  <c r="F74" i="8" a="1"/>
  <c r="F74" i="8" s="1"/>
  <c r="F73" i="8" a="1"/>
  <c r="F73" i="8" s="1"/>
  <c r="F72" i="8" a="1"/>
  <c r="F72" i="8" s="1"/>
  <c r="F71" i="8" a="1"/>
  <c r="F71" i="8" s="1"/>
  <c r="F70" i="8" a="1"/>
  <c r="F70" i="8" s="1"/>
  <c r="F74" i="9" a="1"/>
  <c r="F74" i="9" s="1"/>
  <c r="F73" i="9" a="1"/>
  <c r="F73" i="9" s="1"/>
  <c r="F72" i="9" a="1"/>
  <c r="F72" i="9" s="1"/>
  <c r="F70" i="9" a="1"/>
  <c r="F70" i="9" s="1"/>
  <c r="F71" i="9" a="1"/>
  <c r="F71" i="9" s="1"/>
  <c r="F73" i="10" a="1"/>
  <c r="F73" i="10" s="1"/>
  <c r="F72" i="10" a="1"/>
  <c r="F72" i="10" s="1"/>
  <c r="F71" i="10" a="1"/>
  <c r="F71" i="10" s="1"/>
  <c r="F70" i="10" a="1"/>
  <c r="F70" i="10" s="1"/>
  <c r="F74" i="10" a="1"/>
  <c r="F74" i="10" s="1"/>
  <c r="F71" i="5" a="1"/>
  <c r="F71" i="5" s="1"/>
  <c r="F70" i="5" a="1"/>
  <c r="F70" i="5" s="1"/>
  <c r="F74" i="5" a="1"/>
  <c r="F74" i="5" s="1"/>
  <c r="F72" i="5" a="1"/>
  <c r="F72" i="5" s="1"/>
  <c r="F73" i="5" a="1"/>
  <c r="F73" i="5" s="1"/>
  <c r="F70" i="6" a="1"/>
  <c r="F70" i="6" s="1"/>
  <c r="F72" i="6" a="1"/>
  <c r="F72" i="6" s="1"/>
  <c r="F74" i="6" a="1"/>
  <c r="F74" i="6" s="1"/>
  <c r="F73" i="6" a="1"/>
  <c r="F73" i="6" s="1"/>
  <c r="F71" i="6" a="1"/>
  <c r="F71" i="6" s="1"/>
  <c r="F69" i="8" a="1"/>
  <c r="F69" i="8" s="1"/>
  <c r="F68" i="8" a="1"/>
  <c r="F68" i="8" s="1"/>
  <c r="F67" i="8" a="1"/>
  <c r="F67" i="8" s="1"/>
  <c r="F66" i="8" a="1"/>
  <c r="F66" i="8" s="1"/>
  <c r="F65" i="8" a="1"/>
  <c r="F65" i="8" s="1"/>
  <c r="F65" i="10" a="1"/>
  <c r="F65" i="10" s="1"/>
  <c r="F69" i="10" a="1"/>
  <c r="F69" i="10" s="1"/>
  <c r="F68" i="10" a="1"/>
  <c r="F68" i="10" s="1"/>
  <c r="F67" i="10" a="1"/>
  <c r="F67" i="10" s="1"/>
  <c r="F66" i="10" a="1"/>
  <c r="F66" i="10" s="1"/>
  <c r="F65" i="12" a="1"/>
  <c r="F65" i="12" s="1"/>
  <c r="F66" i="12" a="1"/>
  <c r="F66" i="12" s="1"/>
  <c r="F67" i="12" a="1"/>
  <c r="F67" i="12" s="1"/>
  <c r="F68" i="12" a="1"/>
  <c r="F68" i="12" s="1"/>
  <c r="F69" i="12" a="1"/>
  <c r="F69" i="12" s="1"/>
  <c r="F65" i="9" a="1"/>
  <c r="F65" i="9" s="1"/>
  <c r="F69" i="9" a="1"/>
  <c r="F69" i="9" s="1"/>
  <c r="F68" i="9" a="1"/>
  <c r="F68" i="9" s="1"/>
  <c r="F67" i="9" a="1"/>
  <c r="F67" i="9" s="1"/>
  <c r="F66" i="9" a="1"/>
  <c r="F66" i="9" s="1"/>
  <c r="F69" i="5" a="1"/>
  <c r="F69" i="5" s="1"/>
  <c r="F66" i="5" a="1"/>
  <c r="F66" i="5" s="1"/>
  <c r="F68" i="5" a="1"/>
  <c r="F68" i="5" s="1"/>
  <c r="F67" i="5" a="1"/>
  <c r="F67" i="5" s="1"/>
  <c r="F65" i="5" a="1"/>
  <c r="F65" i="5" s="1"/>
  <c r="F66" i="6" a="1"/>
  <c r="F66" i="6" s="1"/>
  <c r="F68" i="6" a="1"/>
  <c r="F68" i="6" s="1"/>
  <c r="F65" i="6" a="1"/>
  <c r="F65" i="6" s="1"/>
  <c r="F69" i="6" a="1"/>
  <c r="F69" i="6" s="1"/>
  <c r="F67" i="6" a="1"/>
  <c r="F67" i="6" s="1"/>
  <c r="F67" i="7" a="1"/>
  <c r="F67" i="7" s="1"/>
  <c r="F66" i="7" a="1"/>
  <c r="F66" i="7" s="1"/>
  <c r="F65" i="7" a="1"/>
  <c r="F65" i="7" s="1"/>
  <c r="F68" i="7" a="1"/>
  <c r="F68" i="7" s="1"/>
  <c r="F69" i="7" a="1"/>
  <c r="F69" i="7" s="1"/>
  <c r="F60" i="9" a="1"/>
  <c r="F60" i="9" s="1"/>
  <c r="F62" i="9" a="1"/>
  <c r="F62" i="9" s="1"/>
  <c r="F61" i="9" a="1"/>
  <c r="F61" i="9" s="1"/>
  <c r="F64" i="9" a="1"/>
  <c r="F64" i="9" s="1"/>
  <c r="F63" i="9" a="1"/>
  <c r="F63" i="9" s="1"/>
  <c r="F60" i="10" a="1"/>
  <c r="F60" i="10" s="1"/>
  <c r="F64" i="10" a="1"/>
  <c r="F64" i="10" s="1"/>
  <c r="F63" i="10" a="1"/>
  <c r="F63" i="10" s="1"/>
  <c r="F62" i="10" a="1"/>
  <c r="F62" i="10" s="1"/>
  <c r="F61" i="10" a="1"/>
  <c r="F61" i="10" s="1"/>
  <c r="F60" i="12" a="1"/>
  <c r="F60" i="12" s="1"/>
  <c r="F61" i="12" a="1"/>
  <c r="F61" i="12" s="1"/>
  <c r="F62" i="12" a="1"/>
  <c r="F62" i="12" s="1"/>
  <c r="F63" i="12" a="1"/>
  <c r="F63" i="12" s="1"/>
  <c r="F64" i="12" a="1"/>
  <c r="F64" i="12" s="1"/>
  <c r="F60" i="5" a="1"/>
  <c r="F60" i="5" s="1"/>
  <c r="F61" i="5" a="1"/>
  <c r="F61" i="5" s="1"/>
  <c r="F64" i="5" a="1"/>
  <c r="F64" i="5" s="1"/>
  <c r="F63" i="5" a="1"/>
  <c r="F63" i="5" s="1"/>
  <c r="F62" i="5" a="1"/>
  <c r="F62" i="5" s="1"/>
  <c r="F60" i="6" a="1"/>
  <c r="F60" i="6" s="1"/>
  <c r="F64" i="6" a="1"/>
  <c r="F64" i="6" s="1"/>
  <c r="F63" i="6" a="1"/>
  <c r="F63" i="6" s="1"/>
  <c r="F62" i="6" a="1"/>
  <c r="F62" i="6" s="1"/>
  <c r="F61" i="6" a="1"/>
  <c r="F61" i="6" s="1"/>
  <c r="F60" i="7" a="1"/>
  <c r="F60" i="7" s="1"/>
  <c r="F64" i="7" a="1"/>
  <c r="F64" i="7" s="1"/>
  <c r="F63" i="7" a="1"/>
  <c r="F63" i="7" s="1"/>
  <c r="F62" i="7" a="1"/>
  <c r="F62" i="7" s="1"/>
  <c r="F61" i="7" a="1"/>
  <c r="F61" i="7" s="1"/>
  <c r="F60" i="8" a="1"/>
  <c r="F60" i="8" s="1"/>
  <c r="F62" i="8" a="1"/>
  <c r="F62" i="8" s="1"/>
  <c r="F61" i="8" a="1"/>
  <c r="F61" i="8" s="1"/>
  <c r="F64" i="8" a="1"/>
  <c r="F64" i="8" s="1"/>
  <c r="F63" i="8" a="1"/>
  <c r="F63" i="8" s="1"/>
  <c r="F56" i="9" a="1"/>
  <c r="F56" i="9" s="1"/>
  <c r="F55" i="9" a="1"/>
  <c r="F55" i="9" s="1"/>
  <c r="F50" i="9" a="1"/>
  <c r="F50" i="9" s="1"/>
  <c r="F57" i="9" a="1"/>
  <c r="F57" i="9" s="1"/>
  <c r="F54" i="9" a="1"/>
  <c r="F54" i="9" s="1"/>
  <c r="F53" i="9" a="1"/>
  <c r="F53" i="9" s="1"/>
  <c r="F52" i="9" a="1"/>
  <c r="F52" i="9" s="1"/>
  <c r="F58" i="9" a="1"/>
  <c r="F58" i="9" s="1"/>
  <c r="F59" i="9" a="1"/>
  <c r="F59" i="9" s="1"/>
  <c r="F51" i="9" a="1"/>
  <c r="F51" i="9" s="1"/>
  <c r="F57" i="10" a="1"/>
  <c r="F57" i="10" s="1"/>
  <c r="F56" i="10" a="1"/>
  <c r="F56" i="10" s="1"/>
  <c r="F51" i="10" a="1"/>
  <c r="F51" i="10" s="1"/>
  <c r="F55" i="10" a="1"/>
  <c r="F55" i="10" s="1"/>
  <c r="F54" i="10" a="1"/>
  <c r="F54" i="10" s="1"/>
  <c r="F53" i="10" a="1"/>
  <c r="F53" i="10" s="1"/>
  <c r="F58" i="10" a="1"/>
  <c r="F58" i="10" s="1"/>
  <c r="F52" i="10" a="1"/>
  <c r="F52" i="10" s="1"/>
  <c r="F59" i="10" a="1"/>
  <c r="F59" i="10" s="1"/>
  <c r="F50" i="10" a="1"/>
  <c r="F50" i="10" s="1"/>
  <c r="F58" i="5" a="1"/>
  <c r="F58" i="5" s="1"/>
  <c r="F50" i="5" a="1"/>
  <c r="F50" i="5" s="1"/>
  <c r="F51" i="5" a="1"/>
  <c r="F51" i="5" s="1"/>
  <c r="F57" i="5" a="1"/>
  <c r="F57" i="5" s="1"/>
  <c r="F56" i="5" a="1"/>
  <c r="F56" i="5" s="1"/>
  <c r="F52" i="5" a="1"/>
  <c r="F52" i="5" s="1"/>
  <c r="F55" i="5" a="1"/>
  <c r="F55" i="5" s="1"/>
  <c r="F54" i="5" a="1"/>
  <c r="F54" i="5" s="1"/>
  <c r="F53" i="5" a="1"/>
  <c r="F53" i="5" s="1"/>
  <c r="F59" i="5" a="1"/>
  <c r="F59" i="5" s="1"/>
  <c r="F53" i="6" a="1"/>
  <c r="F53" i="6" s="1"/>
  <c r="F52" i="6" a="1"/>
  <c r="F52" i="6" s="1"/>
  <c r="F59" i="6" a="1"/>
  <c r="F59" i="6" s="1"/>
  <c r="F51" i="6" a="1"/>
  <c r="F51" i="6" s="1"/>
  <c r="F58" i="6" a="1"/>
  <c r="F58" i="6" s="1"/>
  <c r="F50" i="6" a="1"/>
  <c r="F50" i="6" s="1"/>
  <c r="F55" i="6" a="1"/>
  <c r="F55" i="6" s="1"/>
  <c r="F54" i="6" a="1"/>
  <c r="F54" i="6" s="1"/>
  <c r="F57" i="6" a="1"/>
  <c r="F57" i="6" s="1"/>
  <c r="F56" i="6" a="1"/>
  <c r="F56" i="6" s="1"/>
  <c r="F55" i="7" a="1"/>
  <c r="F55" i="7" s="1"/>
  <c r="F54" i="7" a="1"/>
  <c r="F54" i="7" s="1"/>
  <c r="F50" i="7" a="1"/>
  <c r="F50" i="7" s="1"/>
  <c r="F56" i="7" a="1"/>
  <c r="F56" i="7" s="1"/>
  <c r="F53" i="7" a="1"/>
  <c r="F53" i="7" s="1"/>
  <c r="F58" i="7" a="1"/>
  <c r="F58" i="7" s="1"/>
  <c r="F52" i="7" a="1"/>
  <c r="F52" i="7" s="1"/>
  <c r="F59" i="7" a="1"/>
  <c r="F59" i="7" s="1"/>
  <c r="F51" i="7" a="1"/>
  <c r="F51" i="7" s="1"/>
  <c r="F57" i="7" a="1"/>
  <c r="F57" i="7" s="1"/>
  <c r="F57" i="12" a="1"/>
  <c r="F57" i="12" s="1"/>
  <c r="F50" i="12" a="1"/>
  <c r="F50" i="12" s="1"/>
  <c r="F58" i="12" a="1"/>
  <c r="F58" i="12" s="1"/>
  <c r="F56" i="12" a="1"/>
  <c r="F56" i="12" s="1"/>
  <c r="F51" i="12" a="1"/>
  <c r="F51" i="12" s="1"/>
  <c r="F59" i="12" a="1"/>
  <c r="F59" i="12" s="1"/>
  <c r="F54" i="12" a="1"/>
  <c r="F54" i="12" s="1"/>
  <c r="F52" i="12" a="1"/>
  <c r="F52" i="12" s="1"/>
  <c r="F53" i="12" a="1"/>
  <c r="F53" i="12" s="1"/>
  <c r="F55" i="12" a="1"/>
  <c r="F55" i="12" s="1"/>
  <c r="F58" i="8" a="1"/>
  <c r="F58" i="8" s="1"/>
  <c r="F50" i="8" a="1"/>
  <c r="F50" i="8" s="1"/>
  <c r="F51" i="8" a="1"/>
  <c r="F51" i="8" s="1"/>
  <c r="F57" i="8" a="1"/>
  <c r="F57" i="8" s="1"/>
  <c r="F52" i="8" a="1"/>
  <c r="F52" i="8" s="1"/>
  <c r="F56" i="8" a="1"/>
  <c r="F56" i="8" s="1"/>
  <c r="F55" i="8" a="1"/>
  <c r="F55" i="8" s="1"/>
  <c r="F59" i="8" a="1"/>
  <c r="F59" i="8" s="1"/>
  <c r="F54" i="8" a="1"/>
  <c r="F54" i="8" s="1"/>
  <c r="F53" i="8" a="1"/>
  <c r="F53" i="8" s="1"/>
  <c r="F49" i="7" a="1"/>
  <c r="F49" i="7" s="1"/>
  <c r="F48" i="7" a="1"/>
  <c r="F48" i="7" s="1"/>
  <c r="F47" i="7" a="1"/>
  <c r="F47" i="7" s="1"/>
  <c r="F46" i="7" a="1"/>
  <c r="F46" i="7" s="1"/>
  <c r="F46" i="12" a="1"/>
  <c r="F46" i="12" s="1"/>
  <c r="F47" i="12" a="1"/>
  <c r="F47" i="12" s="1"/>
  <c r="F48" i="12" a="1"/>
  <c r="F48" i="12" s="1"/>
  <c r="F49" i="12" a="1"/>
  <c r="F49" i="12" s="1"/>
  <c r="F49" i="8" a="1"/>
  <c r="F49" i="8" s="1"/>
  <c r="F48" i="8" a="1"/>
  <c r="F48" i="8" s="1"/>
  <c r="F47" i="8" a="1"/>
  <c r="F47" i="8" s="1"/>
  <c r="F46" i="8" a="1"/>
  <c r="F46" i="8" s="1"/>
  <c r="F49" i="9" a="1"/>
  <c r="F49" i="9" s="1"/>
  <c r="F48" i="9" a="1"/>
  <c r="F48" i="9" s="1"/>
  <c r="F47" i="9" a="1"/>
  <c r="F47" i="9" s="1"/>
  <c r="F46" i="9" a="1"/>
  <c r="F46" i="9" s="1"/>
  <c r="F49" i="10" a="1"/>
  <c r="F49" i="10" s="1"/>
  <c r="F48" i="10" a="1"/>
  <c r="F48" i="10" s="1"/>
  <c r="F47" i="10" a="1"/>
  <c r="F47" i="10" s="1"/>
  <c r="F46" i="10" a="1"/>
  <c r="F46" i="10" s="1"/>
  <c r="F47" i="5" a="1"/>
  <c r="F47" i="5" s="1"/>
  <c r="F46" i="5" a="1"/>
  <c r="F46" i="5" s="1"/>
  <c r="F48" i="5" a="1"/>
  <c r="F48" i="5" s="1"/>
  <c r="F49" i="5" a="1"/>
  <c r="F49" i="5" s="1"/>
  <c r="F46" i="6" a="1"/>
  <c r="F46" i="6" s="1"/>
  <c r="F49" i="6" a="1"/>
  <c r="F49" i="6" s="1"/>
  <c r="F48" i="6" a="1"/>
  <c r="F48" i="6" s="1"/>
  <c r="F47" i="6" a="1"/>
  <c r="F47" i="6" s="1"/>
  <c r="F42" i="7" a="1"/>
  <c r="F42" i="7" s="1"/>
  <c r="F41" i="7" a="1"/>
  <c r="F41" i="7" s="1"/>
  <c r="F43" i="7" a="1"/>
  <c r="F43" i="7" s="1"/>
  <c r="F45" i="7" a="1"/>
  <c r="F45" i="7" s="1"/>
  <c r="F44" i="7" a="1"/>
  <c r="F44" i="7" s="1"/>
  <c r="F40" i="12" a="1"/>
  <c r="F40" i="12" s="1"/>
  <c r="F42" i="12" a="1"/>
  <c r="F42" i="12" s="1"/>
  <c r="F43" i="12" a="1"/>
  <c r="F43" i="12" s="1"/>
  <c r="F44" i="12" a="1"/>
  <c r="F44" i="12" s="1"/>
  <c r="F45" i="12" a="1"/>
  <c r="F45" i="12" s="1"/>
  <c r="F41" i="12" a="1"/>
  <c r="F41" i="12" s="1"/>
  <c r="E1" i="8"/>
  <c r="F44" i="8" a="1"/>
  <c r="F44" i="8" s="1"/>
  <c r="F43" i="8" a="1"/>
  <c r="F43" i="8" s="1"/>
  <c r="F45" i="8" a="1"/>
  <c r="F45" i="8" s="1"/>
  <c r="F42" i="8" a="1"/>
  <c r="F42" i="8" s="1"/>
  <c r="F41" i="8" a="1"/>
  <c r="F41" i="8" s="1"/>
  <c r="E1" i="9"/>
  <c r="F45" i="9" a="1"/>
  <c r="F45" i="9" s="1"/>
  <c r="F44" i="9" a="1"/>
  <c r="F44" i="9" s="1"/>
  <c r="F43" i="9" a="1"/>
  <c r="F43" i="9" s="1"/>
  <c r="F41" i="9" a="1"/>
  <c r="F41" i="9" s="1"/>
  <c r="F42" i="9" a="1"/>
  <c r="F42" i="9" s="1"/>
  <c r="E1" i="10"/>
  <c r="F41" i="10" a="1"/>
  <c r="F41" i="10" s="1"/>
  <c r="F45" i="10" a="1"/>
  <c r="F45" i="10" s="1"/>
  <c r="F44" i="10" a="1"/>
  <c r="F44" i="10" s="1"/>
  <c r="F43" i="10" a="1"/>
  <c r="F43" i="10" s="1"/>
  <c r="F42" i="10" a="1"/>
  <c r="F42" i="10" s="1"/>
  <c r="F45" i="5" a="1"/>
  <c r="F45" i="5" s="1"/>
  <c r="F44" i="5" a="1"/>
  <c r="F44" i="5" s="1"/>
  <c r="F43" i="5" a="1"/>
  <c r="F43" i="5" s="1"/>
  <c r="F42" i="5" a="1"/>
  <c r="F42" i="5" s="1"/>
  <c r="F41" i="5" a="1"/>
  <c r="F41" i="5" s="1"/>
  <c r="E1" i="6"/>
  <c r="F41" i="6" a="1"/>
  <c r="F41" i="6" s="1"/>
  <c r="F45" i="6" a="1"/>
  <c r="F45" i="6" s="1"/>
  <c r="F44" i="6" a="1"/>
  <c r="F44" i="6" s="1"/>
  <c r="F43" i="6" a="1"/>
  <c r="F43" i="6" s="1"/>
  <c r="F42" i="6" a="1"/>
  <c r="F42" i="6" s="1"/>
  <c r="D1" i="10" a="1"/>
  <c r="D1" i="10" s="1"/>
  <c r="D1" i="7" a="1"/>
  <c r="D1" i="7" s="1"/>
  <c r="B2" i="6" a="1"/>
  <c r="B2" i="6" s="1"/>
  <c r="F18" i="6" s="1" a="1"/>
  <c r="F18" i="6" s="1"/>
  <c r="A2" i="12" a="1"/>
  <c r="A2" i="12" s="1"/>
  <c r="F36" i="10" a="1"/>
  <c r="F36" i="10" s="1"/>
  <c r="A2" i="8" a="1"/>
  <c r="A2" i="8" s="1"/>
  <c r="A2" i="9" a="1"/>
  <c r="A2" i="9" s="1"/>
  <c r="B2" i="7" a="1"/>
  <c r="B2" i="7" s="1"/>
  <c r="B2" i="12" a="1"/>
  <c r="B2" i="12" s="1"/>
  <c r="B2" i="8" a="1"/>
  <c r="B2" i="8" s="1"/>
  <c r="A2" i="5" a="1"/>
  <c r="A2" i="5" s="1"/>
  <c r="B2" i="9" a="1"/>
  <c r="B2" i="9" s="1"/>
  <c r="B2" i="5" a="1"/>
  <c r="B2" i="5" s="1"/>
  <c r="A2" i="7" a="1"/>
  <c r="A2" i="7" s="1"/>
  <c r="D1" i="12" a="1"/>
  <c r="D1" i="12" s="1"/>
  <c r="E1" i="5"/>
  <c r="D1" i="9" a="1"/>
  <c r="D1" i="9" s="1"/>
  <c r="D1" i="6" a="1"/>
  <c r="D1" i="6" s="1"/>
  <c r="D1" i="8" a="1"/>
  <c r="D1" i="8" s="1"/>
  <c r="E1" i="7"/>
  <c r="D1" i="5" a="1"/>
  <c r="D1" i="5" s="1"/>
  <c r="E1" i="12"/>
  <c r="F10" i="7" l="1" a="1"/>
  <c r="F10" i="7" s="1"/>
  <c r="F24" i="9" a="1"/>
  <c r="F24" i="9" s="1"/>
  <c r="F8" i="5" a="1"/>
  <c r="F8" i="5" s="1"/>
  <c r="F4" i="5" a="1"/>
  <c r="F4" i="5" s="1"/>
  <c r="F33" i="6" a="1"/>
  <c r="F33" i="6" s="1"/>
  <c r="F19" i="6" a="1"/>
  <c r="F19" i="6" s="1"/>
  <c r="F1" i="7" a="1"/>
  <c r="F1" i="7" s="1"/>
  <c r="F36" i="7" a="1"/>
  <c r="F36" i="7" s="1"/>
  <c r="F17" i="9" a="1"/>
  <c r="F17" i="9" s="1"/>
  <c r="F38" i="10" a="1"/>
  <c r="F38" i="10" s="1"/>
  <c r="F5" i="6" a="1"/>
  <c r="F5" i="6" s="1"/>
  <c r="F37" i="6" a="1"/>
  <c r="F37" i="6" s="1"/>
  <c r="F30" i="6" a="1"/>
  <c r="F30" i="6" s="1"/>
  <c r="F23" i="6" a="1"/>
  <c r="F23" i="6" s="1"/>
  <c r="F16" i="6" a="1"/>
  <c r="F16" i="6" s="1"/>
  <c r="F18" i="7" a="1"/>
  <c r="F18" i="7" s="1"/>
  <c r="F18" i="9" a="1"/>
  <c r="F18" i="9" s="1"/>
  <c r="F4" i="10" a="1"/>
  <c r="F4" i="10" s="1"/>
  <c r="F34" i="6" a="1"/>
  <c r="F34" i="6" s="1"/>
  <c r="F22" i="7" a="1"/>
  <c r="F22" i="7" s="1"/>
  <c r="F19" i="9" a="1"/>
  <c r="F19" i="9" s="1"/>
  <c r="F12" i="6" a="1"/>
  <c r="F12" i="6" s="1"/>
  <c r="F9" i="6" a="1"/>
  <c r="F9" i="6" s="1"/>
  <c r="F38" i="6" a="1"/>
  <c r="F38" i="6" s="1"/>
  <c r="F27" i="6" a="1"/>
  <c r="F27" i="6" s="1"/>
  <c r="F20" i="6" a="1"/>
  <c r="F20" i="6" s="1"/>
  <c r="F9" i="7" a="1"/>
  <c r="F9" i="7" s="1"/>
  <c r="F25" i="9" a="1"/>
  <c r="F25" i="9" s="1"/>
  <c r="F2" i="6" a="1"/>
  <c r="F2" i="6" s="1"/>
  <c r="F31" i="6" a="1"/>
  <c r="F31" i="6" s="1"/>
  <c r="F25" i="7" a="1"/>
  <c r="F25" i="7" s="1"/>
  <c r="F17" i="6" a="1"/>
  <c r="F17" i="6" s="1"/>
  <c r="F6" i="6" a="1"/>
  <c r="F6" i="6" s="1"/>
  <c r="F3" i="6" a="1"/>
  <c r="F3" i="6" s="1"/>
  <c r="F35" i="6" a="1"/>
  <c r="F35" i="6" s="1"/>
  <c r="F28" i="6" a="1"/>
  <c r="F28" i="6" s="1"/>
  <c r="F29" i="7" a="1"/>
  <c r="F29" i="7" s="1"/>
  <c r="F31" i="9" a="1"/>
  <c r="F31" i="9" s="1"/>
  <c r="F23" i="8" a="1"/>
  <c r="F23" i="8" s="1"/>
  <c r="F21" i="6" a="1"/>
  <c r="F21" i="6" s="1"/>
  <c r="F10" i="6" a="1"/>
  <c r="F10" i="6" s="1"/>
  <c r="F7" i="6" a="1"/>
  <c r="F7" i="6" s="1"/>
  <c r="F39" i="6" a="1"/>
  <c r="F39" i="6" s="1"/>
  <c r="F32" i="6" a="1"/>
  <c r="F32" i="6" s="1"/>
  <c r="F4" i="7" a="1"/>
  <c r="F4" i="7" s="1"/>
  <c r="F34" i="8" a="1"/>
  <c r="F34" i="8" s="1"/>
  <c r="F20" i="9" a="1"/>
  <c r="F20" i="9" s="1"/>
  <c r="F25" i="6" a="1"/>
  <c r="F25" i="6" s="1"/>
  <c r="F14" i="6" a="1"/>
  <c r="F14" i="6" s="1"/>
  <c r="F11" i="6" a="1"/>
  <c r="F11" i="6" s="1"/>
  <c r="F4" i="6" a="1"/>
  <c r="F4" i="6" s="1"/>
  <c r="F36" i="6" a="1"/>
  <c r="F36" i="6" s="1"/>
  <c r="F20" i="7" a="1"/>
  <c r="F20" i="7" s="1"/>
  <c r="F27" i="8" a="1"/>
  <c r="F27" i="8" s="1"/>
  <c r="F40" i="9" a="1"/>
  <c r="F40" i="9" s="1"/>
  <c r="F15" i="7" a="1"/>
  <c r="F15" i="7" s="1"/>
  <c r="F29" i="6" a="1"/>
  <c r="F29" i="6" s="1"/>
  <c r="F22" i="6" a="1"/>
  <c r="F22" i="6" s="1"/>
  <c r="F15" i="6" a="1"/>
  <c r="F15" i="6" s="1"/>
  <c r="F8" i="6" a="1"/>
  <c r="F8" i="6" s="1"/>
  <c r="F40" i="6" a="1"/>
  <c r="F40" i="6" s="1"/>
  <c r="F24" i="7" a="1"/>
  <c r="F24" i="7" s="1"/>
  <c r="F5" i="9" a="1"/>
  <c r="F5" i="9" s="1"/>
  <c r="F18" i="10" a="1"/>
  <c r="F18" i="10" s="1"/>
  <c r="F3" i="9" a="1"/>
  <c r="F3" i="9" s="1"/>
  <c r="F26" i="6" a="1"/>
  <c r="F26" i="6" s="1"/>
  <c r="F13" i="6" a="1"/>
  <c r="F13" i="6" s="1"/>
  <c r="F1" i="6" a="1"/>
  <c r="F1" i="6" s="1"/>
  <c r="F24" i="6" a="1"/>
  <c r="F24" i="6" s="1"/>
  <c r="F19" i="7" a="1"/>
  <c r="F19" i="7" s="1"/>
  <c r="F23" i="7" a="1"/>
  <c r="F23" i="7" s="1"/>
  <c r="F38" i="8" a="1"/>
  <c r="F38" i="8" s="1"/>
  <c r="F31" i="8" a="1"/>
  <c r="F31" i="8" s="1"/>
  <c r="F2" i="9" a="1"/>
  <c r="F2" i="9" s="1"/>
  <c r="F35" i="9" a="1"/>
  <c r="F35" i="9" s="1"/>
  <c r="F1" i="10" a="1"/>
  <c r="F1" i="10" s="1"/>
  <c r="F5" i="12" a="1"/>
  <c r="F5" i="12" s="1"/>
  <c r="F9" i="8" a="1"/>
  <c r="F9" i="8" s="1"/>
  <c r="F37" i="8" a="1"/>
  <c r="F37" i="8" s="1"/>
  <c r="F14" i="9" a="1"/>
  <c r="F14" i="9" s="1"/>
  <c r="F8" i="9" a="1"/>
  <c r="F8" i="9" s="1"/>
  <c r="F19" i="10" a="1"/>
  <c r="F19" i="10" s="1"/>
  <c r="F3" i="5" a="1"/>
  <c r="F3" i="5" s="1"/>
  <c r="F17" i="8" a="1"/>
  <c r="F17" i="8" s="1"/>
  <c r="F25" i="8" a="1"/>
  <c r="F25" i="8" s="1"/>
  <c r="F16" i="8" a="1"/>
  <c r="F16" i="8" s="1"/>
  <c r="F2" i="8" a="1"/>
  <c r="F2" i="8" s="1"/>
  <c r="F33" i="8" a="1"/>
  <c r="F33" i="8" s="1"/>
  <c r="F24" i="8" a="1"/>
  <c r="F24" i="8" s="1"/>
  <c r="F34" i="9" a="1"/>
  <c r="F34" i="9" s="1"/>
  <c r="F24" i="10" a="1"/>
  <c r="F24" i="10" s="1"/>
  <c r="F6" i="8" a="1"/>
  <c r="F6" i="8" s="1"/>
  <c r="F1" i="8" a="1"/>
  <c r="F1" i="8" s="1"/>
  <c r="F28" i="8" a="1"/>
  <c r="F28" i="8" s="1"/>
  <c r="F18" i="8" a="1"/>
  <c r="F18" i="8" s="1"/>
  <c r="F11" i="8" a="1"/>
  <c r="F11" i="8" s="1"/>
  <c r="F8" i="8" a="1"/>
  <c r="F8" i="8" s="1"/>
  <c r="F21" i="10" a="1"/>
  <c r="F21" i="10" s="1"/>
  <c r="F36" i="9" a="1"/>
  <c r="F36" i="9" s="1"/>
  <c r="F30" i="8" a="1"/>
  <c r="F30" i="8" s="1"/>
  <c r="F3" i="7" a="1"/>
  <c r="F3" i="7" s="1"/>
  <c r="F33" i="7" a="1"/>
  <c r="F33" i="7" s="1"/>
  <c r="F28" i="7" a="1"/>
  <c r="F28" i="7" s="1"/>
  <c r="F30" i="7" a="1"/>
  <c r="F30" i="7" s="1"/>
  <c r="F27" i="7" a="1"/>
  <c r="F27" i="7" s="1"/>
  <c r="F25" i="10" a="1"/>
  <c r="F25" i="10" s="1"/>
  <c r="F31" i="10" a="1"/>
  <c r="F31" i="10" s="1"/>
  <c r="F9" i="5" a="1"/>
  <c r="F9" i="5" s="1"/>
  <c r="F5" i="7" a="1"/>
  <c r="F5" i="7" s="1"/>
  <c r="F37" i="7" a="1"/>
  <c r="F37" i="7" s="1"/>
  <c r="F32" i="7" a="1"/>
  <c r="F32" i="7" s="1"/>
  <c r="F34" i="7" a="1"/>
  <c r="F34" i="7" s="1"/>
  <c r="F31" i="7" a="1"/>
  <c r="F31" i="7" s="1"/>
  <c r="F2" i="10" a="1"/>
  <c r="F2" i="10" s="1"/>
  <c r="F35" i="10" a="1"/>
  <c r="F35" i="10" s="1"/>
  <c r="F40" i="8" a="1"/>
  <c r="F40" i="8" s="1"/>
  <c r="F38" i="7" a="1"/>
  <c r="F38" i="7" s="1"/>
  <c r="F35" i="7" a="1"/>
  <c r="F35" i="7" s="1"/>
  <c r="F13" i="7" a="1"/>
  <c r="F13" i="7" s="1"/>
  <c r="F8" i="7" a="1"/>
  <c r="F8" i="7" s="1"/>
  <c r="F40" i="7" a="1"/>
  <c r="F40" i="7" s="1"/>
  <c r="F26" i="7" a="1"/>
  <c r="F26" i="7" s="1"/>
  <c r="F39" i="7" a="1"/>
  <c r="F39" i="7" s="1"/>
  <c r="F22" i="10" a="1"/>
  <c r="F22" i="10" s="1"/>
  <c r="F20" i="10" a="1"/>
  <c r="F20" i="10" s="1"/>
  <c r="F11" i="12" a="1"/>
  <c r="F11" i="12" s="1"/>
  <c r="F7" i="5" a="1"/>
  <c r="F7" i="5" s="1"/>
  <c r="F6" i="7" a="1"/>
  <c r="F6" i="7" s="1"/>
  <c r="F17" i="7" a="1"/>
  <c r="F17" i="7" s="1"/>
  <c r="F12" i="7" a="1"/>
  <c r="F12" i="7" s="1"/>
  <c r="F2" i="7" a="1"/>
  <c r="F2" i="7" s="1"/>
  <c r="F7" i="7" a="1"/>
  <c r="F7" i="7" s="1"/>
  <c r="F11" i="7" a="1"/>
  <c r="F11" i="7" s="1"/>
  <c r="F21" i="7" a="1"/>
  <c r="F21" i="7" s="1"/>
  <c r="F16" i="7" a="1"/>
  <c r="F16" i="7" s="1"/>
  <c r="F14" i="7" a="1"/>
  <c r="F14" i="7" s="1"/>
  <c r="F17" i="10" a="1"/>
  <c r="F17" i="10" s="1"/>
  <c r="F40" i="10" a="1"/>
  <c r="F40" i="10" s="1"/>
  <c r="F6" i="5" a="1"/>
  <c r="F6" i="5" s="1"/>
  <c r="F22" i="8" a="1"/>
  <c r="F22" i="8" s="1"/>
  <c r="F13" i="8" a="1"/>
  <c r="F13" i="8" s="1"/>
  <c r="F15" i="8" a="1"/>
  <c r="F15" i="8" s="1"/>
  <c r="F4" i="8" a="1"/>
  <c r="F4" i="8" s="1"/>
  <c r="F20" i="8" a="1"/>
  <c r="F20" i="8" s="1"/>
  <c r="F6" i="9" a="1"/>
  <c r="F6" i="9" s="1"/>
  <c r="F38" i="9" a="1"/>
  <c r="F38" i="9" s="1"/>
  <c r="F23" i="9" a="1"/>
  <c r="F23" i="9" s="1"/>
  <c r="F12" i="9" a="1"/>
  <c r="F12" i="9" s="1"/>
  <c r="F13" i="9" a="1"/>
  <c r="F13" i="9" s="1"/>
  <c r="F6" i="10" a="1"/>
  <c r="F6" i="10" s="1"/>
  <c r="F5" i="10" a="1"/>
  <c r="F5" i="10" s="1"/>
  <c r="F23" i="10" a="1"/>
  <c r="F23" i="10" s="1"/>
  <c r="F8" i="10" a="1"/>
  <c r="F8" i="10" s="1"/>
  <c r="F9" i="10" a="1"/>
  <c r="F9" i="10" s="1"/>
  <c r="F2" i="12" a="1"/>
  <c r="F2" i="12" s="1"/>
  <c r="F18" i="12" a="1"/>
  <c r="F18" i="12" s="1"/>
  <c r="F31" i="12" a="1"/>
  <c r="F31" i="12" s="1"/>
  <c r="F16" i="12" a="1"/>
  <c r="F16" i="12" s="1"/>
  <c r="F22" i="12" a="1"/>
  <c r="F22" i="12" s="1"/>
  <c r="F29" i="12" a="1"/>
  <c r="F29" i="12" s="1"/>
  <c r="F35" i="12" a="1"/>
  <c r="F35" i="12" s="1"/>
  <c r="F17" i="12" a="1"/>
  <c r="F17" i="12" s="1"/>
  <c r="F23" i="12" a="1"/>
  <c r="F23" i="12" s="1"/>
  <c r="F36" i="12" a="1"/>
  <c r="F36" i="12" s="1"/>
  <c r="F13" i="12" a="1"/>
  <c r="F13" i="12" s="1"/>
  <c r="F19" i="12" a="1"/>
  <c r="F19" i="12" s="1"/>
  <c r="F32" i="12" a="1"/>
  <c r="F32" i="12" s="1"/>
  <c r="F38" i="12" a="1"/>
  <c r="F38" i="12" s="1"/>
  <c r="F14" i="12" a="1"/>
  <c r="F14" i="12" s="1"/>
  <c r="F27" i="12" a="1"/>
  <c r="F27" i="12" s="1"/>
  <c r="F34" i="12" a="1"/>
  <c r="F34" i="12" s="1"/>
  <c r="F3" i="12" a="1"/>
  <c r="F3" i="12" s="1"/>
  <c r="F24" i="12" a="1"/>
  <c r="F24" i="12" s="1"/>
  <c r="F37" i="12" a="1"/>
  <c r="F37" i="12" s="1"/>
  <c r="F20" i="12" a="1"/>
  <c r="F20" i="12" s="1"/>
  <c r="F26" i="12" a="1"/>
  <c r="F26" i="12" s="1"/>
  <c r="F33" i="12" a="1"/>
  <c r="F33" i="12" s="1"/>
  <c r="F39" i="12" a="1"/>
  <c r="F39" i="12" s="1"/>
  <c r="F21" i="12" a="1"/>
  <c r="F21" i="12" s="1"/>
  <c r="F15" i="12" a="1"/>
  <c r="F15" i="12" s="1"/>
  <c r="F28" i="12" a="1"/>
  <c r="F28" i="12" s="1"/>
  <c r="F30" i="12" a="1"/>
  <c r="F30" i="12" s="1"/>
  <c r="F12" i="12" a="1"/>
  <c r="F12" i="12" s="1"/>
  <c r="F25" i="12" a="1"/>
  <c r="F25" i="12" s="1"/>
  <c r="F1" i="12" a="1"/>
  <c r="F1" i="12" s="1"/>
  <c r="F26" i="8" a="1"/>
  <c r="F26" i="8" s="1"/>
  <c r="F21" i="8" a="1"/>
  <c r="F21" i="8" s="1"/>
  <c r="F19" i="8" a="1"/>
  <c r="F19" i="8" s="1"/>
  <c r="F12" i="8" a="1"/>
  <c r="F12" i="8" s="1"/>
  <c r="F36" i="8" a="1"/>
  <c r="F36" i="8" s="1"/>
  <c r="F10" i="9" a="1"/>
  <c r="F10" i="9" s="1"/>
  <c r="F9" i="9" a="1"/>
  <c r="F9" i="9" s="1"/>
  <c r="F27" i="9" a="1"/>
  <c r="F27" i="9" s="1"/>
  <c r="F16" i="9" a="1"/>
  <c r="F16" i="9" s="1"/>
  <c r="F4" i="9" a="1"/>
  <c r="F4" i="9" s="1"/>
  <c r="F14" i="10" a="1"/>
  <c r="F14" i="10" s="1"/>
  <c r="F10" i="10" a="1"/>
  <c r="F10" i="10" s="1"/>
  <c r="F27" i="10" a="1"/>
  <c r="F27" i="10" s="1"/>
  <c r="F16" i="10" a="1"/>
  <c r="F16" i="10" s="1"/>
  <c r="F12" i="10" a="1"/>
  <c r="F12" i="10" s="1"/>
  <c r="F9" i="12" a="1"/>
  <c r="F9" i="12" s="1"/>
  <c r="F27" i="5" a="1"/>
  <c r="F27" i="5" s="1"/>
  <c r="F13" i="5" a="1"/>
  <c r="F13" i="5" s="1"/>
  <c r="F19" i="5" a="1"/>
  <c r="F19" i="5" s="1"/>
  <c r="F32" i="5" a="1"/>
  <c r="F32" i="5" s="1"/>
  <c r="F20" i="5" a="1"/>
  <c r="F20" i="5" s="1"/>
  <c r="F26" i="5" a="1"/>
  <c r="F26" i="5" s="1"/>
  <c r="F33" i="5" a="1"/>
  <c r="F33" i="5" s="1"/>
  <c r="F16" i="5" a="1"/>
  <c r="F16" i="5" s="1"/>
  <c r="F22" i="5" a="1"/>
  <c r="F22" i="5" s="1"/>
  <c r="F29" i="5" a="1"/>
  <c r="F29" i="5" s="1"/>
  <c r="F35" i="5" a="1"/>
  <c r="F35" i="5" s="1"/>
  <c r="F30" i="5" a="1"/>
  <c r="F30" i="5" s="1"/>
  <c r="F31" i="5" a="1"/>
  <c r="F31" i="5" s="1"/>
  <c r="F14" i="5" a="1"/>
  <c r="F14" i="5" s="1"/>
  <c r="F21" i="5" a="1"/>
  <c r="F21" i="5" s="1"/>
  <c r="F39" i="5" a="1"/>
  <c r="F39" i="5" s="1"/>
  <c r="F17" i="5" a="1"/>
  <c r="F17" i="5" s="1"/>
  <c r="F23" i="5" a="1"/>
  <c r="F23" i="5" s="1"/>
  <c r="F36" i="5" a="1"/>
  <c r="F36" i="5" s="1"/>
  <c r="F40" i="5" a="1"/>
  <c r="F40" i="5" s="1"/>
  <c r="F24" i="5" a="1"/>
  <c r="F24" i="5" s="1"/>
  <c r="F37" i="5" a="1"/>
  <c r="F37" i="5" s="1"/>
  <c r="F12" i="5" a="1"/>
  <c r="F12" i="5" s="1"/>
  <c r="F18" i="5" a="1"/>
  <c r="F18" i="5" s="1"/>
  <c r="F25" i="5" a="1"/>
  <c r="F25" i="5" s="1"/>
  <c r="F38" i="5" a="1"/>
  <c r="F38" i="5" s="1"/>
  <c r="F15" i="5" a="1"/>
  <c r="F15" i="5" s="1"/>
  <c r="F28" i="5" a="1"/>
  <c r="F28" i="5" s="1"/>
  <c r="F34" i="5" a="1"/>
  <c r="F34" i="5" s="1"/>
  <c r="F29" i="9" a="1"/>
  <c r="F29" i="9" s="1"/>
  <c r="F22" i="9" a="1"/>
  <c r="F22" i="9" s="1"/>
  <c r="F7" i="9" a="1"/>
  <c r="F7" i="9" s="1"/>
  <c r="F39" i="9" a="1"/>
  <c r="F39" i="9" s="1"/>
  <c r="F28" i="9" a="1"/>
  <c r="F28" i="9" s="1"/>
  <c r="F29" i="10" a="1"/>
  <c r="F29" i="10" s="1"/>
  <c r="F26" i="10" a="1"/>
  <c r="F26" i="10" s="1"/>
  <c r="F3" i="10" a="1"/>
  <c r="F3" i="10" s="1"/>
  <c r="F39" i="10" a="1"/>
  <c r="F39" i="10" s="1"/>
  <c r="F28" i="10" a="1"/>
  <c r="F28" i="10" s="1"/>
  <c r="F6" i="12" a="1"/>
  <c r="F6" i="12" s="1"/>
  <c r="F10" i="5" a="1"/>
  <c r="F10" i="5" s="1"/>
  <c r="F11" i="5" a="1"/>
  <c r="F11" i="5" s="1"/>
  <c r="F10" i="8" a="1"/>
  <c r="F10" i="8" s="1"/>
  <c r="F29" i="8" a="1"/>
  <c r="F29" i="8" s="1"/>
  <c r="F3" i="8" a="1"/>
  <c r="F3" i="8" s="1"/>
  <c r="F35" i="8" a="1"/>
  <c r="F35" i="8" s="1"/>
  <c r="F32" i="8" a="1"/>
  <c r="F32" i="8" s="1"/>
  <c r="F37" i="9" a="1"/>
  <c r="F37" i="9" s="1"/>
  <c r="F26" i="9" a="1"/>
  <c r="F26" i="9" s="1"/>
  <c r="F11" i="9" a="1"/>
  <c r="F11" i="9" s="1"/>
  <c r="F21" i="9" a="1"/>
  <c r="F21" i="9" s="1"/>
  <c r="F32" i="9" a="1"/>
  <c r="F32" i="9" s="1"/>
  <c r="F33" i="10" a="1"/>
  <c r="F33" i="10" s="1"/>
  <c r="F30" i="10" a="1"/>
  <c r="F30" i="10" s="1"/>
  <c r="F7" i="10" a="1"/>
  <c r="F7" i="10" s="1"/>
  <c r="F13" i="10" a="1"/>
  <c r="F13" i="10" s="1"/>
  <c r="F32" i="10" a="1"/>
  <c r="F32" i="10" s="1"/>
  <c r="F7" i="12" a="1"/>
  <c r="F7" i="12" s="1"/>
  <c r="F4" i="12" a="1"/>
  <c r="F4" i="12" s="1"/>
  <c r="F5" i="5" a="1"/>
  <c r="F5" i="5" s="1"/>
  <c r="F14" i="8" a="1"/>
  <c r="F14" i="8" s="1"/>
  <c r="F5" i="8" a="1"/>
  <c r="F5" i="8" s="1"/>
  <c r="F7" i="8" a="1"/>
  <c r="F7" i="8" s="1"/>
  <c r="F39" i="8" a="1"/>
  <c r="F39" i="8" s="1"/>
  <c r="F33" i="9" a="1"/>
  <c r="F33" i="9" s="1"/>
  <c r="F30" i="9" a="1"/>
  <c r="F30" i="9" s="1"/>
  <c r="F15" i="9" a="1"/>
  <c r="F15" i="9" s="1"/>
  <c r="F1" i="9" a="1"/>
  <c r="F1" i="9" s="1"/>
  <c r="F37" i="10" a="1"/>
  <c r="F37" i="10" s="1"/>
  <c r="F34" i="10" a="1"/>
  <c r="F34" i="10" s="1"/>
  <c r="F11" i="10" a="1"/>
  <c r="F11" i="10" s="1"/>
  <c r="F15" i="10" a="1"/>
  <c r="F15" i="10" s="1"/>
  <c r="F8" i="12" a="1"/>
  <c r="F8" i="12" s="1"/>
  <c r="F10" i="12" a="1"/>
  <c r="F10" i="12" s="1"/>
  <c r="F1" i="5" a="1"/>
  <c r="F1" i="5" s="1"/>
  <c r="F2" i="5" a="1"/>
  <c r="F2"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uthor>
    <author>Sher Wen</author>
  </authors>
  <commentList>
    <comment ref="A4" authorId="0" shapeId="0" xr:uid="{16BD16B4-F2A2-493C-9290-4D16EB4AF32C}">
      <text>
        <r>
          <rPr>
            <b/>
            <sz val="9"/>
            <color indexed="81"/>
            <rFont val="Tahoma"/>
            <family val="2"/>
          </rPr>
          <t>K:</t>
        </r>
        <r>
          <rPr>
            <sz val="9"/>
            <color indexed="81"/>
            <rFont val="Tahoma"/>
            <family val="2"/>
          </rPr>
          <t xml:space="preserve">
The folder that contains the "python" folder</t>
        </r>
      </text>
    </comment>
    <comment ref="B13" authorId="1" shapeId="0" xr:uid="{47BD67DA-45A7-4632-A916-657691EE4899}">
      <text>
        <r>
          <rPr>
            <b/>
            <sz val="9"/>
            <color indexed="81"/>
            <rFont val="Tahoma"/>
            <family val="2"/>
          </rPr>
          <t>Sher Wen:</t>
        </r>
        <r>
          <rPr>
            <sz val="9"/>
            <color indexed="81"/>
            <rFont val="Tahoma"/>
            <family val="2"/>
          </rPr>
          <t xml:space="preserve">
Leave empty if generating new output file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<sst xmlns="http://schemas.openxmlformats.org/spreadsheetml/2006/main" count="6498" uniqueCount="1959">
  <si>
    <t>Plaxis File Selector</t>
  </si>
  <si>
    <t>Model Name</t>
  </si>
  <si>
    <t>Path</t>
  </si>
  <si>
    <t>Element Type</t>
  </si>
  <si>
    <t>Element Name</t>
  </si>
  <si>
    <t>Ux</t>
  </si>
  <si>
    <t>Nx2D</t>
  </si>
  <si>
    <t>Q2D</t>
  </si>
  <si>
    <t>M2D</t>
  </si>
  <si>
    <t>Nz2D</t>
  </si>
  <si>
    <t>AnchorForce2D</t>
  </si>
  <si>
    <t>Interface result types</t>
  </si>
  <si>
    <t>Plate result types</t>
  </si>
  <si>
    <t>n2n anchor result types</t>
  </si>
  <si>
    <t>FEAnchor result types</t>
  </si>
  <si>
    <t>EBR result types</t>
  </si>
  <si>
    <t>Geogrid result types</t>
  </si>
  <si>
    <t>Plot Types</t>
  </si>
  <si>
    <t>Mesh Settings</t>
  </si>
  <si>
    <t>X</t>
  </si>
  <si>
    <t>None</t>
  </si>
  <si>
    <t>ElementContours</t>
  </si>
  <si>
    <t>Y</t>
  </si>
  <si>
    <t>Uy</t>
  </si>
  <si>
    <t>Shadings</t>
  </si>
  <si>
    <t>IsoAreas</t>
  </si>
  <si>
    <t>Materials</t>
  </si>
  <si>
    <t>Utot</t>
  </si>
  <si>
    <t>NodeArrows</t>
  </si>
  <si>
    <t>PhreaticSurface</t>
  </si>
  <si>
    <t>dUx</t>
  </si>
  <si>
    <t>StressPointArrows</t>
  </si>
  <si>
    <t>ViscousBoundary</t>
  </si>
  <si>
    <t>dUy</t>
  </si>
  <si>
    <t>NodeLabels</t>
  </si>
  <si>
    <t>Fixities</t>
  </si>
  <si>
    <t>dUtot</t>
  </si>
  <si>
    <t>StressPointLabels</t>
  </si>
  <si>
    <t>Cu at FEL</t>
  </si>
  <si>
    <t>PUx</t>
  </si>
  <si>
    <t>PlasticPoints</t>
  </si>
  <si>
    <t>ClusterContours</t>
  </si>
  <si>
    <t>PUy</t>
  </si>
  <si>
    <t>PrincipalDirections</t>
  </si>
  <si>
    <t>CrossSectionContour</t>
  </si>
  <si>
    <t>PUtot</t>
  </si>
  <si>
    <t>PrincipalDirectionsNoColour</t>
  </si>
  <si>
    <t>NodeNumbers</t>
  </si>
  <si>
    <t>Vx</t>
  </si>
  <si>
    <t>CenterPrincipalDirections</t>
  </si>
  <si>
    <t>InputNodeNumbers</t>
  </si>
  <si>
    <t>Vy</t>
  </si>
  <si>
    <t>CenterPrincipalDirectionsNoColour</t>
  </si>
  <si>
    <t>StressPointNumbers</t>
  </si>
  <si>
    <t>Vtot</t>
  </si>
  <si>
    <t>Deformation</t>
  </si>
  <si>
    <t>DisplayedElementNumber</t>
  </si>
  <si>
    <t>Ax</t>
  </si>
  <si>
    <t>Distribution</t>
  </si>
  <si>
    <t>ChainNumbers</t>
  </si>
  <si>
    <t>Ay</t>
  </si>
  <si>
    <t>DistributionOpen</t>
  </si>
  <si>
    <t>GroupIds</t>
  </si>
  <si>
    <t>Atot</t>
  </si>
  <si>
    <t>DistributionEnvelope</t>
  </si>
  <si>
    <t>ClusterSubClusterNumbers</t>
  </si>
  <si>
    <t>InterfaceRelativeShearStress</t>
  </si>
  <si>
    <t>DistributionEnvelopeOpen</t>
  </si>
  <si>
    <t>PlasticPointsFailure</t>
  </si>
  <si>
    <t>IRelUx</t>
  </si>
  <si>
    <t>AnchorForceMin2D</t>
  </si>
  <si>
    <t>PlasticPointsTensionCutoff</t>
  </si>
  <si>
    <t>IRelUy</t>
  </si>
  <si>
    <t>AnchorForceMax2D</t>
  </si>
  <si>
    <t>Nx_EnvelopeMin2D</t>
  </si>
  <si>
    <t>PlasticPointsCap</t>
  </si>
  <si>
    <t>IRelUtot</t>
  </si>
  <si>
    <t>SoilTemperature</t>
  </si>
  <si>
    <t>FixedAnchorAngle2D</t>
  </si>
  <si>
    <t>Nx_EnvelopeMax2D</t>
  </si>
  <si>
    <t>PlasticPointsCapAndHardening</t>
  </si>
  <si>
    <t>IReldUx</t>
  </si>
  <si>
    <t>Agx</t>
  </si>
  <si>
    <t>FixedAnchorLength2D</t>
  </si>
  <si>
    <t>Nz_EnvelopeMin2D</t>
  </si>
  <si>
    <t>PlasticPointsHardening</t>
  </si>
  <si>
    <t>IReldUy</t>
  </si>
  <si>
    <t>Agy</t>
  </si>
  <si>
    <t>Nz_EnvelopeMax2D</t>
  </si>
  <si>
    <t>GravityForce</t>
  </si>
  <si>
    <t>IReldUtot</t>
  </si>
  <si>
    <t>Agtot</t>
  </si>
  <si>
    <t>Temperature</t>
  </si>
  <si>
    <t>ForcesLoadsLoad</t>
  </si>
  <si>
    <t>IRelPUx</t>
  </si>
  <si>
    <t>Q_EnvelopeMin2D</t>
  </si>
  <si>
    <t>U1</t>
  </si>
  <si>
    <t>ForcesPresDisplLoad</t>
  </si>
  <si>
    <t>IRelPUy</t>
  </si>
  <si>
    <t>Q_EnvelopeMax2D</t>
  </si>
  <si>
    <t>U2</t>
  </si>
  <si>
    <t>StructureForce</t>
  </si>
  <si>
    <t>IRelPUtot</t>
  </si>
  <si>
    <t>M_EnvelopeMin2D</t>
  </si>
  <si>
    <t>dU1</t>
  </si>
  <si>
    <t>WaterPressureForce</t>
  </si>
  <si>
    <t>InterfaceEffectiveNormalStress</t>
  </si>
  <si>
    <t>M_EnvelopeMax2D</t>
  </si>
  <si>
    <t>dU2</t>
  </si>
  <si>
    <t>Area</t>
  </si>
  <si>
    <t>NormalSoilStress</t>
  </si>
  <si>
    <t>InterfaceTotalNormalStress</t>
  </si>
  <si>
    <t>PU1</t>
  </si>
  <si>
    <t>ShearSoilStress</t>
  </si>
  <si>
    <t>InterfaceShearStress</t>
  </si>
  <si>
    <t>PU2</t>
  </si>
  <si>
    <t>Tskin</t>
  </si>
  <si>
    <t>ForcesAsLoads</t>
  </si>
  <si>
    <t>UxMin</t>
  </si>
  <si>
    <t>Tlat</t>
  </si>
  <si>
    <t>ForcesAsForces</t>
  </si>
  <si>
    <t>PExcess</t>
  </si>
  <si>
    <t>UyMin</t>
  </si>
  <si>
    <t>Height</t>
  </si>
  <si>
    <t>ForcesAsEquivalentForces</t>
  </si>
  <si>
    <t>PActive</t>
  </si>
  <si>
    <t>UxMax</t>
  </si>
  <si>
    <t>ForcesAsTotalForces</t>
  </si>
  <si>
    <t>PSteady</t>
  </si>
  <si>
    <t>UyMax</t>
  </si>
  <si>
    <t>ForcesWaterPressureForce</t>
  </si>
  <si>
    <t>UtotMax</t>
  </si>
  <si>
    <t>QtTot</t>
  </si>
  <si>
    <t>ForcesSoilStressForce</t>
  </si>
  <si>
    <t>PlasticPoint</t>
  </si>
  <si>
    <t>VxMin</t>
  </si>
  <si>
    <t>MaterialID</t>
  </si>
  <si>
    <t>ForcesTotalStress</t>
  </si>
  <si>
    <t>VyMin</t>
  </si>
  <si>
    <t>ForcesLoadsForce</t>
  </si>
  <si>
    <t>VxMax</t>
  </si>
  <si>
    <t>ForcesPresDisplForce</t>
  </si>
  <si>
    <t>IsCurved</t>
  </si>
  <si>
    <t>VyMax</t>
  </si>
  <si>
    <t>CSElementContours</t>
  </si>
  <si>
    <t>Suction</t>
  </si>
  <si>
    <t>VtotMax</t>
  </si>
  <si>
    <t>StructureAxes</t>
  </si>
  <si>
    <t>EffSaturationAsPercentage</t>
  </si>
  <si>
    <t>PlateRot2D</t>
  </si>
  <si>
    <t>AxMin</t>
  </si>
  <si>
    <t>FootForce</t>
  </si>
  <si>
    <t>ClosedBoundary</t>
  </si>
  <si>
    <t>VirtualInterfaceThickness</t>
  </si>
  <si>
    <t>IncPlateRot2D</t>
  </si>
  <si>
    <t>AyMin</t>
  </si>
  <si>
    <t>SeepageBoundary</t>
  </si>
  <si>
    <t>AxMax</t>
  </si>
  <si>
    <t>FluxBoundary</t>
  </si>
  <si>
    <t>AyMax</t>
  </si>
  <si>
    <t>HeadBoundary</t>
  </si>
  <si>
    <t>AtotMax</t>
  </si>
  <si>
    <t>StructuresInCrossSection</t>
  </si>
  <si>
    <t>AgxMin</t>
  </si>
  <si>
    <t>WholeStructuresInCrossSection</t>
  </si>
  <si>
    <t>AgyMin</t>
  </si>
  <si>
    <t>Frames</t>
  </si>
  <si>
    <t>AgxMax</t>
  </si>
  <si>
    <t>SelectionLabels</t>
  </si>
  <si>
    <t>PSteadyWithSuction</t>
  </si>
  <si>
    <t>AgyMax</t>
  </si>
  <si>
    <t>PlasticPointsFailureInaccurate</t>
  </si>
  <si>
    <t>AgtotMax</t>
  </si>
  <si>
    <t>PlasticPointsTensionCutoffInaccurate</t>
  </si>
  <si>
    <t>QualityLinLength</t>
  </si>
  <si>
    <t>PUxMin</t>
  </si>
  <si>
    <t>PlasticPointsCapInaccurate</t>
  </si>
  <si>
    <t>Length</t>
  </si>
  <si>
    <t>PUyMin</t>
  </si>
  <si>
    <t>PlasticPointsCapAndHardeningInaccurate</t>
  </si>
  <si>
    <t>InterfaceTauMax</t>
  </si>
  <si>
    <t>PUxMax</t>
  </si>
  <si>
    <t>PlasticPointsHardeningInaccurate</t>
  </si>
  <si>
    <t>PUyMax</t>
  </si>
  <si>
    <t>StructureMaterialNumbers</t>
  </si>
  <si>
    <t>PUtotMax</t>
  </si>
  <si>
    <t>GroupClusters</t>
  </si>
  <si>
    <t>PVxMin</t>
  </si>
  <si>
    <t>ElasticPoint</t>
  </si>
  <si>
    <t>PVyMin</t>
  </si>
  <si>
    <t>PVxMax</t>
  </si>
  <si>
    <t>PVyMax</t>
  </si>
  <si>
    <t>PVtotMax</t>
  </si>
  <si>
    <t>PAxMin</t>
  </si>
  <si>
    <t>PAyMin</t>
  </si>
  <si>
    <t>PAxMax</t>
  </si>
  <si>
    <t>PAyMax</t>
  </si>
  <si>
    <t>PAtotMax</t>
  </si>
  <si>
    <t>PAgxMin</t>
  </si>
  <si>
    <t>PAgyMin</t>
  </si>
  <si>
    <t>PAgxMax</t>
  </si>
  <si>
    <t>PAgyMax</t>
  </si>
  <si>
    <t>PAgtotMax</t>
  </si>
  <si>
    <t>SPUx</t>
  </si>
  <si>
    <t>SPUy</t>
  </si>
  <si>
    <t>SPUtot</t>
  </si>
  <si>
    <t>PlasticPointHistoryMohrCoulomb</t>
  </si>
  <si>
    <t>NodeID</t>
  </si>
  <si>
    <t>SPUz</t>
  </si>
  <si>
    <t>PlasticPointHistoryTensionCutOff</t>
  </si>
  <si>
    <t>ElementID</t>
  </si>
  <si>
    <t>PlasticPointHistoryCap</t>
  </si>
  <si>
    <t>LocalNumber</t>
  </si>
  <si>
    <t>PlasticPointHistoryHardening</t>
  </si>
  <si>
    <t>PlasticPointHistoryCapHardening</t>
  </si>
  <si>
    <t>Ctunel</t>
  </si>
  <si>
    <t>Cplanar</t>
  </si>
  <si>
    <t>Ctunnel</t>
  </si>
  <si>
    <t>TskinMax</t>
  </si>
  <si>
    <t>TskinRel</t>
  </si>
  <si>
    <t>PWater</t>
  </si>
  <si>
    <t>EffSuction</t>
  </si>
  <si>
    <t>EffSaturationAsRatio</t>
  </si>
  <si>
    <t>Qn</t>
  </si>
  <si>
    <t>Q1</t>
  </si>
  <si>
    <t>StressPointID</t>
  </si>
  <si>
    <t>Action</t>
  </si>
  <si>
    <t>No.</t>
  </si>
  <si>
    <t>General Settings</t>
  </si>
  <si>
    <t>Settings</t>
  </si>
  <si>
    <t>Value</t>
  </si>
  <si>
    <t>C:\ProgramData\Bentley\Geotechnical\PLAXIS Python Distribution V1 Update 1</t>
  </si>
  <si>
    <t>Shovel Backend Path</t>
  </si>
  <si>
    <t>Host</t>
  </si>
  <si>
    <t>localhost</t>
  </si>
  <si>
    <t>VakNTMK/=W~&gt;@4~+</t>
  </si>
  <si>
    <t>Plaxis python folder</t>
  </si>
  <si>
    <t xml:space="preserve"> </t>
  </si>
  <si>
    <t>Plate</t>
  </si>
  <si>
    <t>EmbeddedBeamRow</t>
  </si>
  <si>
    <t>NodeToNodeAnchor</t>
  </si>
  <si>
    <t>FixedEndAnchor</t>
  </si>
  <si>
    <t>Geogrid</t>
  </si>
  <si>
    <t>Interface</t>
  </si>
  <si>
    <t>Plate_1</t>
  </si>
  <si>
    <t>Plate_2</t>
  </si>
  <si>
    <t>Property</t>
  </si>
  <si>
    <t>Phase</t>
  </si>
  <si>
    <t>Model</t>
  </si>
  <si>
    <t>Plaxis installation folder</t>
  </si>
  <si>
    <t>C:\Program Files\Bentley\Geotechnical\PLAXIS 2D CONNECT Edition V21</t>
  </si>
  <si>
    <t>Plaxis password</t>
  </si>
  <si>
    <t>Plaxis input port</t>
  </si>
  <si>
    <t>Plaxis output port</t>
  </si>
  <si>
    <t>Plate_3</t>
  </si>
  <si>
    <t>Models Loaded</t>
  </si>
  <si>
    <t>NegativeInterface_1</t>
  </si>
  <si>
    <t>NegativeInterface_2</t>
  </si>
  <si>
    <t>PositiveInterface_1</t>
  </si>
  <si>
    <t>PositiveInterface_2</t>
  </si>
  <si>
    <t>Initial phase [InitialPhase]</t>
  </si>
  <si>
    <t>EmbeddedBeamRow_2</t>
  </si>
  <si>
    <t>EmbeddedBeamRow_3</t>
  </si>
  <si>
    <t>EmbeddedBeamRow_4</t>
  </si>
  <si>
    <t>EmbeddedBeamRow_5</t>
  </si>
  <si>
    <t>EmbeddedBeamRow_6</t>
  </si>
  <si>
    <t>NodeToNodeAnchor_2</t>
  </si>
  <si>
    <t>Load Status</t>
  </si>
  <si>
    <t>Output folder path</t>
  </si>
  <si>
    <t>Template Excel path</t>
  </si>
  <si>
    <t>Existing Excel path</t>
  </si>
  <si>
    <t>EmbeddedBeamRow_1</t>
  </si>
  <si>
    <t>Soil Properties</t>
  </si>
  <si>
    <t>Interface Properties</t>
  </si>
  <si>
    <t>Plate Properties</t>
  </si>
  <si>
    <t>EBR Properties</t>
  </si>
  <si>
    <t>n2nAnchor Properties</t>
  </si>
  <si>
    <t>FEAnchor Properties</t>
  </si>
  <si>
    <t>Geogrid Properties</t>
  </si>
  <si>
    <t>SoilMat Parameters</t>
  </si>
  <si>
    <t>PlateMat Parameters</t>
  </si>
  <si>
    <t>EBRMat Parameters</t>
  </si>
  <si>
    <t>AnchorMat Parameters</t>
  </si>
  <si>
    <t>GeogridMat Parameters</t>
  </si>
  <si>
    <t>Plot Export Options</t>
  </si>
  <si>
    <t>Plot Mesh Settings</t>
  </si>
  <si>
    <t>Long name</t>
  </si>
  <si>
    <t>Unit</t>
  </si>
  <si>
    <t>Description</t>
  </si>
  <si>
    <t>m</t>
  </si>
  <si>
    <t>x coordinate</t>
  </si>
  <si>
    <t>Name</t>
  </si>
  <si>
    <t>-</t>
  </si>
  <si>
    <t>Name of the Soil.</t>
  </si>
  <si>
    <t>y coordinate</t>
  </si>
  <si>
    <t>Name of the plate.</t>
  </si>
  <si>
    <t>ux</t>
  </si>
  <si>
    <t>Total displacement in x direction</t>
  </si>
  <si>
    <t>Name of the soil material.</t>
  </si>
  <si>
    <t>Name of the plate material.</t>
  </si>
  <si>
    <t>Name of the embedded beam material.</t>
  </si>
  <si>
    <t>Name of the anchor material.</t>
  </si>
  <si>
    <t>Name of the geogrid material.</t>
  </si>
  <si>
    <t>Shows the default visualization of the mesh.</t>
  </si>
  <si>
    <t>Shows the contour of soil elements.</t>
  </si>
  <si>
    <t>Comments</t>
  </si>
  <si>
    <t>Comments on the Soil.</t>
  </si>
  <si>
    <t>Comments on the plate.</t>
  </si>
  <si>
    <t>uy</t>
  </si>
  <si>
    <t>Total displacement in the y direction</t>
  </si>
  <si>
    <t>Total displacement in y direction</t>
  </si>
  <si>
    <t>Comments on the soil material.</t>
  </si>
  <si>
    <t>Comments on the plate material.</t>
  </si>
  <si>
    <t>Comments on the embedded beam material.</t>
  </si>
  <si>
    <t>Comments on the anchor material.</t>
  </si>
  <si>
    <t>Comments on the geogrid material.</t>
  </si>
  <si>
    <t>Visualizes the amplitude of the result type by coloring the mesh from blue to red.</t>
  </si>
  <si>
    <t>ElementDeformationContours</t>
  </si>
  <si>
    <t>Shows the inner deformation contours of the soil elements.</t>
  </si>
  <si>
    <t>|u|</t>
  </si>
  <si>
    <t>Total displacement</t>
  </si>
  <si>
    <t>MaterialName</t>
  </si>
  <si>
    <t>Identification</t>
  </si>
  <si>
    <t>Identification of the soil material.</t>
  </si>
  <si>
    <t>Identification of the plate material.</t>
  </si>
  <si>
    <t>Identification of the embedded beam material.</t>
  </si>
  <si>
    <t>Identification of the anchor material.</t>
  </si>
  <si>
    <t>Identification of the geogrid material.</t>
  </si>
  <si>
    <t>Displays curved lines that separate each area of the mesh that has a different value and also a line joining minimum and maximum value.</t>
  </si>
  <si>
    <t>Shows the material colors.</t>
  </si>
  <si>
    <t>Δux</t>
  </si>
  <si>
    <t>Incremental displacement in x direction</t>
  </si>
  <si>
    <t>Colour</t>
  </si>
  <si>
    <t>Colour of the soil material.</t>
  </si>
  <si>
    <t>Colour of the plate material.</t>
  </si>
  <si>
    <t>Colour of the embedded beam material.</t>
  </si>
  <si>
    <t>Colour of the anchor material.</t>
  </si>
  <si>
    <t>Colour of the geogrid material.</t>
  </si>
  <si>
    <t>Displays arrows on the location of the nodes indicating the vectors</t>
  </si>
  <si>
    <t>Shows the phreatic level.</t>
  </si>
  <si>
    <t>Δuy</t>
  </si>
  <si>
    <t>Incremental displacement in y direction</t>
  </si>
  <si>
    <t>MaterialNumber</t>
  </si>
  <si>
    <t>Identification number</t>
  </si>
  <si>
    <t>Identification number of the soil material.</t>
  </si>
  <si>
    <t>Identification number of the plate material.</t>
  </si>
  <si>
    <t>Identification number of the embedded beam material.</t>
  </si>
  <si>
    <t>Identification number of the anchor material.</t>
  </si>
  <si>
    <t>Identification number of the geogrid material.</t>
  </si>
  <si>
    <t>Displays arrows on the location of the stress points indicating the vectors</t>
  </si>
  <si>
    <t>Shows the viscous boundary.</t>
  </si>
  <si>
    <t>|Δu|</t>
  </si>
  <si>
    <t>Incremental displacement</t>
  </si>
  <si>
    <t>Total incremental displacement</t>
  </si>
  <si>
    <t>SoilModel</t>
  </si>
  <si>
    <t>Material model</t>
  </si>
  <si>
    <t>Linear Elastic</t>
  </si>
  <si>
    <t>IsIsotropic</t>
  </si>
  <si>
    <t>Isotropic</t>
  </si>
  <si>
    <t>PileType</t>
  </si>
  <si>
    <t>Pile type</t>
  </si>
  <si>
    <t>Predefined</t>
  </si>
  <si>
    <t>Elasticity</t>
  </si>
  <si>
    <t>Material type</t>
  </si>
  <si>
    <t>Elastic</t>
  </si>
  <si>
    <t>Shows labels with the result type value above all the nodes. The nodes must be visible for the labels to be visible as well.</t>
  </si>
  <si>
    <t>Shows the fixities.</t>
  </si>
  <si>
    <t>Pux</t>
  </si>
  <si>
    <t>Summed displacement per phase in x direction</t>
  </si>
  <si>
    <t>Use the Linear Elastic model. This model is generally too crude to capture essential features of soil and rock behaviour, but for modelling massive structural elements and bedrock layers it tends to be appropriate.</t>
  </si>
  <si>
    <t>Enables isotropic plate material behaviour.</t>
  </si>
  <si>
    <t>Use a predefined pile type.</t>
  </si>
  <si>
    <t>Sets anchor material behaviour to elastic.</t>
  </si>
  <si>
    <t>Enables elastic geogrid material behaviour.</t>
  </si>
  <si>
    <t>Shows labels with the result type value above all the stress points. The stress points must be visible for the labels to be visible as well.</t>
  </si>
  <si>
    <t>CrossSectionSoilBoundries</t>
  </si>
  <si>
    <t>Shows soil element boundaries in cross section views.</t>
  </si>
  <si>
    <t>Puy</t>
  </si>
  <si>
    <t>Summed displacement per phase in y direction</t>
  </si>
  <si>
    <t>Mohr-Coulomb</t>
  </si>
  <si>
    <t>User-defined</t>
  </si>
  <si>
    <t>Elastoplastic</t>
  </si>
  <si>
    <t>Shows the various plastic point types in the mesh.</t>
  </si>
  <si>
    <t>Shows the contours of the soil clusters.</t>
  </si>
  <si>
    <t>|Pu|</t>
  </si>
  <si>
    <t>Summed displacement per phase</t>
  </si>
  <si>
    <t>Total summed displacement per phase</t>
  </si>
  <si>
    <t>Use the Mohr-Coulomb model. This model represents a 'first-order' approximation of soil or rock behaviour.</t>
  </si>
  <si>
    <t>Disables isotropic plate material behaviour.</t>
  </si>
  <si>
    <t>Define a pile by giving geometric values.</t>
  </si>
  <si>
    <t>Sets anchor material behaviour to elastoplastic.</t>
  </si>
  <si>
    <t>Enables elastoplastic geogrid material behaviour.</t>
  </si>
  <si>
    <t>Shows the principal direction vectors in the soil elements.</t>
  </si>
  <si>
    <t>Shows the contour of the cross section line/plane.</t>
  </si>
  <si>
    <t>vx</t>
  </si>
  <si>
    <t>Length/Time</t>
  </si>
  <si>
    <t>Velocity in the x direction</t>
  </si>
  <si>
    <t>Velocity in x direction</t>
  </si>
  <si>
    <t>Hardening Soil</t>
  </si>
  <si>
    <t>Shows the principal direction vectors in the soil elements in the colour red.</t>
  </si>
  <si>
    <t>Shows the node numbers as labels.</t>
  </si>
  <si>
    <t>m/s</t>
  </si>
  <si>
    <t>vy</t>
  </si>
  <si>
    <t>Velocity in the y direction</t>
  </si>
  <si>
    <t>Velocity in y direction</t>
  </si>
  <si>
    <t>Use the Hardening Soil model. This model is an advanced model for the simulation of soil behaviour.</t>
  </si>
  <si>
    <t>EA</t>
  </si>
  <si>
    <t>F/L</t>
  </si>
  <si>
    <t>Stiffness of the plate in the first axial direction.</t>
  </si>
  <si>
    <t>PredefinedPileType</t>
  </si>
  <si>
    <t>Predefined pile type</t>
  </si>
  <si>
    <t>Massive circular pile</t>
  </si>
  <si>
    <t>Lspacing</t>
  </si>
  <si>
    <t>L</t>
  </si>
  <si>
    <t>Shows the principal direction vectors in the soil elements but doesn't display vectors at the edges.</t>
  </si>
  <si>
    <t>Shows the input node numbers as labels.</t>
  </si>
  <si>
    <t>|v|</t>
  </si>
  <si>
    <t>Velocity</t>
  </si>
  <si>
    <t>Total velocity</t>
  </si>
  <si>
    <t>HS small</t>
  </si>
  <si>
    <t>EA2</t>
  </si>
  <si>
    <t>Stiffness of the plate in the second axial direction.</t>
  </si>
  <si>
    <t>Use a massive circular pile.</t>
  </si>
  <si>
    <t>EAPerLength</t>
  </si>
  <si>
    <t>Stiffness of the anchor per unit length.</t>
  </si>
  <si>
    <t>Enables isotropic geogrid material behaviour.</t>
  </si>
  <si>
    <t>Shows the principal direction vectors in the soil elements in the colour red, but doesn't display vectors at the edges.</t>
  </si>
  <si>
    <t>Shows the stress point numbers as labels.</t>
  </si>
  <si>
    <t>ax</t>
  </si>
  <si>
    <t>Length/Time2</t>
  </si>
  <si>
    <t>Acceleration in the x direction</t>
  </si>
  <si>
    <t>Acceleration in x direction</t>
  </si>
  <si>
    <t>Use the Hardening Soil model with small-strain stiffness. This model is the same as the Hardening Soil model, but also accounts for the increased stiffness of soils at small strains.</t>
  </si>
  <si>
    <t>EI</t>
  </si>
  <si>
    <t>FL2/L</t>
  </si>
  <si>
    <t>Bending stiffness of the plate per unit length.</t>
  </si>
  <si>
    <t>Circular tube</t>
  </si>
  <si>
    <t>FMaxTensPerLength</t>
  </si>
  <si>
    <t>Maximum tension force per unit length.</t>
  </si>
  <si>
    <t>Shows the deformation vectors on the structure.</t>
  </si>
  <si>
    <t>Enumerator that determines what value is shown in the soil elements. Possible values are: none, elementnumbers, clusternumbers and materialnumbers.</t>
  </si>
  <si>
    <t>m/s2</t>
  </si>
  <si>
    <t>ay</t>
  </si>
  <si>
    <t>Acceleration in the y direction</t>
  </si>
  <si>
    <t>Acceleration in y direction</t>
  </si>
  <si>
    <t>Soft Soil</t>
  </si>
  <si>
    <t>d</t>
  </si>
  <si>
    <t>Thickness of the plate.</t>
  </si>
  <si>
    <t>Use a circular tube.</t>
  </si>
  <si>
    <t>FMaxCompPerLength</t>
  </si>
  <si>
    <t>Maximum compression force per unit length.</t>
  </si>
  <si>
    <t>Disables isotropic geogrid material behaviour.</t>
  </si>
  <si>
    <t>Shows how the given result type is distributed over the structure.</t>
  </si>
  <si>
    <t>Shows the segment numbers of chain structures.</t>
  </si>
  <si>
    <t>|a|</t>
  </si>
  <si>
    <t>Acceleration</t>
  </si>
  <si>
    <t>Total acceleration</t>
  </si>
  <si>
    <t>Use the Soft Soil model. This model is a Cam-Clay type model especially meant for primary compression of near normally-consolidated clay-type soils.</t>
  </si>
  <si>
    <t>w</t>
  </si>
  <si>
    <t>γ</t>
  </si>
  <si>
    <t>F/L/L</t>
  </si>
  <si>
    <t>Unit weight of the plate material per unit length.</t>
  </si>
  <si>
    <t>Massive square pile</t>
  </si>
  <si>
    <t>Shows how the given result type is distributed over the structure as a wireframe.</t>
  </si>
  <si>
    <t>Shows the group number of the soil elements instead of the soil element id.</t>
  </si>
  <si>
    <t>ux,rel</t>
  </si>
  <si>
    <t>x difference in displacement between opposing nodes in a structure</t>
  </si>
  <si>
    <t>τrel</t>
  </si>
  <si>
    <t>Relative shear stress in node to node anchors</t>
  </si>
  <si>
    <t>Relative shear stress in fixed-end-anchors</t>
  </si>
  <si>
    <t>Relative shear stress in geogrids</t>
  </si>
  <si>
    <t>Soft Soil Creep</t>
  </si>
  <si>
    <t>Mp</t>
  </si>
  <si>
    <t>FL/L</t>
  </si>
  <si>
    <t>Maximum allowed bending moment of the plate material per unit length.</t>
  </si>
  <si>
    <t>Use a massive square pile.</t>
  </si>
  <si>
    <t>EA1</t>
  </si>
  <si>
    <t>Stiffness of the geogrid in first axial direction.</t>
  </si>
  <si>
    <t>Shows the minimum and maximum value on the structure calculated over all steps.</t>
  </si>
  <si>
    <t>Shows the sub cluster numbers of the soil elements. DisplayedElementNumber must be first set to clusternumbers.</t>
  </si>
  <si>
    <t>Difference in displacement between opposing nodes in a structure in x direction</t>
  </si>
  <si>
    <t>uy,rel</t>
  </si>
  <si>
    <t>y difference in displacement between opposing nodes in a structure</t>
  </si>
  <si>
    <t>Force</t>
  </si>
  <si>
    <t>Anchor force</t>
  </si>
  <si>
    <t>Force/Length</t>
  </si>
  <si>
    <t>Normal force</t>
  </si>
  <si>
    <t>Use the Soft Soil Creep model. This model is the same as the Soft Soil model, but also accounts for viscous effects, i.e. creep and stress relaxation.</t>
  </si>
  <si>
    <t>Np</t>
  </si>
  <si>
    <t>Maximum allowed tension force in the plate in first axial direction.</t>
  </si>
  <si>
    <t>Stiffness of the geogrid in second axial direction.</t>
  </si>
  <si>
    <t>Shows the minimum and maximum value on the structure calculated over all steps as a wireframe.</t>
  </si>
  <si>
    <t>Shows the plastic failure points.</t>
  </si>
  <si>
    <t>Difference in displacement between opposing nodes in a structure in y direction</t>
  </si>
  <si>
    <t>Axial force</t>
  </si>
  <si>
    <t>|urel|</t>
  </si>
  <si>
    <t>total difference in displacement between opposing nodes in a structure</t>
  </si>
  <si>
    <t>Forcemin</t>
  </si>
  <si>
    <t>Minimum anchor force</t>
  </si>
  <si>
    <t>Forcez</t>
  </si>
  <si>
    <t>Jointed Rock</t>
  </si>
  <si>
    <t>Np2</t>
  </si>
  <si>
    <t>Np,2</t>
  </si>
  <si>
    <t>Maximum allowed tension force in the plate in second axial direction.</t>
  </si>
  <si>
    <t>SkinResistance</t>
  </si>
  <si>
    <t>Skin resistance</t>
  </si>
  <si>
    <t>Linear</t>
  </si>
  <si>
    <t>Np1</t>
  </si>
  <si>
    <t>Np,1</t>
  </si>
  <si>
    <t>Maximum allowed tension force in the geogrid in first axial direction.</t>
  </si>
  <si>
    <t>Shows the tension cut off points.</t>
  </si>
  <si>
    <t>Total difference in displacement between opposing nodes in a structure</t>
  </si>
  <si>
    <t>Force_{z}</t>
  </si>
  <si>
    <t>Hoop force</t>
  </si>
  <si>
    <t>Δux,rel</t>
  </si>
  <si>
    <t>x difference in incremental displacement between opposing nodes in a structure</t>
  </si>
  <si>
    <t>Forcemax</t>
  </si>
  <si>
    <t>Maximum anchor force</t>
  </si>
  <si>
    <t>Minimum normal force</t>
  </si>
  <si>
    <t>Use the Jointed Rock model. This model is an anisotropic elastic-plastic model, especially meant to simulate the behaviour of rock layers involving a stratification and particular fault directions.</t>
  </si>
  <si>
    <t>RayLeighAlpha</t>
  </si>
  <si>
    <t>Rayleigh α</t>
  </si>
  <si>
    <t>Mass-related Rayleigh damping coefficient of the plate.</t>
  </si>
  <si>
    <t>The skin resistance is linearly distributed.</t>
  </si>
  <si>
    <t>Maximum allowed tension force in the geogrid in second axial direction.</t>
  </si>
  <si>
    <t>Shows the cap points.</t>
  </si>
  <si>
    <t>Epsxx</t>
  </si>
  <si>
    <t>εxx</t>
  </si>
  <si>
    <t>Cartesian strain in x direction</t>
  </si>
  <si>
    <t>Difference in incremental displacement between opposing nodes in a structure in x direction</t>
  </si>
  <si>
    <t>Q</t>
  </si>
  <si>
    <t>Shear force</t>
  </si>
  <si>
    <t>Δuy,rel</t>
  </si>
  <si>
    <t>y difference in incremental displacement between opposing nodes in a structure</t>
  </si>
  <si>
    <t>Soil temperature</t>
  </si>
  <si>
    <t>φz</t>
  </si>
  <si>
    <t>°</t>
  </si>
  <si>
    <t>Angle of fixed end anchor</t>
  </si>
  <si>
    <t>Maximum normal force</t>
  </si>
  <si>
    <t>Modified Cam-Clay</t>
  </si>
  <si>
    <t>RayLeighBeta</t>
  </si>
  <si>
    <t>Rayleigh β</t>
  </si>
  <si>
    <t>Stiffness-related Rayleigh damping coefficient of the plate.</t>
  </si>
  <si>
    <t>Multi-linear</t>
  </si>
  <si>
    <t>Shows the cap and hardening points.</t>
  </si>
  <si>
    <t>Epsyy</t>
  </si>
  <si>
    <t>εyy</t>
  </si>
  <si>
    <t>Cartesian strain in y direction</t>
  </si>
  <si>
    <t>Difference in incremental displacement between opposing nodes in a structure in y direction</t>
  </si>
  <si>
    <t>M</t>
  </si>
  <si>
    <t>Bending moment</t>
  </si>
  <si>
    <t>|Δurel|</t>
  </si>
  <si>
    <t>total difference in incremental displacement between opposing nodes in a structure</t>
  </si>
  <si>
    <t>ax('g')</t>
  </si>
  <si>
    <t>Acceleration in g in x direction</t>
  </si>
  <si>
    <t>Length of fixed end anchor</t>
  </si>
  <si>
    <t>Forcez,min</t>
  </si>
  <si>
    <t>Minimum axial force</t>
  </si>
  <si>
    <t>Use the Modified Cam-Clay model. This model is meant primarily for the modelling of near normally-consolidated clay-type soils.</t>
  </si>
  <si>
    <t>The skin resistance is multi-linearly distributed.</t>
  </si>
  <si>
    <t>Shows the hardening points.</t>
  </si>
  <si>
    <t>Gamxy</t>
  </si>
  <si>
    <t>γxy</t>
  </si>
  <si>
    <t>Total cartesian strain</t>
  </si>
  <si>
    <t>Total difference in incremental displacement between opposing nodes in a structure</t>
  </si>
  <si>
    <t>Pux,rel</t>
  </si>
  <si>
    <t>x difference in summed displacement between opposing nodes in a structure per phase</t>
  </si>
  <si>
    <t>ay('g')</t>
  </si>
  <si>
    <t>Acceleration in g in y direction</t>
  </si>
  <si>
    <t>Forcez,max</t>
  </si>
  <si>
    <t>Maximum axial force</t>
  </si>
  <si>
    <t>NGI-ADP</t>
  </si>
  <si>
    <t>Layer dependent</t>
  </si>
  <si>
    <t>Shows the gravity force in the forces view.</t>
  </si>
  <si>
    <t>dEpsxx</t>
  </si>
  <si>
    <t>Δεxx</t>
  </si>
  <si>
    <t>Incremental cartesian strain in x direction</t>
  </si>
  <si>
    <t>Difference in summed displacement between opposing nodes in a structure per phase in x direction</t>
  </si>
  <si>
    <t>Puy,rel</t>
  </si>
  <si>
    <t>y difference in summed displacement between opposing nodes in a structure per phase</t>
  </si>
  <si>
    <t>|a|('g')</t>
  </si>
  <si>
    <t>Total acceleration in g</t>
  </si>
  <si>
    <t>K</t>
  </si>
  <si>
    <t>Use the NGI-ADP model.</t>
  </si>
  <si>
    <t>The skin resistance is layer dependent.</t>
  </si>
  <si>
    <t>Shows load forces.</t>
  </si>
  <si>
    <t>dEpsyy</t>
  </si>
  <si>
    <t>Δεyy</t>
  </si>
  <si>
    <t>Incremental cartesian strain in y direction</t>
  </si>
  <si>
    <t>Difference in summed displacement between opposing nodes in a structure per phase in y direction</t>
  </si>
  <si>
    <t>|Purel|</t>
  </si>
  <si>
    <t>total difference in summed displacement between opposing nodes in a structure per phase</t>
  </si>
  <si>
    <t>u1</t>
  </si>
  <si>
    <t>Total displacement in first local axis direction</t>
  </si>
  <si>
    <t>Hoek-Brown</t>
  </si>
  <si>
    <t>Shows prescribed displacement forces.</t>
  </si>
  <si>
    <t>dGamxy</t>
  </si>
  <si>
    <t>Incremental cartesian strain</t>
  </si>
  <si>
    <t>Total difference in summed displacement between opposing nodes in a structure per phase</t>
  </si>
  <si>
    <t>Force/Length/Length</t>
  </si>
  <si>
    <t>Friction on the embedded beam in the direction of the embedded beam</t>
  </si>
  <si>
    <t>u2</t>
  </si>
  <si>
    <t>Total displacement in second local axis direction</t>
  </si>
  <si>
    <t>Use the Hoek-Brown model.</t>
  </si>
  <si>
    <t>XYListMultiLinear</t>
  </si>
  <si>
    <t>Currently not in use.</t>
  </si>
  <si>
    <t>Shows structural forces.</t>
  </si>
  <si>
    <t>PEpsxx</t>
  </si>
  <si>
    <t>Pεxx</t>
  </si>
  <si>
    <t>Phase cartesian strain in x direction</t>
  </si>
  <si>
    <t>σ'N</t>
  </si>
  <si>
    <t>kN/m2</t>
  </si>
  <si>
    <t>Normal stress in direction of interface</t>
  </si>
  <si>
    <t>Qmin</t>
  </si>
  <si>
    <t>Minimum shear force</t>
  </si>
  <si>
    <t>Friction on the embedded beam in the lateral direction. Perpendicular to Tskin</t>
  </si>
  <si>
    <t>Δu1</t>
  </si>
  <si>
    <t>Incremental displacement in first local axis direction</t>
  </si>
  <si>
    <t>Sekiguchi-Otha</t>
  </si>
  <si>
    <t>E</t>
  </si>
  <si>
    <t>F/L2</t>
  </si>
  <si>
    <t>Young's modulus of the embedded pile material.</t>
  </si>
  <si>
    <t>Shows water pressure forces.</t>
  </si>
  <si>
    <t>PEpsyy</t>
  </si>
  <si>
    <t>Pεyy</t>
  </si>
  <si>
    <t>Phase cartesian strain in y direction</t>
  </si>
  <si>
    <t>σN</t>
  </si>
  <si>
    <t>Total interface normal stress</t>
  </si>
  <si>
    <t>Qmax</t>
  </si>
  <si>
    <t>Maximum shear force</t>
  </si>
  <si>
    <t>Δu2</t>
  </si>
  <si>
    <t>Incremental displacement in second local axis direction</t>
  </si>
  <si>
    <t>Length2</t>
  </si>
  <si>
    <t>use the Sekiguchi-Otha model.</t>
  </si>
  <si>
    <t>F/L3</t>
  </si>
  <si>
    <t>Unit weight of the embedded pile material.</t>
  </si>
  <si>
    <t>Shows normal soil stress.</t>
  </si>
  <si>
    <t>PGamxy</t>
  </si>
  <si>
    <t>Pγxy</t>
  </si>
  <si>
    <t>Phase cartesian strain</t>
  </si>
  <si>
    <t>τ1</t>
  </si>
  <si>
    <t>Shear stress on interface in first direction</t>
  </si>
  <si>
    <t>Mmin</t>
  </si>
  <si>
    <t>Minimum bending moment</t>
  </si>
  <si>
    <t>Pu1</t>
  </si>
  <si>
    <t>Summed displacement per phase in first local axis direction</t>
  </si>
  <si>
    <t>Sekiguchi-Otha EVP</t>
  </si>
  <si>
    <t>Size</t>
  </si>
  <si>
    <t>Width or diameter of the pile (depends on pile type).</t>
  </si>
  <si>
    <t>Shows shear soil stress.</t>
  </si>
  <si>
    <t>Eps1</t>
  </si>
  <si>
    <t>ε1</t>
  </si>
  <si>
    <t>Principal strain in first direction</t>
  </si>
  <si>
    <t>Relative shear stress in interface</t>
  </si>
  <si>
    <t>Mmax</t>
  </si>
  <si>
    <t>Maximum bending moment</t>
  </si>
  <si>
    <t>Pu2</t>
  </si>
  <si>
    <t>Summed displacement per phase in second local axis direction</t>
  </si>
  <si>
    <t>use the Sekiguchi-Otha EVP model.</t>
  </si>
  <si>
    <t>Width</t>
  </si>
  <si>
    <t>Width of a massive square pile.</t>
  </si>
  <si>
    <t>Enables the showing of forces caused by loads.</t>
  </si>
  <si>
    <t>Eps2</t>
  </si>
  <si>
    <t>ε2</t>
  </si>
  <si>
    <t>Principal strain in second direction</t>
  </si>
  <si>
    <t>pexcess</t>
  </si>
  <si>
    <t>Excess pore pressure</t>
  </si>
  <si>
    <t>Relative shear stress in plates</t>
  </si>
  <si>
    <t>Torque/Length</t>
  </si>
  <si>
    <t>ux,min</t>
  </si>
  <si>
    <t>Minimum displacement in x direction</t>
  </si>
  <si>
    <t>Diameter</t>
  </si>
  <si>
    <t>Diameter of a circular tube or massive circular pile.</t>
  </si>
  <si>
    <t>Enables the showing of direct forces.</t>
  </si>
  <si>
    <t>Eps3</t>
  </si>
  <si>
    <t>γ3</t>
  </si>
  <si>
    <t>Principal strain in third direction</t>
  </si>
  <si>
    <t>pactive</t>
  </si>
  <si>
    <t>Active pore pressure</t>
  </si>
  <si>
    <t>uy,min</t>
  </si>
  <si>
    <t>Minimum displacement in y direction</t>
  </si>
  <si>
    <t>Elevation</t>
  </si>
  <si>
    <t>Use User-defined soil models. A DLL file containing one or more user-defined soil models must be in the directory of PLAXIS 2Dx in order for this to work.</t>
  </si>
  <si>
    <t>Thickness</t>
  </si>
  <si>
    <t>Thickness of the wall of a circular tube.</t>
  </si>
  <si>
    <t>Enables the showing of substitute forces for some structures.</t>
  </si>
  <si>
    <t>dEps1</t>
  </si>
  <si>
    <t>Incremental principal strain in first direction</t>
  </si>
  <si>
    <t>psteady</t>
  </si>
  <si>
    <t>Steady state pore pressure</t>
  </si>
  <si>
    <t>ux,max</t>
  </si>
  <si>
    <t>Maximum displacement in x direction</t>
  </si>
  <si>
    <t>A</t>
  </si>
  <si>
    <t>L2</t>
  </si>
  <si>
    <t>Area of the cross-section of the embedded pile.</t>
  </si>
  <si>
    <t>Enables the showing of the summed forces.</t>
  </si>
  <si>
    <t>dEps2</t>
  </si>
  <si>
    <t>Incremental principal strain in second direction</t>
  </si>
  <si>
    <t>Temperature of the soil at the interface</t>
  </si>
  <si>
    <t>uy,max</t>
  </si>
  <si>
    <t>Maximum displacement in y direction</t>
  </si>
  <si>
    <t>UserDefinedIndex</t>
  </si>
  <si>
    <t>Index number of the soil model from the DLL file that is currently used.</t>
  </si>
  <si>
    <t>Iyy</t>
  </si>
  <si>
    <t>I3</t>
  </si>
  <si>
    <t>L4</t>
  </si>
  <si>
    <t>Moment of inertia of the embedded pile over the third axis.</t>
  </si>
  <si>
    <t>Shows forces caused by water pressure.</t>
  </si>
  <si>
    <t>dEps3</t>
  </si>
  <si>
    <t>ε3</t>
  </si>
  <si>
    <t>Incremental principal strain in third direction</t>
  </si>
  <si>
    <t>Plastic points</t>
  </si>
  <si>
    <t>Plastic point IDs of the interface</t>
  </si>
  <si>
    <t>|u|max</t>
  </si>
  <si>
    <t>Total maximum displacement</t>
  </si>
  <si>
    <t>|qt|</t>
  </si>
  <si>
    <t>Temperature per length</t>
  </si>
  <si>
    <t>Temperature flux</t>
  </si>
  <si>
    <t>DrainageType</t>
  </si>
  <si>
    <t>Drainage type</t>
  </si>
  <si>
    <t>Drained</t>
  </si>
  <si>
    <t>Izz</t>
  </si>
  <si>
    <t>I2</t>
  </si>
  <si>
    <t>Moment of inertia of the embedded pile over the second axis.</t>
  </si>
  <si>
    <t>Shows the soil stress forces.</t>
  </si>
  <si>
    <t>PEps1</t>
  </si>
  <si>
    <t>Pε1</t>
  </si>
  <si>
    <t>Phase principal strain in first direction</t>
  </si>
  <si>
    <t>vx,min</t>
  </si>
  <si>
    <t>Minimum velocity in x direction</t>
  </si>
  <si>
    <t>Material</t>
  </si>
  <si>
    <t>ID of material used by element</t>
  </si>
  <si>
    <t>Drained or long-term material behaviour in which stiffness and strength are defined in terms of effective properties.</t>
  </si>
  <si>
    <t>Iyz</t>
  </si>
  <si>
    <t>Moment of inertia of the embedded pile against torsion around the first axis.</t>
  </si>
  <si>
    <t>Shows the total stresses.</t>
  </si>
  <si>
    <t>PEps2</t>
  </si>
  <si>
    <t>Pε2</t>
  </si>
  <si>
    <t>Phase principal strain in second direction</t>
  </si>
  <si>
    <t>vy,min</t>
  </si>
  <si>
    <t>Minimum velocity in y direction</t>
  </si>
  <si>
    <t>Undrained (A)</t>
  </si>
  <si>
    <t>Ttop</t>
  </si>
  <si>
    <t>Ttop,max</t>
  </si>
  <si>
    <t>Maximum traction allowed at the top of the embedded pile.</t>
  </si>
  <si>
    <t>Shows the forces caused by loads.</t>
  </si>
  <si>
    <t>PEps3</t>
  </si>
  <si>
    <t>Pε3</t>
  </si>
  <si>
    <t>Phase principal strain in third direction</t>
  </si>
  <si>
    <t>vx,max</t>
  </si>
  <si>
    <t>Maximum velocity in x direction</t>
  </si>
  <si>
    <t>Undrained or short-term material behaviour in which stiffness and strength are defined in terms of effective properties.</t>
  </si>
  <si>
    <t>Tbottom</t>
  </si>
  <si>
    <t>Tbot,max</t>
  </si>
  <si>
    <t>Maximum traction allowed at the bottom of the embedded pile.</t>
  </si>
  <si>
    <t>Shows the forces caused by prescribed displacements.</t>
  </si>
  <si>
    <t>PhaseVolumetricStrain</t>
  </si>
  <si>
    <t>PεV</t>
  </si>
  <si>
    <t>Phase volumetric strain</t>
  </si>
  <si>
    <t>vy,max</t>
  </si>
  <si>
    <t>Maximum velocity in y direction</t>
  </si>
  <si>
    <t>Undrained (B)</t>
  </si>
  <si>
    <t>Tmax</t>
  </si>
  <si>
    <t>Maximum traction allowed at the skin of the embedded pile (can vary along the pile).</t>
  </si>
  <si>
    <t>Shows element contours.</t>
  </si>
  <si>
    <t>PhaseDeviatoricStrain</t>
  </si>
  <si>
    <t>PγTime</t>
  </si>
  <si>
    <t>Phase deviatoric strain</t>
  </si>
  <si>
    <t>Saturationeff</t>
  </si>
  <si>
    <t>%</t>
  </si>
  <si>
    <t>Effective saturation</t>
  </si>
  <si>
    <t>Relative shear stress in embedded beam rows</t>
  </si>
  <si>
    <t>|v|max</t>
  </si>
  <si>
    <t>Total maximum velocity</t>
  </si>
  <si>
    <t>Undrained or short-term material behaviour in which stiffness is defined in terms of effective properties and strength is defined as undrained shear strength.</t>
  </si>
  <si>
    <t>Fmax</t>
  </si>
  <si>
    <t>F</t>
  </si>
  <si>
    <t>Maximum force allowed at the foot of the embedded pile.</t>
  </si>
  <si>
    <t>Shows local axes for certain structures.</t>
  </si>
  <si>
    <t>IncrementalDeviatoricStrain</t>
  </si>
  <si>
    <t>γTime</t>
  </si>
  <si>
    <t>Incremental deviatoric strain</t>
  </si>
  <si>
    <t>Virtual interface thickness factor</t>
  </si>
  <si>
    <t>Simulated thickness of the interface. Only used for internal calculations</t>
  </si>
  <si>
    <t>Is curved</t>
  </si>
  <si>
    <t>Returns 1 or 0 to indicate whether the element is curved. Might be related to the updated mesh option that can be set in Input</t>
  </si>
  <si>
    <t>Ffoot</t>
  </si>
  <si>
    <t>Force applied at the bottom of the embedded beam row</t>
  </si>
  <si>
    <t>ax,min</t>
  </si>
  <si>
    <t>Minimum acceleration in x direction</t>
  </si>
  <si>
    <t>Undrained (C)</t>
  </si>
  <si>
    <t>nu</t>
  </si>
  <si>
    <t>ν</t>
  </si>
  <si>
    <t>Poisson's ratio.</t>
  </si>
  <si>
    <t>Shows the closed boundary lines.</t>
  </si>
  <si>
    <t>IncrementalVolumetricStrain</t>
  </si>
  <si>
    <t>εV</t>
  </si>
  <si>
    <t>Incremental volume strain</t>
  </si>
  <si>
    <t>ay,min</t>
  </si>
  <si>
    <t>Minimum acceleration in y direction</t>
  </si>
  <si>
    <t>Undrained or short-term material behaviour in which stiffness and strength are defined in terms of undrained properties.</t>
  </si>
  <si>
    <t>Shows the seepage boundary lines.</t>
  </si>
  <si>
    <t>TotalDeviatoricStrain</t>
  </si>
  <si>
    <t>Total deviatoric strain</t>
  </si>
  <si>
    <t>φx</t>
  </si>
  <si>
    <t>Total rotation for plate nodes</t>
  </si>
  <si>
    <t>ax,max</t>
  </si>
  <si>
    <t>Maximum acceleration in x direction</t>
  </si>
  <si>
    <t>Non-porous</t>
  </si>
  <si>
    <t>Shows the flux boundary lines.</t>
  </si>
  <si>
    <t>TotalVolumetricStrain</t>
  </si>
  <si>
    <t>Total volume strain</t>
  </si>
  <si>
    <t>Δφz</t>
  </si>
  <si>
    <t>Incremental rotation for plate nodes</t>
  </si>
  <si>
    <t>ay,max</t>
  </si>
  <si>
    <t>Maximum acceleration in y direction</t>
  </si>
  <si>
    <t>Material behaviour in which pore pressures cannot occur.</t>
  </si>
  <si>
    <t>Shows the head boundary lines.</t>
  </si>
  <si>
    <t>SigxxE</t>
  </si>
  <si>
    <t>σ'xx</t>
  </si>
  <si>
    <t>Force/Length2</t>
  </si>
  <si>
    <t>Cartesian effective stress in x direction</t>
  </si>
  <si>
    <t>|a|max</t>
  </si>
  <si>
    <t>Total maximum acceleration</t>
  </si>
  <si>
    <t>Shows the structures intersected by a cross section view.</t>
  </si>
  <si>
    <t>SigyyE</t>
  </si>
  <si>
    <t>σ'yy</t>
  </si>
  <si>
    <t>Cartesian effective stress in y direction</t>
  </si>
  <si>
    <t>ax,min('g')</t>
  </si>
  <si>
    <t>Minimum acceleration in g in x direction</t>
  </si>
  <si>
    <t>DilatancyCutOff</t>
  </si>
  <si>
    <t>Dilatancy cut-off</t>
  </si>
  <si>
    <t>Shows the entire structure in a cross section view instead of a partial view.</t>
  </si>
  <si>
    <t>SigxxT</t>
  </si>
  <si>
    <t>σxx</t>
  </si>
  <si>
    <t>Cartesian total stress in x direction</t>
  </si>
  <si>
    <t>ay,min('g')</t>
  </si>
  <si>
    <t>Minimum acceleration in g in y direction</t>
  </si>
  <si>
    <t>Enables the use of dilatancy cut-off.</t>
  </si>
  <si>
    <t>Shows the frames.</t>
  </si>
  <si>
    <t>SigyyT</t>
  </si>
  <si>
    <t>σyy</t>
  </si>
  <si>
    <t>Cartesian total stress in y direction</t>
  </si>
  <si>
    <t>Steady state pore pressures with suction</t>
  </si>
  <si>
    <t>Pressure</t>
  </si>
  <si>
    <t>Steady state pore pressure with suction</t>
  </si>
  <si>
    <t>ax,max('g')</t>
  </si>
  <si>
    <t>Maximum acceleration in g in x direction</t>
  </si>
  <si>
    <t>Shows the labels of selected curve points.</t>
  </si>
  <si>
    <t>Sigxy</t>
  </si>
  <si>
    <t>σxy</t>
  </si>
  <si>
    <t>Cartesian shear stress</t>
  </si>
  <si>
    <t>Whether the element is curved</t>
  </si>
  <si>
    <t>ay,max('g')</t>
  </si>
  <si>
    <t>Maximum acceleration in g in y direction</t>
  </si>
  <si>
    <t>Disables the use of dilatancy cut-off.</t>
  </si>
  <si>
    <t>Shows the inaccurate plastic failure points.</t>
  </si>
  <si>
    <t>MeanEffStress</t>
  </si>
  <si>
    <t>p'</t>
  </si>
  <si>
    <t>Effective mean stress</t>
  </si>
  <si>
    <t>QLength</t>
  </si>
  <si>
    <t>The ratio between this element’s length and the maximum structure element length that exists in the entire mesh</t>
  </si>
  <si>
    <t>|a|max('g')</t>
  </si>
  <si>
    <t>Total maximum acceleration in g</t>
  </si>
  <si>
    <t>Shows the inaccurate tension cutoff points.</t>
  </si>
  <si>
    <t>MeanTotStress</t>
  </si>
  <si>
    <t>p</t>
  </si>
  <si>
    <t>Total mean stress</t>
  </si>
  <si>
    <t>The length of the structure element</t>
  </si>
  <si>
    <t>Pux,min</t>
  </si>
  <si>
    <t>Minimum displacement per phase in x direction</t>
  </si>
  <si>
    <t>UndrainedBehaviour</t>
  </si>
  <si>
    <t>Undrained behaviour</t>
  </si>
  <si>
    <t>Standard</t>
  </si>
  <si>
    <t>Shows the inaccurate cap points.</t>
  </si>
  <si>
    <t>RelativeShearStress</t>
  </si>
  <si>
    <t>Relative shear stress</t>
  </si>
  <si>
    <t>τmax</t>
  </si>
  <si>
    <t>Interface shear stress</t>
  </si>
  <si>
    <t>Puy,min</t>
  </si>
  <si>
    <t>Minimum displacement per phase in y direction</t>
  </si>
  <si>
    <t>Undrained behaviour of the soil material is standard.</t>
  </si>
  <si>
    <t>Shows the inaccurate cap and hardening points.</t>
  </si>
  <si>
    <t>DeviatoricStress</t>
  </si>
  <si>
    <t>q</t>
  </si>
  <si>
    <t>Deviatoric stress</t>
  </si>
  <si>
    <t>Pux,max</t>
  </si>
  <si>
    <t>Maximum displacement per phase in x direction</t>
  </si>
  <si>
    <t>Manual</t>
  </si>
  <si>
    <t>Shows the inaccurate hardening points.</t>
  </si>
  <si>
    <t>VerticalShearStress</t>
  </si>
  <si>
    <t>τy</t>
  </si>
  <si>
    <t>Vertical shear stress</t>
  </si>
  <si>
    <t>Puy,max</t>
  </si>
  <si>
    <t>Maximum displacement per phase in y direction</t>
  </si>
  <si>
    <t>Undrained behaviour of the soil material is defined manually.</t>
  </si>
  <si>
    <t>Shows the material numbers of structures as labels. DisplayedElementNumber must be first set to materialnumbers.</t>
  </si>
  <si>
    <t>Excess pore pressure in soil elements</t>
  </si>
  <si>
    <t>|Pu|max</t>
  </si>
  <si>
    <t>Total maximum displacement per phase</t>
  </si>
  <si>
    <t>Instead of drawing group or cluster numbers in every soil element this will restrict the number to a single soil element.</t>
  </si>
  <si>
    <t>Pvx,min</t>
  </si>
  <si>
    <t>Minimum velocity per phase in x direction</t>
  </si>
  <si>
    <t>InterfaceStrength</t>
  </si>
  <si>
    <t>Strength</t>
  </si>
  <si>
    <t>Rigid</t>
  </si>
  <si>
    <t>Enables the showing of any kind of plastic point.</t>
  </si>
  <si>
    <t>GWHead</t>
  </si>
  <si>
    <t>Groundwater head</t>
  </si>
  <si>
    <t>Pvy,min</t>
  </si>
  <si>
    <t>Minimum velocity per phase in y direction</t>
  </si>
  <si>
    <t>The value of Rinter is set to 1.0.</t>
  </si>
  <si>
    <t>Pvx,max</t>
  </si>
  <si>
    <t>Maximum velocity per phase in x direction</t>
  </si>
  <si>
    <t>Temperature of the soil</t>
  </si>
  <si>
    <t>Pvy,max</t>
  </si>
  <si>
    <t>Maximum velocity per phase in y direction</t>
  </si>
  <si>
    <t>The value of Rinter can be determined manually.</t>
  </si>
  <si>
    <t>FlowField</t>
  </si>
  <si>
    <t>|q|</t>
  </si>
  <si>
    <t>Groundwater flow</t>
  </si>
  <si>
    <t>|Pv|max</t>
  </si>
  <si>
    <t>Total maximum velocity per phase</t>
  </si>
  <si>
    <t>Qx</t>
  </si>
  <si>
    <t>qx</t>
  </si>
  <si>
    <t>Groundwater flow in x direction</t>
  </si>
  <si>
    <t>Pax,min</t>
  </si>
  <si>
    <t>Minimum acceleration per phase in x direction</t>
  </si>
  <si>
    <t>InterfaceStiffness</t>
  </si>
  <si>
    <t>interfacestiffness</t>
  </si>
  <si>
    <t>Qy</t>
  </si>
  <si>
    <t>qy</t>
  </si>
  <si>
    <t>Groundwater flow in y direction</t>
  </si>
  <si>
    <t>Pay,min</t>
  </si>
  <si>
    <t>Minimum acceleration per phase in y direction</t>
  </si>
  <si>
    <t>Default parameters' setting</t>
  </si>
  <si>
    <t>Saturation</t>
  </si>
  <si>
    <t>Saturation (as a percentage) in stress points</t>
  </si>
  <si>
    <t>Pax,max</t>
  </si>
  <si>
    <t>Maximum acceleration per phase in x direction</t>
  </si>
  <si>
    <t>Kn/Ks</t>
  </si>
  <si>
    <t>IsotropicOCR</t>
  </si>
  <si>
    <t>Isotropic overconsolidation ratio</t>
  </si>
  <si>
    <t>Stress</t>
  </si>
  <si>
    <t>Pay,max</t>
  </si>
  <si>
    <t>Maximum acceleration per phase in y direction</t>
  </si>
  <si>
    <t>The values of Kn and Ks can be determined manually.</t>
  </si>
  <si>
    <t>PlasticPointTypeText</t>
  </si>
  <si>
    <t>Status</t>
  </si>
  <si>
    <t>Type of the plastic point</t>
  </si>
  <si>
    <t>|Pa|max</t>
  </si>
  <si>
    <t>Total maximum acceleration per phase</t>
  </si>
  <si>
    <t>First points</t>
  </si>
  <si>
    <t>Pax,min('g')</t>
  </si>
  <si>
    <t>K0PrimaryIsK0Secondary</t>
  </si>
  <si>
    <t>The first three points of the surface are used to define the plane of the surface.</t>
  </si>
  <si>
    <t>Pay,min('g')</t>
  </si>
  <si>
    <t>Enables that K0 in the primary horizontal direction is equal to K0 in the secondary horizontal direction.</t>
  </si>
  <si>
    <t>Best fit</t>
  </si>
  <si>
    <t>Pax,max('g')</t>
  </si>
  <si>
    <t>All points of the surface are used to define the plane of the surface using the least squares method.</t>
  </si>
  <si>
    <t>Pay,max('g')</t>
  </si>
  <si>
    <t>Disables that K0 in the primary horizontal direction is equal to K0 in the secondary horizontal direction.</t>
  </si>
  <si>
    <t>|Pa|max('g')</t>
  </si>
  <si>
    <t>SigmaTotal1</t>
  </si>
  <si>
    <t>σ1</t>
  </si>
  <si>
    <t>Principal total stress in first direction</t>
  </si>
  <si>
    <t>ΣPux</t>
  </si>
  <si>
    <t>Summed displacement over phases in x direction</t>
  </si>
  <si>
    <t>K0Determination</t>
  </si>
  <si>
    <t>K0 determination</t>
  </si>
  <si>
    <t>SigmaTotal2</t>
  </si>
  <si>
    <t>σ2</t>
  </si>
  <si>
    <t>Principal total stress in second direction</t>
  </si>
  <si>
    <t>ΣPuy</t>
  </si>
  <si>
    <t>Summed displacement over phases in y direction</t>
  </si>
  <si>
    <t>K0 is defined manually.</t>
  </si>
  <si>
    <t>SigmaTotal3</t>
  </si>
  <si>
    <t>σ3</t>
  </si>
  <si>
    <t>Principal total stress in third direction</t>
  </si>
  <si>
    <t>|ΣPu|</t>
  </si>
  <si>
    <t>Total summed displacement over phases</t>
  </si>
  <si>
    <t>Automatic</t>
  </si>
  <si>
    <t>PrincipalTotalStress</t>
  </si>
  <si>
    <t>Total principal stress</t>
  </si>
  <si>
    <t>Plastic point history, Failure points</t>
  </si>
  <si>
    <t>The stress points that are marked as failure points. The value is the same as what PlasticPoint returns for failure points, but all other stress points are 0</t>
  </si>
  <si>
    <t>Material ID</t>
  </si>
  <si>
    <t>Material ID used by the node to node anchor. Refers to the n-th node to node anchor material</t>
  </si>
  <si>
    <t>K0 is defined automatically.</t>
  </si>
  <si>
    <t>MobilizedShearStrength</t>
  </si>
  <si>
    <t>τmob</t>
  </si>
  <si>
    <t>Mobilized shear strength</t>
  </si>
  <si>
    <t>Plastic point history, Tension cut-off points</t>
  </si>
  <si>
    <t>The stress points that are marked as tension cut-off points. The value is the same as what PlasticPoint returns for tension cut-off points, but all other stress points are 0</t>
  </si>
  <si>
    <t>Node ID</t>
  </si>
  <si>
    <t>Returns the ID of the nodes</t>
  </si>
  <si>
    <t>ΣPuz</t>
  </si>
  <si>
    <t>Summed displacement over phases in z direction</t>
  </si>
  <si>
    <t>TotPrincipalStrain</t>
  </si>
  <si>
    <t>Total principle strain</t>
  </si>
  <si>
    <t>Total principal strain</t>
  </si>
  <si>
    <t>Plastic point history, Cap points</t>
  </si>
  <si>
    <t>The stress points that are marked as cap points. The value is the same as what PlasticPoint returns for cap points, but all other stress points are 0</t>
  </si>
  <si>
    <t>Element ID</t>
  </si>
  <si>
    <t>Returns the element ID for the node to node anchor structures</t>
  </si>
  <si>
    <t>Gref</t>
  </si>
  <si>
    <t>Reference value of the shear modulus.</t>
  </si>
  <si>
    <t>IncPrincipalStrain</t>
  </si>
  <si>
    <t>Incremental principal strain</t>
  </si>
  <si>
    <t>Plastic point history, Hardening points</t>
  </si>
  <si>
    <t>The stress points that are marked as hardening points. The value is the same as what PlasticPoint returns for hardening points, but all other stress points are 0</t>
  </si>
  <si>
    <t>Local number</t>
  </si>
  <si>
    <t>The n-th node or stress point in a structure element (also displayed in the tables of Output program)</t>
  </si>
  <si>
    <t>Material ID used by the fixed end anchor. Refers to the n-th anchor material</t>
  </si>
  <si>
    <t>cref</t>
  </si>
  <si>
    <t>Reference value of the cohesion.</t>
  </si>
  <si>
    <t>PrincipalEffectiveStress</t>
  </si>
  <si>
    <t>Effective principal stress</t>
  </si>
  <si>
    <t>Plastic point history, Cap + hardening points</t>
  </si>
  <si>
    <t>The stress points that are marked as cap hardening points. The value is the same as what PlasticPoint returns for cap hardening points, but all other stress points are 0</t>
  </si>
  <si>
    <t>phi</t>
  </si>
  <si>
    <t>φ</t>
  </si>
  <si>
    <t>Friction angle of the soil material.</t>
  </si>
  <si>
    <t>SigmaEffective1</t>
  </si>
  <si>
    <t>σ'1</t>
  </si>
  <si>
    <t>Principal effective stress in the first direction</t>
  </si>
  <si>
    <t>Returns the element ID for the fixed end anchor structures</t>
  </si>
  <si>
    <t>psi</t>
  </si>
  <si>
    <t>ψ</t>
  </si>
  <si>
    <t>Dilatancy angle of the soil material.</t>
  </si>
  <si>
    <t>SigmaEffective2</t>
  </si>
  <si>
    <t>σ'2</t>
  </si>
  <si>
    <t>Principal effective stress in the second direction</t>
  </si>
  <si>
    <t>Tunnel contraction</t>
  </si>
  <si>
    <t>Realized tunnel contraction</t>
  </si>
  <si>
    <t>verticalref</t>
  </si>
  <si>
    <t>Reference coordinate on the vertical axis above which the Young's modulus is equal to the reference value.</t>
  </si>
  <si>
    <t>SigmaEffective3</t>
  </si>
  <si>
    <t>σ'3</t>
  </si>
  <si>
    <t>Principal effective stress in the third direction</t>
  </si>
  <si>
    <t>Planar contraction</t>
  </si>
  <si>
    <t>Realized planar contraction</t>
  </si>
  <si>
    <t>cinc</t>
  </si>
  <si>
    <t>cincrement</t>
  </si>
  <si>
    <t>F/L2/L</t>
  </si>
  <si>
    <t>Increment of cohesion.</t>
  </si>
  <si>
    <t>EquivalentIsotropicStress</t>
  </si>
  <si>
    <t>peq</t>
  </si>
  <si>
    <t>Equivalent isotropic stress</t>
  </si>
  <si>
    <t>K0</t>
  </si>
  <si>
    <t>Coefficient of lateral earth pressure.</t>
  </si>
  <si>
    <t>IsotropicPreconsolidationStress</t>
  </si>
  <si>
    <t>pp</t>
  </si>
  <si>
    <t>Isotropic preconsolidation stress</t>
  </si>
  <si>
    <t>Maximum displacement per phase</t>
  </si>
  <si>
    <t>Returns the element ID for the geogrid structures</t>
  </si>
  <si>
    <t>gammaUnsat</t>
  </si>
  <si>
    <t>γunsat</t>
  </si>
  <si>
    <t>Unit soil weight above phreatic level.</t>
  </si>
  <si>
    <t>VoidRatio</t>
  </si>
  <si>
    <t>e</t>
  </si>
  <si>
    <t>Void ratio</t>
  </si>
  <si>
    <t>gammaSat</t>
  </si>
  <si>
    <t>γsat</t>
  </si>
  <si>
    <t>Unit soil weight below phreatic level.</t>
  </si>
  <si>
    <t>Current Young's modulus</t>
  </si>
  <si>
    <t>perm_primary_horizontal_axis</t>
  </si>
  <si>
    <t>L/T</t>
  </si>
  <si>
    <t>Permeability of the soil along the primary horizontal axis.</t>
  </si>
  <si>
    <t>C</t>
  </si>
  <si>
    <t>c</t>
  </si>
  <si>
    <t>Current cohesion</t>
  </si>
  <si>
    <t>perm_vertical_axis</t>
  </si>
  <si>
    <t>Permeability of the soil along the vertical axis.</t>
  </si>
  <si>
    <t>Phi</t>
  </si>
  <si>
    <t>Mobilized phi from stress tensor</t>
  </si>
  <si>
    <t>Rinter</t>
  </si>
  <si>
    <t>Strength reduction factor for interfaces.</t>
  </si>
  <si>
    <t>QualityLength</t>
  </si>
  <si>
    <t>The ratio between the smallest and largest edge of an element</t>
  </si>
  <si>
    <t>perm_secondary_horizontal_axis</t>
  </si>
  <si>
    <t>Permeability of the soil along the secondary horizontal axis.</t>
  </si>
  <si>
    <t>QualityArea</t>
  </si>
  <si>
    <t>The ratio between the smallest and largest triangle area of a single volume element. Is undefined for 2D soil elements and should not be relied on</t>
  </si>
  <si>
    <t>TensileStrength</t>
  </si>
  <si>
    <t>Tensile strength</t>
  </si>
  <si>
    <t>Allowable tensile strength in the soil.</t>
  </si>
  <si>
    <t>QualityAngle</t>
  </si>
  <si>
    <t>The ratio between the smallest triangle angle and $\pi $/3 in soil elements</t>
  </si>
  <si>
    <t>UDPower</t>
  </si>
  <si>
    <t>UD-Power</t>
  </si>
  <si>
    <t>Power in stress dependent stiffness rule of interfaces with a user defined soil model.</t>
  </si>
  <si>
    <t>QualityQ</t>
  </si>
  <si>
    <t>Given the inscribed circle A and the circumscribed circle B of a 2D soil element. Then Q = 2 * radius_A / radius_B. For 3D soil elements the minimum over the 4 triangles is taken</t>
  </si>
  <si>
    <t>verticalinc</t>
  </si>
  <si>
    <t>Slope of reference plane.</t>
  </si>
  <si>
    <t>QualityVolumeQ</t>
  </si>
  <si>
    <t>Given the inscribed sphere A and the circumscribed sphere B of a 3D soil element. Then Q = 2 * radius_A / radius_B. Is undefined for 2D soil elements and should not be relied on</t>
  </si>
  <si>
    <t>Returns the structure element ID</t>
  </si>
  <si>
    <t>Ginc</t>
  </si>
  <si>
    <t>Increment of the shear modulus.</t>
  </si>
  <si>
    <t>SigmaTSum2</t>
  </si>
  <si>
    <t>(σ1+σ2)/2</t>
  </si>
  <si>
    <t>The n-th node or stress point in a soil element (also displayed in the tables of Output program)</t>
  </si>
  <si>
    <t>ninit</t>
  </si>
  <si>
    <t>Initial porosity.</t>
  </si>
  <si>
    <t>SigmaTMin2</t>
  </si>
  <si>
    <t>(σ1-σ2)/2</t>
  </si>
  <si>
    <t>Minimum acceleration in g per phase in x direction</t>
  </si>
  <si>
    <t>Tskin,max</t>
  </si>
  <si>
    <t>Maximum skin friction</t>
  </si>
  <si>
    <t>nmin</t>
  </si>
  <si>
    <t>Minimum porosity.</t>
  </si>
  <si>
    <t>SigmaTAngle</t>
  </si>
  <si>
    <t>Principal stress directions</t>
  </si>
  <si>
    <t>Minimum acceleration in g per phase in y direction</t>
  </si>
  <si>
    <t>Tskin,rel</t>
  </si>
  <si>
    <t>Skin friction relative to Tskin,max</t>
  </si>
  <si>
    <t>nmax</t>
  </si>
  <si>
    <t>Maximum porosity.</t>
  </si>
  <si>
    <t>SigmaTRotation</t>
  </si>
  <si>
    <t>Rotation</t>
  </si>
  <si>
    <t>Angle between the second principal stress and x-axis</t>
  </si>
  <si>
    <t>Maximum acceleration in g per phase in x direction</t>
  </si>
  <si>
    <t>gammaPore</t>
  </si>
  <si>
    <t>γpore</t>
  </si>
  <si>
    <t>Weight of pore fluid.</t>
  </si>
  <si>
    <t>SigmaESum2</t>
  </si>
  <si>
    <t>(σ'1+σ'2)/2</t>
  </si>
  <si>
    <t>Principal effective stress</t>
  </si>
  <si>
    <t>Maximum acceleration in g per phase in y direction</t>
  </si>
  <si>
    <t>Returns the element ID for the embedded beam row structures</t>
  </si>
  <si>
    <t>RayleighAlpha</t>
  </si>
  <si>
    <t>Rayleigh damping parameter.</t>
  </si>
  <si>
    <t>EpsSum2</t>
  </si>
  <si>
    <t>(ε1+ε3)/2</t>
  </si>
  <si>
    <t>Total strain</t>
  </si>
  <si>
    <t>Total acceleration in g per phase</t>
  </si>
  <si>
    <t>The n-th node or stress point in a soil element</t>
  </si>
  <si>
    <t>RayleighBeta</t>
  </si>
  <si>
    <t>EpsMin2</t>
  </si>
  <si>
    <t>(ε1-ε3)/2</t>
  </si>
  <si>
    <t>Effective strain</t>
  </si>
  <si>
    <t>ck</t>
  </si>
  <si>
    <t>Change of permeability.</t>
  </si>
  <si>
    <t>EpsAngle</t>
  </si>
  <si>
    <t>Total principal strain angle</t>
  </si>
  <si>
    <t>nuu</t>
  </si>
  <si>
    <t>νu</t>
  </si>
  <si>
    <t>Poisson's ratio for undrained behaviour.</t>
  </si>
  <si>
    <t>EpsRotation</t>
  </si>
  <si>
    <t>Angle between the second principal strain and x-axis</t>
  </si>
  <si>
    <t>UDPRef</t>
  </si>
  <si>
    <t>UD-Pref</t>
  </si>
  <si>
    <t>User defined reference pressure.</t>
  </si>
  <si>
    <t>dEpsSum2</t>
  </si>
  <si>
    <t>(Δε1 + Δε3)/2</t>
  </si>
  <si>
    <t>Incremental principal strain (Δε1 + Δε3)/2</t>
  </si>
  <si>
    <t>pwater</t>
  </si>
  <si>
    <t>Pore water pressure</t>
  </si>
  <si>
    <t>einit</t>
  </si>
  <si>
    <t>Initial void ratio.</t>
  </si>
  <si>
    <t>dEpsMin2</t>
  </si>
  <si>
    <t>(Δε1 - Δε3)/2</t>
  </si>
  <si>
    <t>Incremental principal strain (Δε1 - Δε3)/2</t>
  </si>
  <si>
    <t>Suctioneff</t>
  </si>
  <si>
    <t>Effective suction</t>
  </si>
  <si>
    <t>emin</t>
  </si>
  <si>
    <t>Minimum void ratio.</t>
  </si>
  <si>
    <t>dEpsAngle</t>
  </si>
  <si>
    <t>Angle</t>
  </si>
  <si>
    <t>Incremental principal strain angle</t>
  </si>
  <si>
    <t>emax</t>
  </si>
  <si>
    <t>Maximum void ratio.</t>
  </si>
  <si>
    <t>dEpsRotation</t>
  </si>
  <si>
    <t>the incremental angle bewteen the second principal strain and x-axis</t>
  </si>
  <si>
    <t>Water flow along the interface normal.</t>
  </si>
  <si>
    <t>Dinter</t>
  </si>
  <si>
    <t>δinter</t>
  </si>
  <si>
    <t>Real interface thickness.</t>
  </si>
  <si>
    <t>PEpsSum2</t>
  </si>
  <si>
    <t>(Pε1 + Pε3)/2</t>
  </si>
  <si>
    <t>Phase principal strain Pε1 + Pε3)/2</t>
  </si>
  <si>
    <t>L3/T/L</t>
  </si>
  <si>
    <t>Groundwater discharge of the interface</t>
  </si>
  <si>
    <t>SkemptonB</t>
  </si>
  <si>
    <t>Skempton-B</t>
  </si>
  <si>
    <t>Skempton's B-parameter.</t>
  </si>
  <si>
    <t>PEpsMin2</t>
  </si>
  <si>
    <t>(Pε1 - Pε3)/2</t>
  </si>
  <si>
    <t>Phase principal strain (Pε1 - Pε3)/2</t>
  </si>
  <si>
    <t>KwRefN</t>
  </si>
  <si>
    <t>Kw,ref/n</t>
  </si>
  <si>
    <t>Reference bulk stiffness of the pore fluid.</t>
  </si>
  <si>
    <t>PEpsAngle</t>
  </si>
  <si>
    <t>Phase principal strain angle</t>
  </si>
  <si>
    <t>Stress point ID</t>
  </si>
  <si>
    <t>Returns the ID of the stress points</t>
  </si>
  <si>
    <t>K0Primary</t>
  </si>
  <si>
    <t>Coefficient of lateral earth pressure in the direction of the primary horizontal axis.</t>
  </si>
  <si>
    <t>PEpsRotation</t>
  </si>
  <si>
    <t>The per phase angle bewteen the second principal strain and x-axis</t>
  </si>
  <si>
    <t>K0Secondary</t>
  </si>
  <si>
    <t>Coefficient of lateral earth pressure in the direction of the secondary horizontal axis.</t>
  </si>
  <si>
    <t>HardParam</t>
  </si>
  <si>
    <t>γp</t>
  </si>
  <si>
    <t>Plastic shear strain</t>
  </si>
  <si>
    <t>OCR</t>
  </si>
  <si>
    <t>Over-consolidation ratio.</t>
  </si>
  <si>
    <t>StrainHistory_xx</t>
  </si>
  <si>
    <t>εxx – εv</t>
  </si>
  <si>
    <t>Strain history εxx – εv</t>
  </si>
  <si>
    <t>POP</t>
  </si>
  <si>
    <t>Pre overburden pressure, positive for (over)pressure.</t>
  </si>
  <si>
    <t>StrainHistory_yy</t>
  </si>
  <si>
    <t>εyy – εv</t>
  </si>
  <si>
    <t>Strain history εyy – εv</t>
  </si>
  <si>
    <t>StrainHistory_zz</t>
  </si>
  <si>
    <t>εzz – εv</t>
  </si>
  <si>
    <t>Strain history εzz – εv</t>
  </si>
  <si>
    <t>SoilRatioSmall</t>
  </si>
  <si>
    <t>&lt; 2μm</t>
  </si>
  <si>
    <t>Percentage of the soil material that has a grain size smaller than 2 μm.</t>
  </si>
  <si>
    <t>StrainHistory_xy</t>
  </si>
  <si>
    <t>εxy</t>
  </si>
  <si>
    <t>Strain history εxy</t>
  </si>
  <si>
    <t>SoilRatioMedium</t>
  </si>
  <si>
    <t>2μm - 50 μm</t>
  </si>
  <si>
    <t>Percentage of the soil material that has a grain size between 2 μm and 50 μm.</t>
  </si>
  <si>
    <t>StrainHistory_zx</t>
  </si>
  <si>
    <t>εzx</t>
  </si>
  <si>
    <t>Strain history εzx</t>
  </si>
  <si>
    <t>SoilRatioLarge</t>
  </si>
  <si>
    <t>50 μm - 2 mm</t>
  </si>
  <si>
    <t>Percentage of the soil material that has a grain size between 50 μm and 2 mm.</t>
  </si>
  <si>
    <t>Strain history in xy-plane</t>
  </si>
  <si>
    <t>PsiUnsat</t>
  </si>
  <si>
    <t>ψunsat</t>
  </si>
  <si>
    <t>Limit of the head for the unsaturated zone.</t>
  </si>
  <si>
    <t>Strain history in zx-plane</t>
  </si>
  <si>
    <t>Sres</t>
  </si>
  <si>
    <t>Residual saturation of the soil material.</t>
  </si>
  <si>
    <t>StrainHistory_yz</t>
  </si>
  <si>
    <t>εyz</t>
  </si>
  <si>
    <t>Strain history in yz-plane</t>
  </si>
  <si>
    <t>Ssat</t>
  </si>
  <si>
    <t>Saturation of the soil material.</t>
  </si>
  <si>
    <t>CurrentStiff</t>
  </si>
  <si>
    <t>GTime</t>
  </si>
  <si>
    <t>Current stiffness</t>
  </si>
  <si>
    <t>Gn</t>
  </si>
  <si>
    <t>gn</t>
  </si>
  <si>
    <t>Van Genuchten parameter.</t>
  </si>
  <si>
    <t>MinRelStiff</t>
  </si>
  <si>
    <t>G/Gur</t>
  </si>
  <si>
    <t>Minimum relative stiffness</t>
  </si>
  <si>
    <t>Ga</t>
  </si>
  <si>
    <t>ga</t>
  </si>
  <si>
    <t>1/L</t>
  </si>
  <si>
    <t>Gl</t>
  </si>
  <si>
    <t>gl</t>
  </si>
  <si>
    <t>PsiK</t>
  </si>
  <si>
    <t>Ψk</t>
  </si>
  <si>
    <t>Approximate Van Genuchten parameter.</t>
  </si>
  <si>
    <t>PsiS</t>
  </si>
  <si>
    <t>Ψs</t>
  </si>
  <si>
    <t>Fx</t>
  </si>
  <si>
    <t>Force in the x-direction</t>
  </si>
  <si>
    <t>HydraulicModel</t>
  </si>
  <si>
    <t>Van Genuchten</t>
  </si>
  <si>
    <t>Fy</t>
  </si>
  <si>
    <t>Force in the y-direction</t>
  </si>
  <si>
    <t>Sets the hydraulic model to 'Van Genuchten'.</t>
  </si>
  <si>
    <t>Approx. Van Genuchten</t>
  </si>
  <si>
    <t>Sets the hydraulic model to 'Approximate Van Genuchten'.</t>
  </si>
  <si>
    <t>General Van Genuchten</t>
  </si>
  <si>
    <t>Sets the hydraulic model to 'General Van Genuchten'.</t>
  </si>
  <si>
    <t>Reserved</t>
  </si>
  <si>
    <t>Reserved for research purposes.</t>
  </si>
  <si>
    <t>RelPermeability</t>
  </si>
  <si>
    <t>Permeabilityrel</t>
  </si>
  <si>
    <t>Relative permeability in stress points</t>
  </si>
  <si>
    <t>Table</t>
  </si>
  <si>
    <t>Define the hydraulic model by giving a table with values for the parameters.</t>
  </si>
  <si>
    <t>Saturated</t>
  </si>
  <si>
    <t>Volume</t>
  </si>
  <si>
    <t>Length3</t>
  </si>
  <si>
    <t>The volume of the soil element. Returns the area for 2D soil elements</t>
  </si>
  <si>
    <t>Sets the hydraulic model to 'Saturated'.</t>
  </si>
  <si>
    <t>FlowDataModel</t>
  </si>
  <si>
    <t>DefaultValuesAdvanced</t>
  </si>
  <si>
    <t>Set to default values</t>
  </si>
  <si>
    <t>CurvatureFactor</t>
  </si>
  <si>
    <t>Curvature factor</t>
  </si>
  <si>
    <t>The amount of curvature in 3D soil elements. 0 for 2D elements</t>
  </si>
  <si>
    <t>Enables the option to use default values for the advanced parameters.</t>
  </si>
  <si>
    <t>Eur</t>
  </si>
  <si>
    <t>Strength parameter</t>
  </si>
  <si>
    <t>TotalShearStrength</t>
  </si>
  <si>
    <t>Total shear strength</t>
  </si>
  <si>
    <t>The values of the advanced parameters should be defined manually.</t>
  </si>
  <si>
    <t>ASSGammaP</t>
  </si>
  <si>
    <t>Strength variable of NGI-ADP model</t>
  </si>
  <si>
    <t>ASSRKappa</t>
  </si>
  <si>
    <t>rκ</t>
  </si>
  <si>
    <t>DataSetFlow</t>
  </si>
  <si>
    <t>Data set</t>
  </si>
  <si>
    <t>QualitySpheres</t>
  </si>
  <si>
    <t>Quality spheres</t>
  </si>
  <si>
    <t>Equal to QualityQ for 2D projects</t>
  </si>
  <si>
    <t>Sets the soil data set to 'Standard'.</t>
  </si>
  <si>
    <t>Qtx</t>
  </si>
  <si>
    <t>qtx</t>
  </si>
  <si>
    <t>Heat velocity in x direction</t>
  </si>
  <si>
    <t>Hypres</t>
  </si>
  <si>
    <t>Qty</t>
  </si>
  <si>
    <t>qty</t>
  </si>
  <si>
    <t>Heat velocity in y direction</t>
  </si>
  <si>
    <t>Sets the soil data set to 'Hypres'.</t>
  </si>
  <si>
    <t>Total heat velocity</t>
  </si>
  <si>
    <t>USDA</t>
  </si>
  <si>
    <t>QEPP</t>
  </si>
  <si>
    <t>|qEPP|</t>
  </si>
  <si>
    <t>Total water flow</t>
  </si>
  <si>
    <t>Sets the soil data set to 'USDA'.</t>
  </si>
  <si>
    <t>QEPPx</t>
  </si>
  <si>
    <t>qEPP,x</t>
  </si>
  <si>
    <t>Water flow in x direction</t>
  </si>
  <si>
    <t>Staring</t>
  </si>
  <si>
    <t>QEPPy</t>
  </si>
  <si>
    <t>qEPP,y</t>
  </si>
  <si>
    <t>Water flow in y direction</t>
  </si>
  <si>
    <t>Sets the soil data set to 'Staring'.</t>
  </si>
  <si>
    <t>ActualPermeabilityX</t>
  </si>
  <si>
    <t>Permeabilityactual,x</t>
  </si>
  <si>
    <t>Length/T</t>
  </si>
  <si>
    <t>Permeability in x direction</t>
  </si>
  <si>
    <t>ActualPermeabilityY</t>
  </si>
  <si>
    <t>Permeabilityactual,y</t>
  </si>
  <si>
    <t>Permeability in y direction</t>
  </si>
  <si>
    <t>Sets the soil data set to 'User-defined'.</t>
  </si>
  <si>
    <t>VapourFluxX</t>
  </si>
  <si>
    <t>qvx</t>
  </si>
  <si>
    <t>t/Length2/Time</t>
  </si>
  <si>
    <t>Vapour flux in x direction</t>
  </si>
  <si>
    <t>VapourFluxY</t>
  </si>
  <si>
    <t>qvy</t>
  </si>
  <si>
    <t>Vapour flux in y direction</t>
  </si>
  <si>
    <t>ModelFlow</t>
  </si>
  <si>
    <t>VapourFluxTot</t>
  </si>
  <si>
    <t>|qv|</t>
  </si>
  <si>
    <t>Total vapour flux</t>
  </si>
  <si>
    <t>Sets the soil model to 'Van Genuchten'.</t>
  </si>
  <si>
    <t>UtotMin</t>
  </si>
  <si>
    <t>|u|min</t>
  </si>
  <si>
    <t>always 0, exists for completeness</t>
  </si>
  <si>
    <t>Sets the soil model to 'Approximate Van Genuchten'.</t>
  </si>
  <si>
    <t>VtotMin</t>
  </si>
  <si>
    <t>|v|min</t>
  </si>
  <si>
    <t>AtotMin</t>
  </si>
  <si>
    <t>|a|min</t>
  </si>
  <si>
    <t>UDModelFlow</t>
  </si>
  <si>
    <t>AgtotMin</t>
  </si>
  <si>
    <t>|a|min('g')</t>
  </si>
  <si>
    <t>Sets the user defined soil model to 'Van Genuchten'.</t>
  </si>
  <si>
    <t>Failure</t>
  </si>
  <si>
    <t>Failure plastic point</t>
  </si>
  <si>
    <t>Spline</t>
  </si>
  <si>
    <t>Plastic point history tension cut-off points</t>
  </si>
  <si>
    <t>Sets the user defined soil model to 'Spline'.</t>
  </si>
  <si>
    <t>Plastic point history cap + hardening points</t>
  </si>
  <si>
    <t>Cap</t>
  </si>
  <si>
    <t>Capped plastic point</t>
  </si>
  <si>
    <t>Sets the user defined soil model to 'Saturated'.</t>
  </si>
  <si>
    <t>Hardening</t>
  </si>
  <si>
    <t>Hardening plastic point</t>
  </si>
  <si>
    <t>PExcessPhaseMin</t>
  </si>
  <si>
    <t>pexcess,phase,min</t>
  </si>
  <si>
    <t>Minimum excess pore pressure of a particular phase</t>
  </si>
  <si>
    <t>SoilTypeFlow</t>
  </si>
  <si>
    <t>Type</t>
  </si>
  <si>
    <t>Coarse</t>
  </si>
  <si>
    <t>PExcessPhaseMax</t>
  </si>
  <si>
    <t>pexcess,phase,max</t>
  </si>
  <si>
    <t>Maximum excess pore pressure value of a particular phase</t>
  </si>
  <si>
    <t>Sets the soil type to the predefined standard soil type 'Coarse'.</t>
  </si>
  <si>
    <t>Medium</t>
  </si>
  <si>
    <t>Sets the soil type to the predefined standard soil type 'Medium'.</t>
  </si>
  <si>
    <t>Medium fine</t>
  </si>
  <si>
    <t>Sets the soil type to the predefined standard soil type 'Medium fine'.</t>
  </si>
  <si>
    <t>Fine</t>
  </si>
  <si>
    <t>Sets the soil type to the predefined standard soil type 'Fine'.</t>
  </si>
  <si>
    <t>Very fine</t>
  </si>
  <si>
    <t>Sets the soil type to the predefined standard soil type 'Very fine'.</t>
  </si>
  <si>
    <t>Organic</t>
  </si>
  <si>
    <t>Sets the soil type to the predefined standard soil type 'Organic'.</t>
  </si>
  <si>
    <t>LowerUpper</t>
  </si>
  <si>
    <t>Subsoil/Topsoil</t>
  </si>
  <si>
    <t>Subsoil</t>
  </si>
  <si>
    <t>The soil is defined as a subsoil.</t>
  </si>
  <si>
    <t>Topsoil</t>
  </si>
  <si>
    <t>The soil is defined as a topsoil.</t>
  </si>
  <si>
    <t>UsdaSoilType</t>
  </si>
  <si>
    <t>Sand</t>
  </si>
  <si>
    <t>Sets the soil type to the predefined USDA soil type 'Sand'.</t>
  </si>
  <si>
    <t>Loamy sand</t>
  </si>
  <si>
    <t>Sets the soil type to the predefined USDA soil type 'Loamy sand'.</t>
  </si>
  <si>
    <t>Sandy loam</t>
  </si>
  <si>
    <t>Sets the soil type to the predefined USDA soil type 'Sandy loam'.</t>
  </si>
  <si>
    <t>Loam</t>
  </si>
  <si>
    <t>PActivePhase</t>
  </si>
  <si>
    <t>ΔPphase</t>
  </si>
  <si>
    <t>Active pore pressures</t>
  </si>
  <si>
    <t>Sets the soil type to the predefined USDA soil type 'Loam'.</t>
  </si>
  <si>
    <t>PUtotMin</t>
  </si>
  <si>
    <t>|Pu|min</t>
  </si>
  <si>
    <t>Silt</t>
  </si>
  <si>
    <t>PVtotMin</t>
  </si>
  <si>
    <t>|Pv|min</t>
  </si>
  <si>
    <t>Sets the soil type to the predefined USDA soil type 'Silt'.</t>
  </si>
  <si>
    <t>PAtotMin</t>
  </si>
  <si>
    <t>|Pa|min</t>
  </si>
  <si>
    <t>Silt loam</t>
  </si>
  <si>
    <t>PAgtotMin</t>
  </si>
  <si>
    <t>|Pa|min('g')</t>
  </si>
  <si>
    <t>Sets the soil type to the predefined USDA soil type 'Silt loam'.</t>
  </si>
  <si>
    <t>Summed x-component of displacement over phases</t>
  </si>
  <si>
    <t>Sandy clay loam</t>
  </si>
  <si>
    <t>Summed y-component of node displacement over phases</t>
  </si>
  <si>
    <t>Sets the soil type to the predefined USDA soil type 'Sandy clay loam'.</t>
  </si>
  <si>
    <t>Summed vector of node displacement over phases</t>
  </si>
  <si>
    <t>Clayey loam</t>
  </si>
  <si>
    <t>Active pore pressures per phase</t>
  </si>
  <si>
    <t>Sets the soil type to the predefined USDA soil type 'Clayey loam'.</t>
  </si>
  <si>
    <t>Silt clay loam</t>
  </si>
  <si>
    <t>ActualPermeability</t>
  </si>
  <si>
    <t>Length3/Length/T</t>
  </si>
  <si>
    <t>Permeability of the stress points in the mesh</t>
  </si>
  <si>
    <t>Sets the soil type to the predefined USDA soil type 'Silt clay loam'.</t>
  </si>
  <si>
    <t>Sandy clay</t>
  </si>
  <si>
    <t>Effective saturation in soil elements</t>
  </si>
  <si>
    <t>Sets the soil type to the predefined USDA soil type 'Sandy clay'.</t>
  </si>
  <si>
    <t>IceSaturationAsRatio</t>
  </si>
  <si>
    <t>Saturationice</t>
  </si>
  <si>
    <t>Ice saturation of the soil. 0 to 1. Only for 2D</t>
  </si>
  <si>
    <t>Silt clay</t>
  </si>
  <si>
    <t>IceSaturationAsPercentage</t>
  </si>
  <si>
    <t>IceSaturationAsRatio * 100</t>
  </si>
  <si>
    <t>Sets the soil type to the predefined USDA soil type 'Silt clay'.</t>
  </si>
  <si>
    <t>Sig1_0</t>
  </si>
  <si>
    <t>σ'10</t>
  </si>
  <si>
    <t>Effective principal stress in direction 1</t>
  </si>
  <si>
    <t>Clay</t>
  </si>
  <si>
    <t>PorePressureRatio</t>
  </si>
  <si>
    <t>Ru</t>
  </si>
  <si>
    <t>The ratio between PExcess and Sig1_0</t>
  </si>
  <si>
    <t>Sets the soil type to the predefined USDA soil type 'Clay'.</t>
  </si>
  <si>
    <t>DeltaT</t>
  </si>
  <si>
    <t>Δt</t>
  </si>
  <si>
    <t>Time</t>
  </si>
  <si>
    <t>Age of concrete</t>
  </si>
  <si>
    <t>Fc</t>
  </si>
  <si>
    <t>Uniaxial compressive strength</t>
  </si>
  <si>
    <t>StaringUpperSoilType</t>
  </si>
  <si>
    <t>Non-loamy sand (B1)</t>
  </si>
  <si>
    <t>Fcy</t>
  </si>
  <si>
    <t>Compressive yield strength</t>
  </si>
  <si>
    <t>Sets the upper soil type to the predefined Staring soil type 'Non-loamy sand (B1)'.</t>
  </si>
  <si>
    <t>UtilFC</t>
  </si>
  <si>
    <t>Shotcrete utilisation factor in compression</t>
  </si>
  <si>
    <t>Loamy sand (B2)</t>
  </si>
  <si>
    <t>UtilFT</t>
  </si>
  <si>
    <t>Shotcrete utilisation factor in tension</t>
  </si>
  <si>
    <t>Sets the upper soil type to the predefined Staring soil type 'Loamy sand (B2)'.</t>
  </si>
  <si>
    <t>Hc</t>
  </si>
  <si>
    <t>Normalised compression hardening parameter</t>
  </si>
  <si>
    <t>Very loamy sand (B3)</t>
  </si>
  <si>
    <t>Ht</t>
  </si>
  <si>
    <t>Normalised tension hardening parameter</t>
  </si>
  <si>
    <t>Sets the upper soil type to the predefined Staring soil type 'Very loamy sand (B3)'.</t>
  </si>
  <si>
    <t>EpsxxcrE</t>
  </si>
  <si>
    <t>εxxcr∙E</t>
  </si>
  <si>
    <t>Normalised creep history in xx direction</t>
  </si>
  <si>
    <t>Extremely loamy sand (B4)</t>
  </si>
  <si>
    <t>EpsyycrE</t>
  </si>
  <si>
    <t>εyycr∙E</t>
  </si>
  <si>
    <t>Normalised creep history in yy direction</t>
  </si>
  <si>
    <t>Sets the upper soil type to the predefined Staring soil type 'Extremely loamy sand (B4)'.</t>
  </si>
  <si>
    <t>EpsxycrE</t>
  </si>
  <si>
    <t>εxycr∙E</t>
  </si>
  <si>
    <t>Normalised creep history in xy direction</t>
  </si>
  <si>
    <t>Coarse sand (B5)</t>
  </si>
  <si>
    <t>SinPhiMob</t>
  </si>
  <si>
    <t>sinΦmob</t>
  </si>
  <si>
    <t>Sine of the mobilised friction angle (a hardening parameter)</t>
  </si>
  <si>
    <t>Sets the upper soil type to the predefined Staring soil type 'Coarse sand (B5)'.</t>
  </si>
  <si>
    <t>SinPhiMobMax</t>
  </si>
  <si>
    <t>sinΦmob,max</t>
  </si>
  <si>
    <t>Sine of the maximum value of the mobilised friction angle</t>
  </si>
  <si>
    <t>Boulder clay (B6)</t>
  </si>
  <si>
    <t>PhiPReached</t>
  </si>
  <si>
    <t>Φp,reached</t>
  </si>
  <si>
    <t>A flag indicating if Φp has ever been reached or not</t>
  </si>
  <si>
    <t>Sets the upper soil type to the predefined Staring soil type 'Boulder clay (B6)'.</t>
  </si>
  <si>
    <t>RUPEff</t>
  </si>
  <si>
    <t>ru,p'</t>
  </si>
  <si>
    <t>Excess pore pressure ratio, considering mean effective stress: ru, p’ = 1 - p’/p’0</t>
  </si>
  <si>
    <t>Sandy loam (B7)</t>
  </si>
  <si>
    <t>RUPEffMax</t>
  </si>
  <si>
    <t>ru,p',max</t>
  </si>
  <si>
    <t>Maximum excess pore pressure ratio in the current phase, considering mean effective stress: ru, p’ = 1 - p’/p’0</t>
  </si>
  <si>
    <t>Sets the upper soil type to the predefined Staring soil type 'Sandy loam (B7)'.</t>
  </si>
  <si>
    <t>RUSigEffVert</t>
  </si>
  <si>
    <t>ru,σ'v</t>
  </si>
  <si>
    <t>Excess pore pressure ratio, considering vertical effective stress: ru, σ’v = 1 - σ’v/σ’v0</t>
  </si>
  <si>
    <t>Silt loam (B8)</t>
  </si>
  <si>
    <t>RUSigEffVertMax</t>
  </si>
  <si>
    <t>ru,σ'v,max</t>
  </si>
  <si>
    <t>Maximum excess pore pressure ratio in the current phase, considering vertical effective stress: ru, σ’v = 1 - σ’v/σ’v0</t>
  </si>
  <si>
    <t>Sets the upper soil type to the predefined Staring soil type 'Silt loam (B8)'.</t>
  </si>
  <si>
    <t>EpsDilTot</t>
  </si>
  <si>
    <t>εdil,tot</t>
  </si>
  <si>
    <t>Accumulated dilative plastic deviatoric strain</t>
  </si>
  <si>
    <t>Clayey loam (B9)</t>
  </si>
  <si>
    <t>NRev</t>
  </si>
  <si>
    <t>nrev</t>
  </si>
  <si>
    <t>Number of half cycles</t>
  </si>
  <si>
    <t>Sets the upper soil type to the predefined Staring soil type 'Clayey loam (B9)'.</t>
  </si>
  <si>
    <t>Pre-overburden pressure</t>
  </si>
  <si>
    <t>Light clay (B10)</t>
  </si>
  <si>
    <t>SigmaEffective1Max</t>
  </si>
  <si>
    <t>σ'1,max</t>
  </si>
  <si>
    <t>Maximum of principal effective stress SigmaEffective1</t>
  </si>
  <si>
    <t>Sets the upper soil type to the predefined Staring soil type 'Light clay (B10)'.</t>
  </si>
  <si>
    <t>OCR1</t>
  </si>
  <si>
    <t>Overconsolidation ration. The ratio of SigmaEffective1Max and SigmaEffective1</t>
  </si>
  <si>
    <t>Heavy clay (B11)</t>
  </si>
  <si>
    <t>Deconfinement</t>
  </si>
  <si>
    <t>Deconfinement (1-β)</t>
  </si>
  <si>
    <t>Deconfinement of soil clusters</t>
  </si>
  <si>
    <t>Sets the upper soil type to the predefined Staring soil type 'Heavy clay (B11)'.</t>
  </si>
  <si>
    <t>Very heavy clay (B12)</t>
  </si>
  <si>
    <t>Sets the upper soil type to the predefined Staring soil type 'Very heavy clay (B12)'.</t>
  </si>
  <si>
    <t>Returns the soil element ID</t>
  </si>
  <si>
    <t>Loam (B13)</t>
  </si>
  <si>
    <t>ClusterID</t>
  </si>
  <si>
    <t>Cluster ID</t>
  </si>
  <si>
    <t>Returns the soil cluster ID</t>
  </si>
  <si>
    <t>Sets the upper soil type to the predefined Staring soil type 'Loam (B13)'.</t>
  </si>
  <si>
    <t>Heavy loam (B14)</t>
  </si>
  <si>
    <t>Sets the upper soil type to the predefined Staring soil type 'Heavy loam (B14)'.</t>
  </si>
  <si>
    <t>Peaty sand (B15)</t>
  </si>
  <si>
    <t>Sets the upper soil type to the predefined Staring soil type 'Peaty sand (B15)'.</t>
  </si>
  <si>
    <t>Sandy peat (B16)</t>
  </si>
  <si>
    <t>Sets the upper soil type to the predefined Staring soil type 'Sandy peat (B16)'.</t>
  </si>
  <si>
    <t>Peaty clay (B17)</t>
  </si>
  <si>
    <t>Sets the upper soil type to the predefined Staring soil type 'Peaty clay (B17)'.</t>
  </si>
  <si>
    <t>Clayey peat (B18)</t>
  </si>
  <si>
    <t>Sets the upper soil type to the predefined Staring soil type 'Clayey peat (B18)'.</t>
  </si>
  <si>
    <t>StaringLowerSoilType</t>
  </si>
  <si>
    <t>Non-loamy sand (O1)</t>
  </si>
  <si>
    <t>Sets the lower soil type to the predefined Staring soil type 'Non-loamy sand (O1)'.</t>
  </si>
  <si>
    <t>Loamy sand (O2)</t>
  </si>
  <si>
    <t>Sets the lower soil type to the predefined Staring soil type 'Loamy sand (O2)'.</t>
  </si>
  <si>
    <t>Very loamy sand (O3)</t>
  </si>
  <si>
    <t>Sets the lower soil type to the predefined Staring soil type 'Very loamy sand (O3)'.</t>
  </si>
  <si>
    <t>Extremely loamy sand (O4)</t>
  </si>
  <si>
    <t>Sets the lower soil type to the predefined Staring soil type 'Extremely loamy sand (O4)'.</t>
  </si>
  <si>
    <t>Coarse sand (O5)</t>
  </si>
  <si>
    <t>Sets the lower soil type to the predefined Staring soil type 'Coarse sand (O5)'.</t>
  </si>
  <si>
    <t>Boulder clay (O6)</t>
  </si>
  <si>
    <t>Sets the lower soil type to the predefined Staring soil type 'Boulder clay (O6)'.</t>
  </si>
  <si>
    <t>River loam (O7)</t>
  </si>
  <si>
    <t>Sets the lower soil type to the predefined Staring soil type 'River loam (O7)'.</t>
  </si>
  <si>
    <t>Sandy loam (O8)</t>
  </si>
  <si>
    <t>Sets the lower soil type to the predefined Staring soil type 'Sandy loam (O8)'.</t>
  </si>
  <si>
    <t>Silt loam (O9)</t>
  </si>
  <si>
    <t>Sets the lower soil type to the predefined Staring soil type 'Silt loam (O9)'.</t>
  </si>
  <si>
    <t>Clayey loam (O10)</t>
  </si>
  <si>
    <t>Sets the lower soil type to the predefined Staring soil type 'Clayey loam (O10)'.</t>
  </si>
  <si>
    <t>Light clay (O11)</t>
  </si>
  <si>
    <t>Sets the lower soil type to the predefined Staring soil type 'Light clay (O11)'.</t>
  </si>
  <si>
    <t>Heavy clay (O12)</t>
  </si>
  <si>
    <t>Sets the lower soil type to the predefined Staring soil type 'Heavy clay (O12)'.</t>
  </si>
  <si>
    <t>Very heavy clay (O13)</t>
  </si>
  <si>
    <t>Sets the lower soil type to the predefined Staring soil type 'Very heavy clay (O13)'.</t>
  </si>
  <si>
    <t>Loam (O14)</t>
  </si>
  <si>
    <t>Sets the lower soil type to the predefined Staring soil type 'Loam (O14)'.</t>
  </si>
  <si>
    <t>Heavy loam (O15)</t>
  </si>
  <si>
    <t>Sets the lower soil type to the predefined Staring soil type 'Heavy loam (O15)'.</t>
  </si>
  <si>
    <t>Oligotrophic peat (O16)</t>
  </si>
  <si>
    <t>Sets the lower soil type to the predefined Staring soil type 'Oligotrophic peat (O16)'.</t>
  </si>
  <si>
    <t>Eutrophic peat (O17)</t>
  </si>
  <si>
    <t>Sets the lower soil type to the predefined Staring soil type 'Eutrophic peat (O17)'.</t>
  </si>
  <si>
    <t>Peaty layer (O18)</t>
  </si>
  <si>
    <t>Sets the lower soil type to the predefined Staring soil type 'Peaty layer (O18)'.</t>
  </si>
  <si>
    <t>M50</t>
  </si>
  <si>
    <t>0 - 50</t>
  </si>
  <si>
    <t>Sets the median of the sand fraction to 0 - 50 μm.</t>
  </si>
  <si>
    <t>50 - 150</t>
  </si>
  <si>
    <t>Sets the median of the sand fraction to 50 - 150 μm.</t>
  </si>
  <si>
    <t>105 - 2000</t>
  </si>
  <si>
    <t>Sets the median of the sand fraction to 105 - 2000 μm.</t>
  </si>
  <si>
    <t>DefaultValuesFlow</t>
  </si>
  <si>
    <t>Enables the use of default values for the flow parameters.</t>
  </si>
  <si>
    <t>Disables the use of default values for the flow parameters.</t>
  </si>
  <si>
    <t>TablePsiPermSat</t>
  </si>
  <si>
    <t>Table defining the relation between Ψ, the permeability and the saturation of the soil.</t>
  </si>
  <si>
    <t>SplinePsiPerm</t>
  </si>
  <si>
    <t>Table defining the relation between Ψ and the permeability of the soil.</t>
  </si>
  <si>
    <t>SplinePsiSat</t>
  </si>
  <si>
    <t>Table defining the relation between Ψ and the saturation of the soil.</t>
  </si>
  <si>
    <t>TensionCutOff</t>
  </si>
  <si>
    <t>Tension cut-off</t>
  </si>
  <si>
    <t>Enables the use of the tension cut-off procedure.</t>
  </si>
  <si>
    <t>Disables the use of the tension cut-off procedure.</t>
  </si>
  <si>
    <t>Eref</t>
  </si>
  <si>
    <t>Reference Young's modulus.</t>
  </si>
  <si>
    <t>Eoed</t>
  </si>
  <si>
    <t>Eeod</t>
  </si>
  <si>
    <t>Oedometer modulus.</t>
  </si>
  <si>
    <t>Vs</t>
  </si>
  <si>
    <t>Shear wave velocity.</t>
  </si>
  <si>
    <t>Vp</t>
  </si>
  <si>
    <t>Compression wave velocity.</t>
  </si>
  <si>
    <t>einc</t>
  </si>
  <si>
    <t>Increment of the void ratio.</t>
  </si>
  <si>
    <t>CVRef</t>
  </si>
  <si>
    <t>Cv,ref</t>
  </si>
  <si>
    <t>L2/T</t>
  </si>
  <si>
    <t>Kinematic viscosity.</t>
  </si>
  <si>
    <t>UseAlternatives</t>
  </si>
  <si>
    <t>Use alternatives</t>
  </si>
  <si>
    <t>Enables the option to define the stiffness of the soil material by giving the Cc, Cs and einit.</t>
  </si>
  <si>
    <t>Disables the option to define the stiffness of the soil material by giving the Cc, Cs and einit.</t>
  </si>
  <si>
    <t>E50ref</t>
  </si>
  <si>
    <t>Secant stiffness in standard drained triaxial test.</t>
  </si>
  <si>
    <t>EoedRef</t>
  </si>
  <si>
    <t>Eoedref</t>
  </si>
  <si>
    <t>Tangent stiffness for primary oedometer loading.</t>
  </si>
  <si>
    <t>EurRef</t>
  </si>
  <si>
    <t>Eurref</t>
  </si>
  <si>
    <t>Unloading/reloading stiffness at engineering strains.</t>
  </si>
  <si>
    <t>ErefOed50</t>
  </si>
  <si>
    <t>Eoed,50ref</t>
  </si>
  <si>
    <t>Interface oedometer modulus.</t>
  </si>
  <si>
    <t>ErefUr50</t>
  </si>
  <si>
    <t>powerm</t>
  </si>
  <si>
    <t>power (m)</t>
  </si>
  <si>
    <t>Power for stress-level dependency of stiffness.</t>
  </si>
  <si>
    <t>Pref</t>
  </si>
  <si>
    <t>pref</t>
  </si>
  <si>
    <t>Reference stress for stiffnesses.</t>
  </si>
  <si>
    <t>Rf</t>
  </si>
  <si>
    <t>Failure ratio qf/qa.</t>
  </si>
  <si>
    <t>Tangent of the critical state line.</t>
  </si>
  <si>
    <t>Kfac</t>
  </si>
  <si>
    <t>Stiffness ratio for loading and unloading.</t>
  </si>
  <si>
    <t>Gi0ref</t>
  </si>
  <si>
    <t>Initial shear stiffness.</t>
  </si>
  <si>
    <t>K0nc</t>
  </si>
  <si>
    <t>Coefficient of lateral earth pressure for a normally consolidated stress state.</t>
  </si>
  <si>
    <t>Cc</t>
  </si>
  <si>
    <t>Compression index.</t>
  </si>
  <si>
    <t>Cs</t>
  </si>
  <si>
    <t>Swelling- or reloading index.</t>
  </si>
  <si>
    <t>FailureCriterion</t>
  </si>
  <si>
    <t>Sets Mohr-Coulomb as the failure criterion for the soil material.</t>
  </si>
  <si>
    <t>Matsuoka-Nakai</t>
  </si>
  <si>
    <t>Sets Matsuoka-Nakai as the failure criterion for the soil material.</t>
  </si>
  <si>
    <t>G0ref</t>
  </si>
  <si>
    <t>Reference shear modulus.</t>
  </si>
  <si>
    <t>gamma07</t>
  </si>
  <si>
    <t>γ0.7</t>
  </si>
  <si>
    <t>Shear strain level where the secant shear modulus is reduced to 70% of G0.</t>
  </si>
  <si>
    <t>lambdaModified</t>
  </si>
  <si>
    <t>λ*</t>
  </si>
  <si>
    <t>Modified compression index.</t>
  </si>
  <si>
    <t>kappaModified</t>
  </si>
  <si>
    <t>κ*</t>
  </si>
  <si>
    <t>Modified swelling index.</t>
  </si>
  <si>
    <t>LambdaKappa</t>
  </si>
  <si>
    <t>λ*/κ*</t>
  </si>
  <si>
    <t>Ratio of the modified compression index to the modified swelling index.</t>
  </si>
  <si>
    <t>MuModified</t>
  </si>
  <si>
    <t>μ*</t>
  </si>
  <si>
    <t>Modified creep index or secondary compression index.</t>
  </si>
  <si>
    <t>Ca</t>
  </si>
  <si>
    <t>Cα</t>
  </si>
  <si>
    <t>Creep index for secondary compression.</t>
  </si>
  <si>
    <t>TensionCutOff1</t>
  </si>
  <si>
    <t>Enables the use of the tension cut-off procedure for Plane 1.</t>
  </si>
  <si>
    <t>Disables the use of the tension cut-off procedure for Plane 1.</t>
  </si>
  <si>
    <t>TensionCutOff2</t>
  </si>
  <si>
    <t>Enables the use of the tension cut-off procedure for Plane 2.</t>
  </si>
  <si>
    <t>Disables the use of the tension cut-off procedure for Plane 2.</t>
  </si>
  <si>
    <t>TensionCutOff3</t>
  </si>
  <si>
    <t>Enables the use of the tension cut-off procedure for Plane 3.</t>
  </si>
  <si>
    <t>Disables the use of the tension cut-off procedure for Plane 3.</t>
  </si>
  <si>
    <t>Eref1</t>
  </si>
  <si>
    <t>E1</t>
  </si>
  <si>
    <t>Young's modulus for rock as a continuum.</t>
  </si>
  <si>
    <t>Gref1</t>
  </si>
  <si>
    <t>G1</t>
  </si>
  <si>
    <t>Shear modulus for rock as a continuum.</t>
  </si>
  <si>
    <t>nu1</t>
  </si>
  <si>
    <t>ν1</t>
  </si>
  <si>
    <t>Poisson's ratio for rock as a continuum.</t>
  </si>
  <si>
    <t>Eref2</t>
  </si>
  <si>
    <t>E2</t>
  </si>
  <si>
    <t>Young's modulus perpendicular to 'Plane 1' direction.</t>
  </si>
  <si>
    <t>nu2</t>
  </si>
  <si>
    <t>ν2</t>
  </si>
  <si>
    <t>Poisson's ratio perpendicular to 'Plane 1' direction.</t>
  </si>
  <si>
    <t>G2</t>
  </si>
  <si>
    <t>Shear modulus perpendicular to 'Plane 1' direction.</t>
  </si>
  <si>
    <t>NumberOfPlanesIndex</t>
  </si>
  <si>
    <t>Number of planes</t>
  </si>
  <si>
    <t>1 plane</t>
  </si>
  <si>
    <t>Sets the number of planes to 1.</t>
  </si>
  <si>
    <t>2 planes</t>
  </si>
  <si>
    <t>Sets the number of planes to 2.</t>
  </si>
  <si>
    <t>3 planes</t>
  </si>
  <si>
    <t>Sets the number of planes to 3.</t>
  </si>
  <si>
    <t>NumberOfPlanes</t>
  </si>
  <si>
    <t>Number of planes.</t>
  </si>
  <si>
    <t>cref1</t>
  </si>
  <si>
    <t>Cohesion in Plane 1 direction.</t>
  </si>
  <si>
    <t>phi1</t>
  </si>
  <si>
    <t>Friction angle in Plane 1 direction.</t>
  </si>
  <si>
    <t>psi1</t>
  </si>
  <si>
    <t>Dilatancy angle in Plane 1 direction.</t>
  </si>
  <si>
    <t>alpha11</t>
  </si>
  <si>
    <t>α1</t>
  </si>
  <si>
    <t>Dip angle in Plane 1 direction.</t>
  </si>
  <si>
    <t>alpha21</t>
  </si>
  <si>
    <t>α2</t>
  </si>
  <si>
    <t>Dip direction in Plane 1 direction.</t>
  </si>
  <si>
    <t>TensileStrength1</t>
  </si>
  <si>
    <t>Tensile strength in Plane 1 direction.</t>
  </si>
  <si>
    <t>cref2</t>
  </si>
  <si>
    <t>Cohesion in Plane 2 direction.</t>
  </si>
  <si>
    <t>phi2</t>
  </si>
  <si>
    <t>Friction angle in Plane 2 direction.</t>
  </si>
  <si>
    <t>psi2</t>
  </si>
  <si>
    <t>Dilatancy angle in Plane 2 direction.</t>
  </si>
  <si>
    <t>alpha12</t>
  </si>
  <si>
    <t>Dip angle in Plane 2 direction.</t>
  </si>
  <si>
    <t>alpha22</t>
  </si>
  <si>
    <t>Dip direction in Plane 2 direction.</t>
  </si>
  <si>
    <t>TensileStrength2</t>
  </si>
  <si>
    <t>Tensile strength in Plane 2 direction.</t>
  </si>
  <si>
    <t>cref3</t>
  </si>
  <si>
    <t>Cohesion in Plane 3 direction.</t>
  </si>
  <si>
    <t>phi3</t>
  </si>
  <si>
    <t>Friction angle in Plane 3 direction.</t>
  </si>
  <si>
    <t>psi3</t>
  </si>
  <si>
    <t>Dilatancy angle in Plane 3 direction.</t>
  </si>
  <si>
    <t>alpha13</t>
  </si>
  <si>
    <t>Dip angle in Plane 3 direction.</t>
  </si>
  <si>
    <t>alpha23</t>
  </si>
  <si>
    <t>Dip direction in Plane 3 direction.</t>
  </si>
  <si>
    <t>TensileStrength3</t>
  </si>
  <si>
    <t>Tensile strength in Plane 3 direction.</t>
  </si>
  <si>
    <t>lambda</t>
  </si>
  <si>
    <t>λ</t>
  </si>
  <si>
    <t>Cam-Clay compression index.</t>
  </si>
  <si>
    <t>kappa</t>
  </si>
  <si>
    <t>κ</t>
  </si>
  <si>
    <t>Cam-Clay swelling index.</t>
  </si>
  <si>
    <t>UnloadingShearStiffness</t>
  </si>
  <si>
    <t>Gur/suA</t>
  </si>
  <si>
    <t>Unloading shear stiffness.</t>
  </si>
  <si>
    <t>RelativeTriaxialCompressiveShearStrength</t>
  </si>
  <si>
    <t>suC,TX/SuA</t>
  </si>
  <si>
    <t>Relative triaxial compressive shear strength.</t>
  </si>
  <si>
    <t>ReferenceDepth</t>
  </si>
  <si>
    <t>yref</t>
  </si>
  <si>
    <t>Reference depth.</t>
  </si>
  <si>
    <t>IncreaseOfShearStrengthWithDepth</t>
  </si>
  <si>
    <t>ΔsuA/Δy</t>
  </si>
  <si>
    <t>Increase of the shear strength over the depth.</t>
  </si>
  <si>
    <t>ReferenceShearStrength</t>
  </si>
  <si>
    <t>suA,ref</t>
  </si>
  <si>
    <t>Reference shear strength.</t>
  </si>
  <si>
    <t>RelativeDirectShearStrength</t>
  </si>
  <si>
    <t>suDSS/suA</t>
  </si>
  <si>
    <t>Relative direct shear strength.</t>
  </si>
  <si>
    <t>RelativePassiveStrength</t>
  </si>
  <si>
    <t>suP/suA</t>
  </si>
  <si>
    <t>Relative passive strength.</t>
  </si>
  <si>
    <t>InitialMobilization</t>
  </si>
  <si>
    <t>τ0/suA</t>
  </si>
  <si>
    <t>Initial mobilization.</t>
  </si>
  <si>
    <t>AxialFailureStrainTriaxialCompression</t>
  </si>
  <si>
    <t>ε1fC,TX</t>
  </si>
  <si>
    <t>Axial failure strain in triaxial compression.</t>
  </si>
  <si>
    <t>ShearFailureStrainDirectSimpleShear</t>
  </si>
  <si>
    <t>γfDSS</t>
  </si>
  <si>
    <t>Shear failure strain in direct simple shear.</t>
  </si>
  <si>
    <t>AxialFailureStrainTriaxialExtension</t>
  </si>
  <si>
    <t>ε1fE,TX</t>
  </si>
  <si>
    <t>Axial failure strain in triaxial extension.</t>
  </si>
  <si>
    <t>AdvancedParameterDivFailureStrainTriaxBiax</t>
  </si>
  <si>
    <t>a2</t>
  </si>
  <si>
    <t>Advanced parameter controlling difference in failure strain from triaxial and biaxial.</t>
  </si>
  <si>
    <t>UnconfinedCompressiveStrength</t>
  </si>
  <si>
    <t>σci</t>
  </si>
  <si>
    <t>Unconfined compressive strength.</t>
  </si>
  <si>
    <t>HoekBrownParameter</t>
  </si>
  <si>
    <t>mi</t>
  </si>
  <si>
    <t>Hoek-Brown parameter.</t>
  </si>
  <si>
    <t>GeologicalStrengthIndex</t>
  </si>
  <si>
    <t>GSI</t>
  </si>
  <si>
    <t>Geological strength index.</t>
  </si>
  <si>
    <t>DisturbanceFactor</t>
  </si>
  <si>
    <t>D</t>
  </si>
  <si>
    <t>Disturbance factor.</t>
  </si>
  <si>
    <t>MaximumDilitationAngle</t>
  </si>
  <si>
    <t>Ψmax</t>
  </si>
  <si>
    <t>Maximum dilitation angle.</t>
  </si>
  <si>
    <t>MinorPrincipalStress</t>
  </si>
  <si>
    <t>σΨ</t>
  </si>
  <si>
    <t>Minor principal stress.</t>
  </si>
  <si>
    <t>InitialStiffnessAtSigma0</t>
  </si>
  <si>
    <t>Gini</t>
  </si>
  <si>
    <t>Initial stiffness at σ=0.</t>
  </si>
  <si>
    <t>CrackClosureStress</t>
  </si>
  <si>
    <t>σcc</t>
  </si>
  <si>
    <t>Crack closure stress.</t>
  </si>
  <si>
    <t>FactorOfSafety</t>
  </si>
  <si>
    <t>FS</t>
  </si>
  <si>
    <t>Factor of safety.</t>
  </si>
  <si>
    <t>YieldSurfaceType</t>
  </si>
  <si>
    <t>xMod</t>
  </si>
  <si>
    <t>Yield surface type.</t>
  </si>
  <si>
    <t>PotentialFunction</t>
  </si>
  <si>
    <t>iPot</t>
  </si>
  <si>
    <t>Potential function.</t>
  </si>
  <si>
    <t>CoefficientOfSecondaryCompression</t>
  </si>
  <si>
    <t>α*</t>
  </si>
  <si>
    <t>Coefficient of Secondary Compression.</t>
  </si>
  <si>
    <t>InitialVolumetricStrainRate</t>
  </si>
  <si>
    <t>dot V0</t>
  </si>
  <si>
    <t>T-1</t>
  </si>
  <si>
    <t>Initial Volumetric Strain Rate.</t>
  </si>
  <si>
    <t>Plate_4</t>
  </si>
  <si>
    <t>Plate_5</t>
  </si>
  <si>
    <t>Plate_6</t>
  </si>
  <si>
    <t>Project Name</t>
  </si>
  <si>
    <t>CR113_N_Case1,4_SLS_0.7EI_Hyd_a03BP1.0m</t>
  </si>
  <si>
    <t>1. Cut Slope for L Shape Wall [Phase_1]</t>
  </si>
  <si>
    <t>2. Install Kingpost [Phase_2]</t>
  </si>
  <si>
    <t>3. Cast L Shape wall, backfill and traffic divert [Phase_3]</t>
  </si>
  <si>
    <t>4. Cut down to +20mSHD [Phase_4]</t>
  </si>
  <si>
    <t>5. Install RHS DWall [Phase_5]</t>
  </si>
  <si>
    <t>6. Cut slope for LHS DWall [Phase_6]</t>
  </si>
  <si>
    <t>7. Install LHS DWalls &amp; Backfill behind DWall, Surcharge [Phase_7]</t>
  </si>
  <si>
    <t>8. Exc for S1 [Phase_8]</t>
  </si>
  <si>
    <t>9. Install S1 (PL=50) [Phase_9]</t>
  </si>
  <si>
    <t>10. Exc for S2 [Phase_10]</t>
  </si>
  <si>
    <t>11. Install S2 (PL=100) [Phase_11]</t>
  </si>
  <si>
    <t>12. Exc for Roof [Phase_12]</t>
  </si>
  <si>
    <t>13. Cast Roof Slab [Phase_13]</t>
  </si>
  <si>
    <t>14. Exc for B1 [Phase_14]</t>
  </si>
  <si>
    <t>15. Cast B1 Slab [Phase_15]</t>
  </si>
  <si>
    <t>16. Exc for B2 [Phase_16]</t>
  </si>
  <si>
    <t>17. Cast B2 Slab [Phase_17]</t>
  </si>
  <si>
    <t>18. Exc for S3 [Phase_18]</t>
  </si>
  <si>
    <t>19. Install S3 (PL=550) [Phase_19]</t>
  </si>
  <si>
    <t>20. Exc for FEL [Phase_20]</t>
  </si>
  <si>
    <t>21. Cast Base Slab [Phase_21]</t>
  </si>
  <si>
    <t>22. Remove S3 [Phase_22]</t>
  </si>
  <si>
    <t>23. Case RC  Wal [Phase_23]</t>
  </si>
  <si>
    <t>24. Remove Kingpost and Backfill [Phase_24]</t>
  </si>
  <si>
    <t>25. Backfill up to 1m below S2 [Phase_25]</t>
  </si>
  <si>
    <t>26.Remove S2 [Phase_26]</t>
  </si>
  <si>
    <t>27. Backfill upto 1m below S1 [Phase_27]</t>
  </si>
  <si>
    <t>28. Remove S1 [Phase_28]</t>
  </si>
  <si>
    <t>29. Backfill to final level [Phase_29]</t>
  </si>
  <si>
    <t>30. Divert Traffic and Demolish Temp Structure [Phase_37]</t>
  </si>
  <si>
    <t>31. Locked-in [Phase_38]</t>
  </si>
  <si>
    <t>4.OSF_ S3 Fails [Phase_35]</t>
  </si>
  <si>
    <t>5.OSF_ S2 Fails [Phase_36]</t>
  </si>
  <si>
    <t>2.OSF_ S2 Fails [Phase_33]</t>
  </si>
  <si>
    <t>3.OSF_ S1 Fails [Phase_34]</t>
  </si>
  <si>
    <t>1.OSF _ Install S1 [Phase_30]</t>
  </si>
  <si>
    <t>1.OSF_ Exc for S2 [Phase_31]</t>
  </si>
  <si>
    <t>1.OSF_ S1 Fails [Phase_32]</t>
  </si>
  <si>
    <t>Plate_7</t>
  </si>
  <si>
    <t>EmbeddedBeamRow_7</t>
  </si>
  <si>
    <t>NodeToNodeAnchor_1</t>
  </si>
  <si>
    <t>NodeToNodeAnchor_3</t>
  </si>
  <si>
    <t>NodeToNodeAnchor_4</t>
  </si>
  <si>
    <t>NodeToNodeAnchor_5</t>
  </si>
  <si>
    <t>NodeToNodeAnchor_6</t>
  </si>
  <si>
    <t>FixedEndAnchor_4</t>
  </si>
  <si>
    <t>FixedEndAnchor_5</t>
  </si>
  <si>
    <t>FixedEndAnchor_6</t>
  </si>
  <si>
    <t>NegativeInterface_3</t>
  </si>
  <si>
    <t>PositiveInterface_3</t>
  </si>
  <si>
    <t>CR113_N_Case2_ULS1_1.0EI_Hyd_a03BP1.0m</t>
  </si>
  <si>
    <t>2. Install Bored Pile for Traffic [Phase_2]</t>
  </si>
  <si>
    <t>CR113_N_Case3_ULS2_1.0EI_Hyd_a03BP1.0m</t>
  </si>
  <si>
    <t>CR113_N_Case5,8_SLS_0.7EI_SpG_a03BP1.0m</t>
  </si>
  <si>
    <t>CR113_N_Case6,7_ULS1_1.0EI_SpG_a03BP1.0m</t>
  </si>
  <si>
    <t>31a. Backfill to Final level [Phase_31]</t>
  </si>
  <si>
    <t>20a. Exc for FEL [Phase_30]</t>
  </si>
  <si>
    <t>CR113_N_CaseA_SLS_0.7EI_SpD_a03BP1.0m</t>
  </si>
  <si>
    <t>2. Install Bored pile for Traffic [Phase_2]</t>
  </si>
  <si>
    <t>30. Divert Traffic and Demolish Temp Structure [Phase_30]</t>
  </si>
  <si>
    <t>CR113 Section N</t>
  </si>
  <si>
    <t>Extraction Phases</t>
  </si>
  <si>
    <t>Extraction Profiles</t>
  </si>
  <si>
    <t>Property 1</t>
  </si>
  <si>
    <t>Property 2</t>
  </si>
  <si>
    <t>Property 3</t>
  </si>
  <si>
    <t>Property 4</t>
  </si>
  <si>
    <t>Property 5</t>
  </si>
  <si>
    <t>Profile</t>
  </si>
  <si>
    <t>Case 1 - Lock-in Forces</t>
  </si>
  <si>
    <t>Property 6</t>
  </si>
  <si>
    <t>Property 7</t>
  </si>
  <si>
    <t>Property 8</t>
  </si>
  <si>
    <t>C:\Users\KJSeng\Desktop\Wei Ern\Shovel v3.0 Dev\Shovel v3.0</t>
  </si>
  <si>
    <t>C:\Users\KJSeng\Desktop\Wei Ern\Shovel v3.0 Dev\Shovel v3.0\Templates\Shovel_Extraction Template.xlsm</t>
  </si>
  <si>
    <t>C:\Users\KJSeng\Desktop\Wei Ern\Shovel v3.0 Dev\CR113 Section N Demo\Shovel Output</t>
  </si>
  <si>
    <t>C:\Users\KJSeng\Desktop\Wei Ern\Shovel v3.0 Dev\CR113 Section N Demo\CR113_N_Case1,4_SLS_0.7EI_Hyd_a03BP1.0m.p2dx</t>
  </si>
  <si>
    <t>C:\Users\KJSeng\Desktop\Wei Ern\Shovel v3.0 Dev\CR113 Section N Demo\CR113_N_Case2_ULS1_1.0EI_Hyd_a03BP1.0m.p2dx</t>
  </si>
  <si>
    <t>C:\Users\KJSeng\Desktop\Wei Ern\Shovel v3.0 Dev\CR113 Section N Demo\CR113_N_Case3_ULS2_1.0EI_Hyd_a03BP1.0m.p2dx</t>
  </si>
  <si>
    <t>C:\Users\KJSeng\Desktop\Wei Ern\Shovel v3.0 Dev\CR113 Section N Demo\CR113_N_Case5,8_SLS_0.7EI_SpG_a03BP1.0m.p2dx</t>
  </si>
  <si>
    <t>C:\Users\KJSeng\Desktop\Wei Ern\Shovel v3.0 Dev\CR113 Section N Demo\CR113_N_Case6,7_ULS1_1.0EI_SpG_a03BP1.0m.p2dx</t>
  </si>
  <si>
    <t>C:\Users\KJSeng\Desktop\Wei Ern\Shovel v3.0 Dev\CR113 Section N Demo\CR113_N_CaseA_SLS_0.7EI_SpD_a03BP1.0m.p2dx</t>
  </si>
  <si>
    <t>Element 1</t>
  </si>
  <si>
    <t>Element 2</t>
  </si>
  <si>
    <t>Element 3</t>
  </si>
  <si>
    <t>Element 4</t>
  </si>
  <si>
    <t>Element 5</t>
  </si>
  <si>
    <t>Case 2 - Strut Forces, FEA (Hyd, C1)</t>
  </si>
  <si>
    <t>Case 2 - Strut Forces, n2n (Hyd, C1)</t>
  </si>
  <si>
    <t>Case 2 - Wall Forces (Hyd, C1)</t>
  </si>
  <si>
    <t>Case 3 - Strut Forces, FEA (Hyd, C2)</t>
  </si>
  <si>
    <t>Case 3 - Strut Forces, n2n (Hyd, C2)</t>
  </si>
  <si>
    <t>Case 3 - Wall Forces (Hyd, C2)</t>
  </si>
  <si>
    <t>Case 4 - OSF Strut Forces, FEA (Hyd, SLS)</t>
  </si>
  <si>
    <t>Case 1 - SLS Deflection (Hyd, SLS)</t>
  </si>
  <si>
    <t>Case 4 - OSF Strut Forces, n2n (Hyd, SLS)</t>
  </si>
  <si>
    <t>Case 4 - OSF Wall Forces (Hyd, SLS)</t>
  </si>
  <si>
    <t>Case 5 - SLS Deflection (Spg, SLS)</t>
  </si>
  <si>
    <t>Case 6 - Strut Forces, FEA (Spg, C1)</t>
  </si>
  <si>
    <t>Case 6 - Strut Forces, n2n (Spg, C1)</t>
  </si>
  <si>
    <t>Case 6 - Wall Forces (Spg, C1)</t>
  </si>
  <si>
    <t>Case 7 - Strut Forces, FEA (Spg, C2)</t>
  </si>
  <si>
    <t>Case 7 - Strut Forces, n2n (Spg, C2)</t>
  </si>
  <si>
    <t>Case 7 - Wall Forces (Spg, C2)</t>
  </si>
  <si>
    <t>Case 8 - OSF Strut Forces, FEA (Spg, SLS)</t>
  </si>
  <si>
    <t>Case 8 - OSF Strut Forces, n2n (Spg, SLS)</t>
  </si>
  <si>
    <t>Case 8 - OSF Wall Forces (Spg, SLS)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</si>
</sst>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rgb="FFFF0000"/>
      <name val="Calibri"/>
      <family val="2"/>
      <scheme val="minor"/>
    </font>
    <font>
      <sz val="9"/>
      <color indexed="81"/>
      <name val="Tahoma"/>
      <family val="2"/>
    </font>
    <font>
      <b/>
      <sz val="9"/>
      <color indexed="81"/>
      <name val="Tahoma"/>
      <family val="2"/>
    </font>
    <font>
      <sz val="11"/>
      <color rgb="FF000000"/>
      <name val="Calibri"/>
      <family val="2"/>
    </font>
    <font>
      <b/>
      <sz val="11"/>
      <color theme="1"/>
      <name val="Calibri"/>
      <family val="2"/>
      <scheme val="minor"/>
    </font>
    <font>
      <sz val="8"/>
      <name val="Calibri"/>
      <family val="2"/>
      <scheme val="minor"/>
    </font>
  </fonts>
  <fills count="6">
    <fill>
      <patternFill patternType="none"/>
    </fill>
    <fill>
      <patternFill patternType="gray125"/>
    </fill>
    <fill>
      <patternFill patternType="solid">
        <fgColor theme="9"/>
        <bgColor indexed="64"/>
      </patternFill>
    </fill>
    <fill>
      <patternFill patternType="solid">
        <fgColor rgb="FFD1A3FF"/>
        <bgColor indexed="64"/>
      </patternFill>
    </fill>
    <fill>
      <patternFill patternType="solid">
        <fgColor theme="4" tint="0.59999389629810485"/>
        <bgColor indexed="64"/>
      </patternFill>
    </fill>
    <fill>
      <patternFill patternType="solid">
        <fgColor theme="8" tint="0.39997558519241921"/>
        <bgColor indexed="64"/>
      </patternFill>
    </fill>
  </fills>
  <borders count="25">
    <border>
      <left/>
      <right/>
      <top/>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right/>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5">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0" xfId="0" applyAlignment="1">
      <alignment horizontal="center"/>
    </xf>
    <xf numFmtId="0" fontId="1" fillId="0" borderId="0" xfId="0" applyFont="1" applyAlignment="1">
      <alignment horizontal="left"/>
    </xf>
    <xf numFmtId="0" fontId="0" fillId="0" borderId="0" xfId="0" applyAlignment="1">
      <alignment horizontal="left"/>
    </xf>
    <xf numFmtId="0" fontId="1" fillId="0" borderId="0" xfId="0" applyFont="1"/>
    <xf numFmtId="0" fontId="1" fillId="0" borderId="0" xfId="0" applyFont="1" applyAlignment="1">
      <alignment wrapText="1"/>
    </xf>
    <xf numFmtId="0" fontId="0" fillId="0" borderId="6" xfId="0" applyBorder="1"/>
    <xf numFmtId="0" fontId="0" fillId="0" borderId="16" xfId="0" applyBorder="1"/>
    <xf numFmtId="0" fontId="0" fillId="0" borderId="17" xfId="0" applyBorder="1"/>
    <xf numFmtId="0" fontId="0" fillId="0" borderId="18" xfId="0" applyBorder="1"/>
    <xf numFmtId="0" fontId="0" fillId="0" borderId="9" xfId="0" applyBorder="1"/>
    <xf numFmtId="0" fontId="0" fillId="0" borderId="8" xfId="0" applyBorder="1"/>
    <xf numFmtId="0" fontId="0" fillId="0" borderId="10" xfId="0" applyBorder="1"/>
    <xf numFmtId="0" fontId="0" fillId="0" borderId="11" xfId="0" applyBorder="1"/>
    <xf numFmtId="0" fontId="0" fillId="0" borderId="12" xfId="0" applyBorder="1"/>
    <xf numFmtId="0" fontId="0" fillId="0" borderId="19" xfId="0" applyBorder="1"/>
    <xf numFmtId="0" fontId="0" fillId="0" borderId="20" xfId="0" applyBorder="1"/>
    <xf numFmtId="0" fontId="0" fillId="0" borderId="21" xfId="0" applyBorder="1"/>
    <xf numFmtId="0" fontId="0" fillId="0" borderId="13" xfId="0" applyBorder="1"/>
    <xf numFmtId="0" fontId="0" fillId="0" borderId="14" xfId="0" applyBorder="1"/>
    <xf numFmtId="0" fontId="0" fillId="0" borderId="15" xfId="0" applyBorder="1"/>
    <xf numFmtId="0" fontId="0" fillId="5" borderId="13" xfId="0" applyFill="1" applyBorder="1" applyAlignment="1">
      <alignment horizontal="center"/>
    </xf>
    <xf numFmtId="0" fontId="0" fillId="5" borderId="14" xfId="0" applyFill="1" applyBorder="1" applyAlignment="1">
      <alignment horizontal="center"/>
    </xf>
    <xf numFmtId="0" fontId="0" fillId="5" borderId="15" xfId="0" applyFill="1" applyBorder="1" applyAlignment="1">
      <alignment horizontal="center"/>
    </xf>
    <xf numFmtId="0" fontId="0" fillId="0" borderId="1" xfId="0" applyBorder="1" applyAlignment="1">
      <alignment horizontal="center"/>
    </xf>
    <xf numFmtId="0" fontId="0" fillId="4" borderId="13" xfId="0" applyFill="1" applyBorder="1" applyAlignment="1">
      <alignment horizontal="center"/>
    </xf>
    <xf numFmtId="0" fontId="0" fillId="4" borderId="14" xfId="0" applyFill="1" applyBorder="1" applyAlignment="1">
      <alignment horizontal="center"/>
    </xf>
    <xf numFmtId="0" fontId="0" fillId="4" borderId="15" xfId="0" applyFill="1" applyBorder="1" applyAlignment="1">
      <alignment horizontal="center"/>
    </xf>
    <xf numFmtId="0" fontId="0" fillId="2" borderId="13" xfId="0" applyFill="1" applyBorder="1" applyAlignment="1">
      <alignment horizontal="center"/>
    </xf>
    <xf numFmtId="0" fontId="0" fillId="2" borderId="14" xfId="0" applyFill="1" applyBorder="1" applyAlignment="1">
      <alignment horizontal="center"/>
    </xf>
    <xf numFmtId="0" fontId="0" fillId="2" borderId="15" xfId="0" applyFill="1" applyBorder="1" applyAlignment="1">
      <alignment horizontal="center"/>
    </xf>
    <xf numFmtId="0" fontId="5" fillId="3" borderId="4" xfId="0" applyFont="1" applyFill="1" applyBorder="1" applyAlignment="1">
      <alignment horizontal="center"/>
    </xf>
    <xf numFmtId="0" fontId="5" fillId="3" borderId="5" xfId="0" applyFont="1" applyFill="1" applyBorder="1" applyAlignment="1">
      <alignment horizontal="center"/>
    </xf>
    <xf numFmtId="0" fontId="5" fillId="0" borderId="6" xfId="0" applyFont="1" applyBorder="1" applyAlignment="1">
      <alignment horizontal="left"/>
    </xf>
    <xf numFmtId="0" fontId="5" fillId="0" borderId="0" xfId="0" applyFont="1" applyAlignment="1">
      <alignment horizontal="left"/>
    </xf>
    <xf numFmtId="0" fontId="5" fillId="0" borderId="7" xfId="0" applyFont="1" applyBorder="1" applyAlignment="1">
      <alignment horizontal="left"/>
    </xf>
    <xf numFmtId="0" fontId="5" fillId="0" borderId="22"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5" fillId="0" borderId="6" xfId="0" applyFont="1" applyBorder="1" applyAlignment="1">
      <alignment horizontal="center"/>
    </xf>
    <xf numFmtId="0" fontId="5" fillId="0" borderId="0" xfId="0" applyFont="1" applyAlignment="1">
      <alignment horizontal="center"/>
    </xf>
  </cellXfs>
  <cellStyles count="1">
    <cellStyle name="Normal" xfId="0" builtinId="0"/>
  </cellStyles>
  <dxfs count="47">
    <dxf>
      <border diagonalUp="0" diagonalDown="0">
        <left style="thin">
          <color auto="1"/>
        </left>
        <right style="medium">
          <color indexed="64"/>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thin">
          <color auto="1"/>
        </left>
        <right style="thin">
          <color auto="1"/>
        </right>
        <top style="thin">
          <color auto="1"/>
        </top>
        <bottom style="thin">
          <color auto="1"/>
        </bottom>
        <vertical style="thin">
          <color auto="1"/>
        </vertical>
        <horizontal style="thin">
          <color auto="1"/>
        </horizontal>
      </border>
    </dxf>
    <dxf>
      <border diagonalUp="0" diagonalDown="0">
        <left style="medium">
          <color indexed="64"/>
        </left>
        <right style="thin">
          <color auto="1"/>
        </right>
        <top style="thin">
          <color auto="1"/>
        </top>
        <bottom style="thin">
          <color auto="1"/>
        </bottom>
        <vertical style="thin">
          <color auto="1"/>
        </vertical>
        <horizontal style="thin">
          <color auto="1"/>
        </horizontal>
      </border>
    </dxf>
    <dxf>
      <border outline="0">
        <top style="medium">
          <color indexed="64"/>
        </top>
      </border>
    </dxf>
    <dxf>
      <alignment horizontal="left" vertical="bottom" textRotation="0" wrapText="0" indent="0" justifyLastLine="0" shrinkToFit="0" readingOrder="0"/>
    </dxf>
    <dxf>
      <font>
        <b val="0"/>
        <i val="0"/>
        <strike val="0"/>
        <condense val="0"/>
        <extend val="0"/>
        <outline val="0"/>
        <shadow val="0"/>
        <u val="none"/>
        <vertAlign val="baseline"/>
        <sz val="11"/>
        <color rgb="FFFF0000"/>
        <name val="Calibri"/>
        <family val="2"/>
        <scheme val="minor"/>
      </font>
    </dxf>
    <dxf>
      <border outline="0">
        <top style="medium">
          <color indexed="64"/>
        </top>
      </border>
    </dxf>
    <dxf>
      <alignment horizontal="center" vertical="bottom" textRotation="0" wrapText="0" indent="0" justifyLastLine="0" shrinkToFit="0" readingOrder="0"/>
    </dxf>
    <dxf>
      <numFmt numFmtId="0" formatCode="General"/>
    </dxf>
    <dxf>
      <fill>
        <patternFill patternType="none">
          <fgColor indexed="64"/>
          <bgColor auto="1"/>
        </patternFill>
      </fill>
    </dxf>
    <dxf>
      <numFmt numFmtId="0" formatCode="General"/>
      <fill>
        <patternFill patternType="none">
          <fgColor indexed="64"/>
          <bgColor auto="1"/>
        </patternFill>
      </fill>
    </dxf>
    <dxf>
      <numFmt numFmtId="0" formatCode="General"/>
    </dxf>
    <dxf>
      <fill>
        <patternFill>
          <bgColor rgb="FFFF0000"/>
        </patternFill>
      </fill>
    </dxf>
    <dxf>
      <numFmt numFmtId="0" formatCode="General"/>
    </dxf>
    <dxf>
      <fill>
        <patternFill patternType="none">
          <fgColor indexed="64"/>
          <bgColor auto="1"/>
        </patternFill>
      </fill>
    </dxf>
    <dxf>
      <fill>
        <patternFill patternType="none">
          <fgColor indexed="64"/>
          <bgColor auto="1"/>
        </patternFill>
      </fill>
    </dxf>
    <dxf>
      <border diagonalUp="0" diagonalDown="0">
        <left style="medium">
          <color auto="1"/>
        </left>
        <right style="thin">
          <color auto="1"/>
        </right>
        <top style="thin">
          <color auto="1"/>
        </top>
        <bottom style="thin">
          <color auto="1"/>
        </bottom>
        <vertical/>
        <horizontal/>
      </border>
    </dxf>
    <dxf>
      <border outline="0">
        <bottom style="medium">
          <color auto="1"/>
        </bottom>
      </border>
    </dxf>
    <dxf>
      <border outline="0">
        <bottom style="medium">
          <color auto="1"/>
        </bottom>
      </border>
    </dxf>
    <dxf>
      <font>
        <b val="0"/>
        <i val="0"/>
        <strike val="0"/>
        <condense val="0"/>
        <extend val="0"/>
        <outline val="0"/>
        <shadow val="0"/>
        <u val="none"/>
        <vertAlign val="baseline"/>
        <sz val="12"/>
        <color theme="1"/>
        <name val="Times New Roman"/>
        <family val="1"/>
        <scheme val="none"/>
      </font>
      <alignment horizontal="general" vertical="center"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general" vertical="center"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medium">
          <color auto="1"/>
        </left>
        <right style="medium">
          <color auto="1"/>
        </right>
        <top style="medium">
          <color auto="1"/>
        </top>
        <bottom style="medium">
          <color auto="1"/>
        </bottom>
        <vertical style="thin">
          <color auto="1"/>
        </vertical>
        <horizontal style="thin">
          <color auto="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dxf>
    <dxf>
      <font>
        <color theme="1"/>
      </font>
      <border>
        <left style="medium">
          <color auto="1"/>
        </left>
        <right style="medium">
          <color auto="1"/>
        </right>
        <top style="medium">
          <color auto="1"/>
        </top>
        <bottom style="medium">
          <color auto="1"/>
        </bottom>
        <vertical style="thin">
          <color auto="1"/>
        </vertical>
        <horizontal style="thin">
          <color auto="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color theme="0"/>
      </font>
      <fill>
        <patternFill patternType="solid">
          <fgColor theme="4"/>
          <bgColor theme="4"/>
        </patternFill>
      </fill>
      <border>
        <left style="medium">
          <color auto="1"/>
        </left>
        <right style="medium">
          <color auto="1"/>
        </right>
        <top style="medium">
          <color auto="1"/>
        </top>
        <bottom style="medium">
          <color auto="1"/>
        </bottom>
        <vertical style="thin">
          <color auto="1"/>
        </vertical>
        <horizontal style="thin">
          <color auto="1"/>
        </horizontal>
      </border>
    </dxf>
    <dxf>
      <font>
        <color theme="1"/>
      </font>
      <border>
        <left style="medium">
          <color auto="1"/>
        </left>
        <right style="medium">
          <color auto="1"/>
        </right>
        <top style="medium">
          <color auto="1"/>
        </top>
        <bottom style="medium">
          <color auto="1"/>
        </bottom>
        <vertical style="thin">
          <color auto="1"/>
        </vertical>
        <horizontal style="thin">
          <color auto="1"/>
        </horizontal>
      </border>
    </dxf>
  </dxfs>
  <tableStyles count="3" defaultTableStyle="TableStyleMedium2 2" defaultPivotStyle="PivotStyleLight16">
    <tableStyle name="TableStyleMedium2 2" pivot="0" count="7" xr9:uid="{8CAAC986-8DE6-41B4-9788-AE6912B6CD61}">
      <tableStyleElement type="wholeTable" dxfId="46"/>
      <tableStyleElement type="headerRow" dxfId="45"/>
      <tableStyleElement type="totalRow" dxfId="44"/>
      <tableStyleElement type="firstColumn" dxfId="43"/>
      <tableStyleElement type="lastColumn" dxfId="42"/>
      <tableStyleElement type="firstRowStripe" dxfId="41"/>
      <tableStyleElement type="firstColumnStripe" dxfId="40"/>
    </tableStyle>
    <tableStyle name="TableStyleMedium2 2 2" pivot="0" count="7" xr9:uid="{889628D5-B846-475B-89F9-B1F18C4C917C}">
      <tableStyleElement type="wholeTable" dxfId="39"/>
      <tableStyleElement type="headerRow" dxfId="38"/>
      <tableStyleElement type="totalRow" dxfId="37"/>
      <tableStyleElement type="firstColumn" dxfId="36"/>
      <tableStyleElement type="lastColumn" dxfId="35"/>
      <tableStyleElement type="firstRowStripe" dxfId="34"/>
      <tableStyleElement type="firstColumnStripe" dxfId="33"/>
    </tableStyle>
    <tableStyle name="TableStyleMedium2 2 3" pivot="0" count="7" xr9:uid="{50799370-C187-4672-A0C5-BBC2983D3C1C}">
      <tableStyleElement type="wholeTable" dxfId="32"/>
      <tableStyleElement type="headerRow" dxfId="31"/>
      <tableStyleElement type="totalRow" dxfId="30"/>
      <tableStyleElement type="firstColumn" dxfId="29"/>
      <tableStyleElement type="lastColumn" dxfId="28"/>
      <tableStyleElement type="firstRowStripe" dxfId="27"/>
      <tableStyleElement type="firstColumnStripe" dxfId="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xdr:row>
          <xdr:rowOff>9525</xdr:rowOff>
        </xdr:from>
        <xdr:to>
          <xdr:col>2</xdr:col>
          <xdr:colOff>904875</xdr:colOff>
          <xdr:row>4</xdr:row>
          <xdr:rowOff>9525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9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Select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4</xdr:row>
          <xdr:rowOff>19050</xdr:rowOff>
        </xdr:from>
        <xdr:to>
          <xdr:col>2</xdr:col>
          <xdr:colOff>904875</xdr:colOff>
          <xdr:row>5</xdr:row>
          <xdr:rowOff>19050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9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Select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2085975</xdr:colOff>
          <xdr:row>0</xdr:row>
          <xdr:rowOff>9525</xdr:rowOff>
        </xdr:from>
        <xdr:to>
          <xdr:col>7</xdr:col>
          <xdr:colOff>9525</xdr:colOff>
          <xdr:row>0</xdr:row>
          <xdr:rowOff>209550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900-00001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Add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0</xdr:rowOff>
        </xdr:from>
        <xdr:to>
          <xdr:col>2</xdr:col>
          <xdr:colOff>904875</xdr:colOff>
          <xdr:row>3</xdr:row>
          <xdr:rowOff>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900-00002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Select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9525</xdr:rowOff>
        </xdr:from>
        <xdr:to>
          <xdr:col>8</xdr:col>
          <xdr:colOff>0</xdr:colOff>
          <xdr:row>0</xdr:row>
          <xdr:rowOff>209550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900-00002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Change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16</xdr:row>
          <xdr:rowOff>180975</xdr:rowOff>
        </xdr:from>
        <xdr:to>
          <xdr:col>1</xdr:col>
          <xdr:colOff>0</xdr:colOff>
          <xdr:row>19</xdr:row>
          <xdr:rowOff>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900-00002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Load Selected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180975</xdr:rowOff>
        </xdr:from>
        <xdr:to>
          <xdr:col>1</xdr:col>
          <xdr:colOff>1533525</xdr:colOff>
          <xdr:row>19</xdr:row>
          <xdr:rowOff>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900-00002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Load All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19</xdr:row>
          <xdr:rowOff>9525</xdr:rowOff>
        </xdr:from>
        <xdr:to>
          <xdr:col>1</xdr:col>
          <xdr:colOff>0</xdr:colOff>
          <xdr:row>21</xdr:row>
          <xdr:rowOff>19050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900-00002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Extract Selected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19</xdr:row>
          <xdr:rowOff>9525</xdr:rowOff>
        </xdr:from>
        <xdr:to>
          <xdr:col>2</xdr:col>
          <xdr:colOff>0</xdr:colOff>
          <xdr:row>21</xdr:row>
          <xdr:rowOff>19050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900-00002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Extract All Models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12</xdr:row>
          <xdr:rowOff>0</xdr:rowOff>
        </xdr:from>
        <xdr:to>
          <xdr:col>2</xdr:col>
          <xdr:colOff>904875</xdr:colOff>
          <xdr:row>12</xdr:row>
          <xdr:rowOff>190500</xdr:rowOff>
        </xdr:to>
        <xdr:sp macro="" textlink="">
          <xdr:nvSpPr>
            <xdr:cNvPr id="3122" name="Button 50" hidden="1">
              <a:extLst>
                <a:ext uri="{63B3BB69-23CF-44E3-9099-C40C66FF867C}">
                  <a14:compatExt spid="_x0000_s3122"/>
                </a:ext>
                <a:ext uri="{FF2B5EF4-FFF2-40B4-BE49-F238E27FC236}">
                  <a16:creationId xmlns:a16="http://schemas.microsoft.com/office/drawing/2014/main" id="{00000000-0008-0000-0900-00003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9</xdr:row>
          <xdr:rowOff>180975</xdr:rowOff>
        </xdr:from>
        <xdr:to>
          <xdr:col>2</xdr:col>
          <xdr:colOff>904875</xdr:colOff>
          <xdr:row>10</xdr:row>
          <xdr:rowOff>180975</xdr:rowOff>
        </xdr:to>
        <xdr:sp macro="" textlink="">
          <xdr:nvSpPr>
            <xdr:cNvPr id="3123" name="Button 51" hidden="1">
              <a:extLst>
                <a:ext uri="{63B3BB69-23CF-44E3-9099-C40C66FF867C}">
                  <a14:compatExt spid="_x0000_s3123"/>
                </a:ext>
                <a:ext uri="{FF2B5EF4-FFF2-40B4-BE49-F238E27FC236}">
                  <a16:creationId xmlns:a16="http://schemas.microsoft.com/office/drawing/2014/main" id="{00000000-0008-0000-0900-00003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Select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11</xdr:row>
          <xdr:rowOff>0</xdr:rowOff>
        </xdr:from>
        <xdr:to>
          <xdr:col>2</xdr:col>
          <xdr:colOff>904875</xdr:colOff>
          <xdr:row>12</xdr:row>
          <xdr:rowOff>0</xdr:rowOff>
        </xdr:to>
        <xdr:sp macro="" textlink="">
          <xdr:nvSpPr>
            <xdr:cNvPr id="3124" name="Button 52" hidden="1">
              <a:extLst>
                <a:ext uri="{63B3BB69-23CF-44E3-9099-C40C66FF867C}">
                  <a14:compatExt spid="_x0000_s3124"/>
                </a:ext>
                <a:ext uri="{FF2B5EF4-FFF2-40B4-BE49-F238E27FC236}">
                  <a16:creationId xmlns:a16="http://schemas.microsoft.com/office/drawing/2014/main" id="{00000000-0008-0000-0900-00003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Select folder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her%20Wen\Desktop\Shovel\Shovel%20v2.0.xlsm" TargetMode="External"/><Relationship Id="rId1" Type="http://schemas.openxmlformats.org/officeDocument/2006/relationships/externalLinkPath" Target="/Users/Sher%20Wen/Desktop/Shovel/Shovel%20v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_system"/>
      <sheetName val="Properties"/>
      <sheetName val="Steel and Plate database"/>
      <sheetName val="Project Settings"/>
      <sheetName val="GIBR &amp; Boreholes"/>
      <sheetName val="Materials"/>
      <sheetName val="Structures"/>
      <sheetName val="Phases"/>
      <sheetName val="Control Panel"/>
      <sheetName val="Create Summary"/>
      <sheetName val="Spreadsheet Checks"/>
      <sheetName val="Merge Appendix"/>
      <sheetName val="Shovel v2.0"/>
    </sheetNames>
    <sheetDataSet>
      <sheetData sheetId="0">
        <row r="1">
          <cell r="C1" t="str">
            <v>BH List</v>
          </cell>
          <cell r="R1" t="str">
            <v>Selections</v>
          </cell>
        </row>
        <row r="2">
          <cell r="A2">
            <v>100</v>
          </cell>
          <cell r="B2">
            <v>29.9</v>
          </cell>
          <cell r="C2" t="str">
            <v>ADD BHSW-57</v>
          </cell>
          <cell r="R2" t="str">
            <v>Selection 1</v>
          </cell>
        </row>
        <row r="3">
          <cell r="C3" t="str">
            <v>ADD BHSW-58</v>
          </cell>
          <cell r="R3" t="str">
            <v>Selection 2</v>
          </cell>
        </row>
        <row r="4">
          <cell r="R4" t="str">
            <v>Selection 3</v>
          </cell>
        </row>
        <row r="5">
          <cell r="R5" t="str">
            <v>Selection 4</v>
          </cell>
        </row>
        <row r="6">
          <cell r="R6" t="str">
            <v>Selection 5</v>
          </cell>
        </row>
        <row r="7">
          <cell r="R7" t="str">
            <v>Selection 6</v>
          </cell>
        </row>
        <row r="8">
          <cell r="R8" t="str">
            <v>Selection 7</v>
          </cell>
        </row>
        <row r="9">
          <cell r="R9" t="str">
            <v>Selection 8</v>
          </cell>
        </row>
        <row r="10">
          <cell r="R10" t="str">
            <v>Selection 9</v>
          </cell>
        </row>
        <row r="11">
          <cell r="R11" t="str">
            <v>Selection 10</v>
          </cell>
        </row>
        <row r="12">
          <cell r="R12" t="str">
            <v>Selection 11</v>
          </cell>
        </row>
        <row r="13">
          <cell r="R13" t="str">
            <v>Selection 12</v>
          </cell>
        </row>
        <row r="14">
          <cell r="R14" t="str">
            <v>Selection 13</v>
          </cell>
        </row>
        <row r="15">
          <cell r="R15" t="str">
            <v>Selection 14</v>
          </cell>
        </row>
        <row r="16">
          <cell r="R16" t="str">
            <v>Selection 15</v>
          </cell>
        </row>
        <row r="17">
          <cell r="R17" t="str">
            <v>Selection 16</v>
          </cell>
        </row>
        <row r="18">
          <cell r="R18" t="str">
            <v>Selection 17</v>
          </cell>
        </row>
        <row r="19">
          <cell r="R19" t="str">
            <v>Selection 18</v>
          </cell>
        </row>
        <row r="20">
          <cell r="R20" t="str">
            <v>Selection 19</v>
          </cell>
        </row>
        <row r="21">
          <cell r="R21" t="str">
            <v>Selection 20</v>
          </cell>
        </row>
        <row r="22">
          <cell r="R22" t="str">
            <v>FixedEndAnchor_3</v>
          </cell>
        </row>
        <row r="23">
          <cell r="R23" t="str">
            <v>FixedEndAnchor_1</v>
          </cell>
        </row>
        <row r="24">
          <cell r="R24" t="str">
            <v>FixedEndAnchor_2</v>
          </cell>
        </row>
        <row r="25">
          <cell r="R25" t="str">
            <v>FixedEndAnchor_4</v>
          </cell>
        </row>
        <row r="26">
          <cell r="R26" t="str">
            <v>FixedEndAnchor_5</v>
          </cell>
        </row>
        <row r="27">
          <cell r="R27" t="str">
            <v>FixedEndAnchor_6</v>
          </cell>
        </row>
        <row r="28">
          <cell r="R28" t="str">
            <v>FixedEndAnchor_7</v>
          </cell>
        </row>
      </sheetData>
      <sheetData sheetId="1" refreshError="1"/>
      <sheetData sheetId="2">
        <row r="5">
          <cell r="AI5" t="str">
            <v>UB 610x178x82</v>
          </cell>
        </row>
      </sheetData>
      <sheetData sheetId="3" refreshError="1"/>
      <sheetData sheetId="4"/>
      <sheetData sheetId="5"/>
      <sheetData sheetId="6" refreshError="1"/>
      <sheetData sheetId="7" refreshError="1"/>
      <sheetData sheetId="8" refreshError="1"/>
      <sheetData sheetId="9"/>
      <sheetData sheetId="10"/>
      <sheetData sheetId="11" refreshError="1"/>
      <sheetData sheetId="12" refreshError="1"/>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6D0B465-6CD6-4DC9-A627-16B44B0564DE}" name="s_ResultTypen2n" displayName="s_ResultTypen2n" ref="C1:C77" totalsRowShown="0">
  <tableColumns count="1">
    <tableColumn id="1" xr3:uid="{400EDE40-A9A8-49B4-BD29-558D7988B7A4}" name="n2n anchor result typ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3E27E2A-830F-46B8-AE49-81A00376602D}" name="s_ResultTypeFEAnchor" displayName="s_ResultTypeFEAnchor" ref="D1:D80" totalsRowShown="0">
  <tableColumns count="1">
    <tableColumn id="1" xr3:uid="{F4496BC7-1C46-4712-9504-BBF8B2D3DE8B}" name="FEAnchor result typ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229C886-8A55-47AE-B044-F4BBB0EE6D4C}" name="s_ResultTypeEBR" displayName="s_ResultTypeEBR" ref="E1:E98" totalsRowShown="0">
  <tableColumns count="1">
    <tableColumn id="1" xr3:uid="{FC18301D-300D-450A-AAB0-D71D7D69A0B8}" name="EBR result type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8D7BC44-14B8-4CEB-AE05-C430C2E1A442}" name="s_ResultTypeGeogrids" displayName="s_ResultTypeGeogrids" ref="F1:F84" totalsRowShown="0" dataDxfId="25">
  <tableColumns count="1">
    <tableColumn id="1" xr3:uid="{EBF09114-AF34-4A25-8419-18BE7122108B}" name="Geogrid result types"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A6C9D72-9756-47AC-89FB-35B97300A0E6}" name="s_PlotTypes" displayName="s_PlotTypes" ref="G1:G18" totalsRowShown="0" tableBorderDxfId="23">
  <tableColumns count="1">
    <tableColumn id="1" xr3:uid="{F4CD7E56-4FF9-4EE3-B8DE-EE8B9F7EA0DB}" name="Plot Typ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986D569-9D09-47E9-A86A-50DF30A987B9}" name="Table46" displayName="Table46" ref="H1:H56" totalsRowShown="0" tableBorderDxfId="22">
  <tableColumns count="1">
    <tableColumn id="1" xr3:uid="{258E277B-DFEA-4D35-A04B-AB5A8EC25869}" name="Mesh Settings" dataDxfId="2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F0EF3F2-DD75-489B-8236-94EB89162B80}" name="s_ResultTypePlate" displayName="s_ResultTypePlate" ref="B1:B91" totalsRowShown="0">
  <tableColumns count="1">
    <tableColumn id="1" xr3:uid="{AA94107A-5F9F-4F95-BFCD-A21507E75624}" name="Plate result typ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2ED10F1-C03A-4854-B42A-2FA24A9B37DF}" name="s_ResultTypeInterface" displayName="s_ResultTypeInterface" ref="A1:A111" totalsRowShown="0" dataDxfId="20">
  <autoFilter ref="A1:A111" xr:uid="{AAE3BDAA-DB0C-41E7-B7AD-85BA95B3C017}"/>
  <tableColumns count="1">
    <tableColumn id="1" xr3:uid="{F249B2E2-3B0D-41D9-AE90-95D6C0C90533}" name="Interface result types" dataDxfId="1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2E0A94-35B2-456A-9F29-AED128937AD0}" name="tbl_AllElements" displayName="tbl_AllElements" ref="J1:L378" totalsRowShown="0">
  <autoFilter ref="J1:L378" xr:uid="{A92E0A94-35B2-456A-9F29-AED128937AD0}"/>
  <tableColumns count="3">
    <tableColumn id="1" xr3:uid="{F2568B18-0BE5-49B7-B06B-60323AC0D87D}" name="Element Type" dataDxfId="18">
      <calculatedColumnFormula>IF(ISNUMBER(SEARCH("Phase",tbl_AllElements[[#This Row],[Element Name]])),"Phase",LEFT(tbl_AllElements[[#This Row],[Element Name]],FIND("_",tbl_AllElements[[#This Row],[Element Name]])-1))</calculatedColumnFormula>
    </tableColumn>
    <tableColumn id="2" xr3:uid="{448748CE-DF5E-46E7-A618-03D0E18D5869}" name="Model"/>
    <tableColumn id="3" xr3:uid="{3CC3ED5E-7170-4C88-BA60-FCCDD295AFF1}" name="Element Name"/>
  </tableColumns>
  <tableStyleInfo name="TableStyleMedium2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7ABE273-ED11-4C72-BEB0-978A71921CD9}" name="tbl_Extraction" displayName="tbl_Extraction" ref="J2:S66" totalsRowShown="0">
  <tableColumns count="10">
    <tableColumn id="7" xr3:uid="{B7BAA11B-9733-4916-81C7-B88BAB7BE54F}" name="No." dataDxfId="16">
      <calculatedColumnFormula array="1">ROW()-ROW(tbl_Extraction[#Headers])</calculatedColumnFormula>
    </tableColumn>
    <tableColumn id="1" xr3:uid="{4AD5B6EC-EF68-4CE3-9074-1F46952E04EB}" name="Model"/>
    <tableColumn id="2" xr3:uid="{C481DD54-8CB7-405A-B06F-42B2A020C8F5}" name="Phase"/>
    <tableColumn id="6" xr3:uid="{649CAED0-EAB4-40BD-B25D-3DECBCA451D0}" name="Element Type"/>
    <tableColumn id="3" xr3:uid="{8E0BD70F-6BDD-40EB-A298-C044D01F1E72}" name="Element 1"/>
    <tableColumn id="9" xr3:uid="{C2FB1034-8DD8-4E98-B465-E650BE794249}" name="Element 2"/>
    <tableColumn id="10" xr3:uid="{6CB1FD3E-67BC-4DDE-AC2A-BC0046A63AEE}" name="Element 3"/>
    <tableColumn id="8" xr3:uid="{B9450C5A-56FD-49BE-8F61-838B568E8FDC}" name="Element 4"/>
    <tableColumn id="5" xr3:uid="{3E2726E7-0FBD-45C8-B460-31B3B367FAC2}" name="Element 5"/>
    <tableColumn id="4" xr3:uid="{D4B6C9FD-039B-41A3-9A26-214E52FA0716}" name="Profile"/>
  </tableColumns>
  <tableStyleInfo name="TableStyleMedium2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9E4490-80C1-4C0B-8AD2-D7D6B6697458}" name="tbl_PlaxisFiles" displayName="tbl_PlaxisFiles" ref="E2:H8" totalsRowShown="0">
  <tableColumns count="4">
    <tableColumn id="1" xr3:uid="{E4E60365-94A3-4591-9CDF-A5D414C834CC}" name="Path"/>
    <tableColumn id="2" xr3:uid="{E63C0302-699D-4DFE-8B91-F3E79942B59C}" name="Model Name" dataDxfId="15">
      <calculatedColumnFormula>IFERROR(MID(tbl_PlaxisFiles[[#This Row],[Path]],FIND(CHAR(1),SUBSTITUTE(tbl_PlaxisFiles[[#This Row],[Path]],"\",CHAR(1),LEN(tbl_PlaxisFiles[[#This Row],[Path]])-LEN(SUBSTITUTE(tbl_PlaxisFiles[[#This Row],[Path]],"\",""))))+1,FIND(CHAR(1),SUBSTITUTE(tbl_PlaxisFiles[[#This Row],[Path]],".",CHAR(1),LEN(tbl_PlaxisFiles[[#This Row],[Path]])-LEN(SUBSTITUTE(tbl_PlaxisFiles[[#This Row],[Path]],".",""))))-FIND(CHAR(1),SUBSTITUTE(tbl_PlaxisFiles[[#This Row],[Path]],"\",CHAR(1),LEN(tbl_PlaxisFiles[[#This Row],[Path]])-LEN(SUBSTITUTE(tbl_PlaxisFiles[[#This Row],[Path]],"\",""))))-1),"")</calculatedColumnFormula>
    </tableColumn>
    <tableColumn id="3" xr3:uid="{E8E31895-BC04-4177-9332-0B3140FF9317}" name="Action" dataDxfId="14"/>
    <tableColumn id="4" xr3:uid="{1DCDF4AC-E5FF-4FAE-985F-209C49268280}" name="Load Status" dataDxfId="13">
      <calculatedColumnFormula>IF(COUNTIF(_xlfn.ANCHORARRAY(_system!$N$2),tbl_PlaxisFiles[[#This Row],[Model Name]])&gt;0,"Loaded","Not Loaded")</calculatedColumnFormula>
    </tableColumn>
  </tableColumns>
  <tableStyleInfo name="TableStyleMedium2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FD30685-B130-4B06-9ECD-401DAA7620D4}" name="tbl_Settings" displayName="tbl_Settings" ref="A2:B13" totalsRowShown="0" headerRowDxfId="12" tableBorderDxfId="11">
  <tableColumns count="2">
    <tableColumn id="1" xr3:uid="{EFE14C0B-B907-4EA6-9FA0-E1A803439EB3}" name="Settings" dataDxfId="10"/>
    <tableColumn id="2" xr3:uid="{E267DD81-3E2C-4247-9BE7-7110F6CA1993}" name="Value" dataDxfId="9"/>
  </tableColumns>
  <tableStyleInfo name="TableStyleMedium2 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A0424F-7DDD-4011-B30C-6FEA77C1BD83}" name="tbl_Profiles" displayName="tbl_Profiles" ref="U2:AE23" totalsRowShown="0" tableBorderDxfId="8">
  <tableColumns count="11">
    <tableColumn id="1" xr3:uid="{7F3BBBD3-A841-4FCF-AD6B-9A9B90B97767}" name="No.">
      <calculatedColumnFormula array="1">ROW()-ROW(tbl_Profiles[#Headers])</calculatedColumnFormula>
    </tableColumn>
    <tableColumn id="2" xr3:uid="{D9CD6248-AC3B-4AE7-85E0-2BBC077668DF}" name="Name"/>
    <tableColumn id="3" xr3:uid="{3188BE14-6CD3-4733-B9DD-F53E9F45458D}" name="Element Type"/>
    <tableColumn id="4" xr3:uid="{BA13768A-9CEF-40AE-9997-4525CE5705A9}" name="Property 1" dataDxfId="7"/>
    <tableColumn id="5" xr3:uid="{9122B234-BA6F-456C-8331-0CD60EB01BB3}" name="Property 2" dataDxfId="6"/>
    <tableColumn id="6" xr3:uid="{398CBB24-CB50-4448-9215-CD063AE469CD}" name="Property 3" dataDxfId="5"/>
    <tableColumn id="7" xr3:uid="{1DF7D234-2756-47AC-842C-02F43C9540F2}" name="Property 4" dataDxfId="4"/>
    <tableColumn id="8" xr3:uid="{0B4B223C-4F0B-4760-8BD8-995F8251F083}" name="Property 5" dataDxfId="3"/>
    <tableColumn id="9" xr3:uid="{BAB56C37-C1D5-4E9D-A14F-AB655FA1A253}" name="Property 6" dataDxfId="2"/>
    <tableColumn id="10" xr3:uid="{98B0D898-844C-4992-AFC7-B57B42CE8D43}" name="Property 7" dataDxfId="1"/>
    <tableColumn id="11" xr3:uid="{96C27650-449E-4152-9184-EF3BEAD90BEC}" name="Property 8" dataDxfId="0"/>
  </tableColumns>
  <tableStyleInfo name="TableStyleMedium2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table" Target="../tables/table12.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11.xml"/><Relationship Id="rId2" Type="http://schemas.openxmlformats.org/officeDocument/2006/relationships/drawing" Target="../drawings/drawing1.xml"/><Relationship Id="rId16" Type="http://schemas.openxmlformats.org/officeDocument/2006/relationships/table" Target="../tables/table10.xml"/><Relationship Id="rId20"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table" Target="../tables/table13.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AAF6D-F0A9-410C-8818-91C44F5DB7F6}">
  <sheetPr codeName="Sheet0"/>
  <dimension ref="A1:N378"/>
  <sheetViews>
    <sheetView workbookViewId="0">
      <selection activeCell="J32" sqref="J32"/>
    </sheetView>
  </sheetViews>
  <sheetFormatPr defaultRowHeight="15" x14ac:dyDescent="0.25"/>
  <cols>
    <col min="1" max="1" width="27.140625" customWidth="1"/>
    <col min="2" max="2" width="22.7109375" bestFit="1" customWidth="1"/>
    <col min="3" max="3" width="23.7109375" customWidth="1"/>
    <col min="4" max="4" width="22.28515625" customWidth="1"/>
    <col min="5" max="5" width="17.28515625" customWidth="1"/>
    <col min="6" max="6" width="21.140625" customWidth="1"/>
    <col min="7" max="7" width="32.85546875" bestFit="1" customWidth="1"/>
    <col min="8" max="8" width="38.42578125" bestFit="1" customWidth="1"/>
    <col min="10" max="10" width="19.7109375" bestFit="1" customWidth="1"/>
    <col min="11" max="11" width="34.28515625" bestFit="1" customWidth="1"/>
    <col min="12" max="12" width="17.7109375" bestFit="1" customWidth="1"/>
    <col min="14" max="14" width="16.7109375" customWidth="1"/>
    <col min="15" max="15" width="19.7109375" bestFit="1" customWidth="1"/>
    <col min="16" max="16" width="19.42578125" bestFit="1" customWidth="1"/>
    <col min="17" max="17" width="15.5703125" bestFit="1" customWidth="1"/>
    <col min="18" max="18" width="8" bestFit="1" customWidth="1"/>
    <col min="19" max="19" width="9" customWidth="1"/>
  </cols>
  <sheetData>
    <row r="1" spans="1:14" x14ac:dyDescent="0.25">
      <c r="A1" t="s">
        <v>11</v>
      </c>
      <c r="B1" t="s">
        <v>12</v>
      </c>
      <c r="C1" t="s">
        <v>13</v>
      </c>
      <c r="D1" t="s">
        <v>14</v>
      </c>
      <c r="E1" t="s">
        <v>15</v>
      </c>
      <c r="F1" t="s">
        <v>16</v>
      </c>
      <c r="G1" t="s">
        <v>17</v>
      </c>
      <c r="H1" t="s">
        <v>18</v>
      </c>
      <c r="J1" t="s">
        <v>3</v>
      </c>
      <c r="K1" t="s">
        <v>248</v>
      </c>
      <c r="L1" t="s">
        <v>4</v>
      </c>
      <c r="N1" t="s">
        <v>255</v>
      </c>
    </row>
    <row r="2" spans="1:14" x14ac:dyDescent="0.25">
      <c r="A2" t="s">
        <v>19</v>
      </c>
      <c r="B2" t="s">
        <v>5</v>
      </c>
      <c r="C2" t="s">
        <v>5</v>
      </c>
      <c r="D2" t="s">
        <v>5</v>
      </c>
      <c r="E2" t="s">
        <v>5</v>
      </c>
      <c r="F2" t="s">
        <v>5</v>
      </c>
      <c r="G2" t="s">
        <v>20</v>
      </c>
      <c r="H2" s="2" t="s">
        <v>21</v>
      </c>
      <c r="J2" t="str">
        <f>IF(ISNUMBER(SEARCH("Phase",tbl_AllElements[[#This Row],[Element Name]])),"Phase",LEFT(tbl_AllElements[[#This Row],[Element Name]],FIND("_",tbl_AllElements[[#This Row],[Element Name]])-1))</f>
        <v>Phase</v>
      </c>
      <c r="K2" t="s">
        <v>1851</v>
      </c>
      <c r="L2" t="s">
        <v>260</v>
      </c>
      <c r="N2" t="str" cm="1">
        <f t="array" ref="N2:N7">_xlfn.UNIQUE(tbl_AllElements[Model])</f>
        <v>CR113_N_Case1,4_SLS_0.7EI_Hyd_a03BP1.0m</v>
      </c>
    </row>
    <row r="3" spans="1:14" x14ac:dyDescent="0.25">
      <c r="A3" t="s">
        <v>22</v>
      </c>
      <c r="B3" t="s">
        <v>23</v>
      </c>
      <c r="C3" t="s">
        <v>23</v>
      </c>
      <c r="D3" t="s">
        <v>23</v>
      </c>
      <c r="E3" t="s">
        <v>23</v>
      </c>
      <c r="F3" t="s">
        <v>23</v>
      </c>
      <c r="G3" t="s">
        <v>24</v>
      </c>
      <c r="H3" s="2"/>
      <c r="J3" t="str">
        <f>IF(ISNUMBER(SEARCH("Phase",tbl_AllElements[[#This Row],[Element Name]])),"Phase",LEFT(tbl_AllElements[[#This Row],[Element Name]],FIND("_",tbl_AllElements[[#This Row],[Element Name]])-1))</f>
        <v>Phase</v>
      </c>
      <c r="K3" t="s">
        <v>1851</v>
      </c>
      <c r="L3" t="s">
        <v>1852</v>
      </c>
      <c r="N3" t="str">
        <v>CR113_N_Case2_ULS1_1.0EI_Hyd_a03BP1.0m</v>
      </c>
    </row>
    <row r="4" spans="1:14" x14ac:dyDescent="0.25">
      <c r="A4" t="s">
        <v>5</v>
      </c>
      <c r="B4" t="s">
        <v>6</v>
      </c>
      <c r="C4" t="s">
        <v>10</v>
      </c>
      <c r="D4" t="s">
        <v>10</v>
      </c>
      <c r="E4" t="s">
        <v>6</v>
      </c>
      <c r="F4" t="s">
        <v>6</v>
      </c>
      <c r="G4" t="s">
        <v>25</v>
      </c>
      <c r="H4" s="2" t="s">
        <v>26</v>
      </c>
      <c r="J4" t="str">
        <f>IF(ISNUMBER(SEARCH("Phase",tbl_AllElements[[#This Row],[Element Name]])),"Phase",LEFT(tbl_AllElements[[#This Row],[Element Name]],FIND("_",tbl_AllElements[[#This Row],[Element Name]])-1))</f>
        <v>Phase</v>
      </c>
      <c r="K4" t="s">
        <v>1851</v>
      </c>
      <c r="L4" t="s">
        <v>1853</v>
      </c>
      <c r="N4" t="str">
        <v>CR113_N_Case3_ULS2_1.0EI_Hyd_a03BP1.0m</v>
      </c>
    </row>
    <row r="5" spans="1:14" x14ac:dyDescent="0.25">
      <c r="A5" t="s">
        <v>23</v>
      </c>
      <c r="B5" t="s">
        <v>9</v>
      </c>
      <c r="C5" t="s">
        <v>27</v>
      </c>
      <c r="D5" t="s">
        <v>27</v>
      </c>
      <c r="E5" t="s">
        <v>9</v>
      </c>
      <c r="F5" t="s">
        <v>9</v>
      </c>
      <c r="G5" t="s">
        <v>28</v>
      </c>
      <c r="H5" s="2" t="s">
        <v>29</v>
      </c>
      <c r="J5" t="str">
        <f>IF(ISNUMBER(SEARCH("Phase",tbl_AllElements[[#This Row],[Element Name]])),"Phase",LEFT(tbl_AllElements[[#This Row],[Element Name]],FIND("_",tbl_AllElements[[#This Row],[Element Name]])-1))</f>
        <v>Phase</v>
      </c>
      <c r="K5" t="s">
        <v>1851</v>
      </c>
      <c r="L5" t="s">
        <v>1854</v>
      </c>
      <c r="N5" t="str">
        <v>CR113_N_Case5,8_SLS_0.7EI_SpG_a03BP1.0m</v>
      </c>
    </row>
    <row r="6" spans="1:14" x14ac:dyDescent="0.25">
      <c r="A6" t="s">
        <v>27</v>
      </c>
      <c r="B6" t="s">
        <v>7</v>
      </c>
      <c r="C6" t="s">
        <v>30</v>
      </c>
      <c r="D6" t="s">
        <v>30</v>
      </c>
      <c r="E6" t="s">
        <v>7</v>
      </c>
      <c r="F6" t="s">
        <v>27</v>
      </c>
      <c r="G6" t="s">
        <v>31</v>
      </c>
      <c r="H6" s="2" t="s">
        <v>32</v>
      </c>
      <c r="J6" t="str">
        <f>IF(ISNUMBER(SEARCH("Phase",tbl_AllElements[[#This Row],[Element Name]])),"Phase",LEFT(tbl_AllElements[[#This Row],[Element Name]],FIND("_",tbl_AllElements[[#This Row],[Element Name]])-1))</f>
        <v>Phase</v>
      </c>
      <c r="K6" t="s">
        <v>1851</v>
      </c>
      <c r="L6" t="s">
        <v>1855</v>
      </c>
      <c r="N6" t="str">
        <v>CR113_N_Case6,7_ULS1_1.0EI_SpG_a03BP1.0m</v>
      </c>
    </row>
    <row r="7" spans="1:14" x14ac:dyDescent="0.25">
      <c r="A7" t="s">
        <v>30</v>
      </c>
      <c r="B7" t="s">
        <v>8</v>
      </c>
      <c r="C7" t="s">
        <v>33</v>
      </c>
      <c r="D7" t="s">
        <v>33</v>
      </c>
      <c r="E7" t="s">
        <v>8</v>
      </c>
      <c r="F7" t="s">
        <v>30</v>
      </c>
      <c r="G7" t="s">
        <v>34</v>
      </c>
      <c r="H7" s="2" t="s">
        <v>35</v>
      </c>
      <c r="J7" t="str">
        <f>IF(ISNUMBER(SEARCH("Phase",tbl_AllElements[[#This Row],[Element Name]])),"Phase",LEFT(tbl_AllElements[[#This Row],[Element Name]],FIND("_",tbl_AllElements[[#This Row],[Element Name]])-1))</f>
        <v>Phase</v>
      </c>
      <c r="K7" t="s">
        <v>1851</v>
      </c>
      <c r="L7" t="s">
        <v>1856</v>
      </c>
      <c r="N7" t="str">
        <v>CR113_N_CaseA_SLS_0.7EI_SpD_a03BP1.0m</v>
      </c>
    </row>
    <row r="8" spans="1:14" x14ac:dyDescent="0.25">
      <c r="A8" t="s">
        <v>33</v>
      </c>
      <c r="B8" t="s">
        <v>27</v>
      </c>
      <c r="C8" t="s">
        <v>36</v>
      </c>
      <c r="D8" t="s">
        <v>36</v>
      </c>
      <c r="E8" t="s">
        <v>27</v>
      </c>
      <c r="F8" t="s">
        <v>33</v>
      </c>
      <c r="G8" t="s">
        <v>37</v>
      </c>
      <c r="H8" s="2" t="s">
        <v>38</v>
      </c>
      <c r="J8" t="str">
        <f>IF(ISNUMBER(SEARCH("Phase",tbl_AllElements[[#This Row],[Element Name]])),"Phase",LEFT(tbl_AllElements[[#This Row],[Element Name]],FIND("_",tbl_AllElements[[#This Row],[Element Name]])-1))</f>
        <v>Phase</v>
      </c>
      <c r="K8" t="s">
        <v>1851</v>
      </c>
      <c r="L8" t="s">
        <v>1857</v>
      </c>
    </row>
    <row r="9" spans="1:14" x14ac:dyDescent="0.25">
      <c r="A9" t="s">
        <v>36</v>
      </c>
      <c r="B9" t="s">
        <v>30</v>
      </c>
      <c r="C9" t="s">
        <v>39</v>
      </c>
      <c r="D9" t="s">
        <v>39</v>
      </c>
      <c r="E9" t="s">
        <v>30</v>
      </c>
      <c r="F9" t="s">
        <v>36</v>
      </c>
      <c r="G9" t="s">
        <v>40</v>
      </c>
      <c r="H9" s="2" t="s">
        <v>41</v>
      </c>
      <c r="J9" t="str">
        <f>IF(ISNUMBER(SEARCH("Phase",tbl_AllElements[[#This Row],[Element Name]])),"Phase",LEFT(tbl_AllElements[[#This Row],[Element Name]],FIND("_",tbl_AllElements[[#This Row],[Element Name]])-1))</f>
        <v>Phase</v>
      </c>
      <c r="K9" t="s">
        <v>1851</v>
      </c>
      <c r="L9" t="s">
        <v>1858</v>
      </c>
    </row>
    <row r="10" spans="1:14" x14ac:dyDescent="0.25">
      <c r="A10" t="s">
        <v>39</v>
      </c>
      <c r="B10" t="s">
        <v>33</v>
      </c>
      <c r="C10" t="s">
        <v>42</v>
      </c>
      <c r="D10" t="s">
        <v>42</v>
      </c>
      <c r="E10" t="s">
        <v>33</v>
      </c>
      <c r="F10" t="s">
        <v>39</v>
      </c>
      <c r="G10" t="s">
        <v>43</v>
      </c>
      <c r="H10" s="2" t="s">
        <v>44</v>
      </c>
      <c r="J10" t="str">
        <f>IF(ISNUMBER(SEARCH("Phase",tbl_AllElements[[#This Row],[Element Name]])),"Phase",LEFT(tbl_AllElements[[#This Row],[Element Name]],FIND("_",tbl_AllElements[[#This Row],[Element Name]])-1))</f>
        <v>Phase</v>
      </c>
      <c r="K10" t="s">
        <v>1851</v>
      </c>
      <c r="L10" t="s">
        <v>1859</v>
      </c>
    </row>
    <row r="11" spans="1:14" x14ac:dyDescent="0.25">
      <c r="A11" t="s">
        <v>42</v>
      </c>
      <c r="B11" t="s">
        <v>36</v>
      </c>
      <c r="C11" t="s">
        <v>45</v>
      </c>
      <c r="D11" t="s">
        <v>45</v>
      </c>
      <c r="E11" t="s">
        <v>36</v>
      </c>
      <c r="F11" t="s">
        <v>42</v>
      </c>
      <c r="G11" t="s">
        <v>46</v>
      </c>
      <c r="H11" s="2" t="s">
        <v>47</v>
      </c>
      <c r="J11" t="str">
        <f>IF(ISNUMBER(SEARCH("Phase",tbl_AllElements[[#This Row],[Element Name]])),"Phase",LEFT(tbl_AllElements[[#This Row],[Element Name]],FIND("_",tbl_AllElements[[#This Row],[Element Name]])-1))</f>
        <v>Phase</v>
      </c>
      <c r="K11" t="s">
        <v>1851</v>
      </c>
      <c r="L11" t="s">
        <v>1860</v>
      </c>
    </row>
    <row r="12" spans="1:14" x14ac:dyDescent="0.25">
      <c r="A12" t="s">
        <v>45</v>
      </c>
      <c r="B12" t="s">
        <v>39</v>
      </c>
      <c r="C12" t="s">
        <v>48</v>
      </c>
      <c r="D12" t="s">
        <v>48</v>
      </c>
      <c r="E12" t="s">
        <v>39</v>
      </c>
      <c r="F12" t="s">
        <v>45</v>
      </c>
      <c r="G12" t="s">
        <v>49</v>
      </c>
      <c r="H12" s="2" t="s">
        <v>50</v>
      </c>
      <c r="J12" t="str">
        <f>IF(ISNUMBER(SEARCH("Phase",tbl_AllElements[[#This Row],[Element Name]])),"Phase",LEFT(tbl_AllElements[[#This Row],[Element Name]],FIND("_",tbl_AllElements[[#This Row],[Element Name]])-1))</f>
        <v>Phase</v>
      </c>
      <c r="K12" t="s">
        <v>1851</v>
      </c>
      <c r="L12" t="s">
        <v>1861</v>
      </c>
    </row>
    <row r="13" spans="1:14" x14ac:dyDescent="0.25">
      <c r="A13" t="s">
        <v>48</v>
      </c>
      <c r="B13" t="s">
        <v>42</v>
      </c>
      <c r="C13" t="s">
        <v>51</v>
      </c>
      <c r="D13" t="s">
        <v>51</v>
      </c>
      <c r="E13" t="s">
        <v>42</v>
      </c>
      <c r="F13" t="s">
        <v>48</v>
      </c>
      <c r="G13" t="s">
        <v>52</v>
      </c>
      <c r="H13" s="2" t="s">
        <v>53</v>
      </c>
      <c r="J13" t="str">
        <f>IF(ISNUMBER(SEARCH("Phase",tbl_AllElements[[#This Row],[Element Name]])),"Phase",LEFT(tbl_AllElements[[#This Row],[Element Name]],FIND("_",tbl_AllElements[[#This Row],[Element Name]])-1))</f>
        <v>Phase</v>
      </c>
      <c r="K13" t="s">
        <v>1851</v>
      </c>
      <c r="L13" t="s">
        <v>1862</v>
      </c>
    </row>
    <row r="14" spans="1:14" x14ac:dyDescent="0.25">
      <c r="A14" t="s">
        <v>51</v>
      </c>
      <c r="B14" t="s">
        <v>45</v>
      </c>
      <c r="C14" t="s">
        <v>54</v>
      </c>
      <c r="D14" t="s">
        <v>54</v>
      </c>
      <c r="E14" t="s">
        <v>45</v>
      </c>
      <c r="F14" t="s">
        <v>51</v>
      </c>
      <c r="G14" t="s">
        <v>55</v>
      </c>
      <c r="H14" s="2" t="s">
        <v>56</v>
      </c>
      <c r="J14" t="str">
        <f>IF(ISNUMBER(SEARCH("Phase",tbl_AllElements[[#This Row],[Element Name]])),"Phase",LEFT(tbl_AllElements[[#This Row],[Element Name]],FIND("_",tbl_AllElements[[#This Row],[Element Name]])-1))</f>
        <v>Phase</v>
      </c>
      <c r="K14" t="s">
        <v>1851</v>
      </c>
      <c r="L14" t="s">
        <v>1863</v>
      </c>
    </row>
    <row r="15" spans="1:14" x14ac:dyDescent="0.25">
      <c r="A15" t="s">
        <v>54</v>
      </c>
      <c r="B15" t="s">
        <v>48</v>
      </c>
      <c r="C15" t="s">
        <v>57</v>
      </c>
      <c r="D15" t="s">
        <v>57</v>
      </c>
      <c r="E15" t="s">
        <v>48</v>
      </c>
      <c r="F15" t="s">
        <v>54</v>
      </c>
      <c r="G15" t="s">
        <v>58</v>
      </c>
      <c r="H15" s="2" t="s">
        <v>59</v>
      </c>
      <c r="J15" t="str">
        <f>IF(ISNUMBER(SEARCH("Phase",tbl_AllElements[[#This Row],[Element Name]])),"Phase",LEFT(tbl_AllElements[[#This Row],[Element Name]],FIND("_",tbl_AllElements[[#This Row],[Element Name]])-1))</f>
        <v>Phase</v>
      </c>
      <c r="K15" t="s">
        <v>1851</v>
      </c>
      <c r="L15" t="s">
        <v>1864</v>
      </c>
    </row>
    <row r="16" spans="1:14" x14ac:dyDescent="0.25">
      <c r="A16" t="s">
        <v>57</v>
      </c>
      <c r="B16" t="s">
        <v>51</v>
      </c>
      <c r="C16" t="s">
        <v>60</v>
      </c>
      <c r="D16" t="s">
        <v>60</v>
      </c>
      <c r="E16" t="s">
        <v>51</v>
      </c>
      <c r="F16" t="s">
        <v>57</v>
      </c>
      <c r="G16" t="s">
        <v>61</v>
      </c>
      <c r="H16" s="2" t="s">
        <v>62</v>
      </c>
      <c r="J16" t="str">
        <f>IF(ISNUMBER(SEARCH("Phase",tbl_AllElements[[#This Row],[Element Name]])),"Phase",LEFT(tbl_AllElements[[#This Row],[Element Name]],FIND("_",tbl_AllElements[[#This Row],[Element Name]])-1))</f>
        <v>Phase</v>
      </c>
      <c r="K16" t="s">
        <v>1851</v>
      </c>
      <c r="L16" t="s">
        <v>1865</v>
      </c>
    </row>
    <row r="17" spans="1:12" x14ac:dyDescent="0.25">
      <c r="A17" t="s">
        <v>60</v>
      </c>
      <c r="B17" t="s">
        <v>54</v>
      </c>
      <c r="C17" t="s">
        <v>63</v>
      </c>
      <c r="D17" t="s">
        <v>63</v>
      </c>
      <c r="E17" t="s">
        <v>54</v>
      </c>
      <c r="F17" t="s">
        <v>60</v>
      </c>
      <c r="G17" t="s">
        <v>64</v>
      </c>
      <c r="H17" s="2" t="s">
        <v>65</v>
      </c>
      <c r="J17" t="str">
        <f>IF(ISNUMBER(SEARCH("Phase",tbl_AllElements[[#This Row],[Element Name]])),"Phase",LEFT(tbl_AllElements[[#This Row],[Element Name]],FIND("_",tbl_AllElements[[#This Row],[Element Name]])-1))</f>
        <v>Phase</v>
      </c>
      <c r="K17" t="s">
        <v>1851</v>
      </c>
      <c r="L17" t="s">
        <v>1866</v>
      </c>
    </row>
    <row r="18" spans="1:12" x14ac:dyDescent="0.25">
      <c r="A18" t="s">
        <v>63</v>
      </c>
      <c r="B18" t="s">
        <v>57</v>
      </c>
      <c r="C18" t="s">
        <v>66</v>
      </c>
      <c r="D18" t="s">
        <v>66</v>
      </c>
      <c r="E18" t="s">
        <v>57</v>
      </c>
      <c r="F18" t="s">
        <v>63</v>
      </c>
      <c r="G18" t="s">
        <v>67</v>
      </c>
      <c r="H18" s="2" t="s">
        <v>68</v>
      </c>
      <c r="J18" t="str">
        <f>IF(ISNUMBER(SEARCH("Phase",tbl_AllElements[[#This Row],[Element Name]])),"Phase",LEFT(tbl_AllElements[[#This Row],[Element Name]],FIND("_",tbl_AllElements[[#This Row],[Element Name]])-1))</f>
        <v>Phase</v>
      </c>
      <c r="K18" t="s">
        <v>1851</v>
      </c>
      <c r="L18" t="s">
        <v>1867</v>
      </c>
    </row>
    <row r="19" spans="1:12" x14ac:dyDescent="0.25">
      <c r="A19" t="s">
        <v>69</v>
      </c>
      <c r="B19" t="s">
        <v>60</v>
      </c>
      <c r="C19" t="s">
        <v>70</v>
      </c>
      <c r="D19" t="s">
        <v>70</v>
      </c>
      <c r="E19" t="s">
        <v>60</v>
      </c>
      <c r="F19" t="s">
        <v>66</v>
      </c>
      <c r="H19" s="2" t="s">
        <v>71</v>
      </c>
      <c r="J19" t="str">
        <f>IF(ISNUMBER(SEARCH("Phase",tbl_AllElements[[#This Row],[Element Name]])),"Phase",LEFT(tbl_AllElements[[#This Row],[Element Name]],FIND("_",tbl_AllElements[[#This Row],[Element Name]])-1))</f>
        <v>Phase</v>
      </c>
      <c r="K19" t="s">
        <v>1851</v>
      </c>
      <c r="L19" t="s">
        <v>1868</v>
      </c>
    </row>
    <row r="20" spans="1:12" x14ac:dyDescent="0.25">
      <c r="A20" t="s">
        <v>72</v>
      </c>
      <c r="B20" t="s">
        <v>63</v>
      </c>
      <c r="C20" t="s">
        <v>73</v>
      </c>
      <c r="D20" t="s">
        <v>73</v>
      </c>
      <c r="E20" t="s">
        <v>63</v>
      </c>
      <c r="F20" t="s">
        <v>74</v>
      </c>
      <c r="H20" s="2" t="s">
        <v>75</v>
      </c>
      <c r="J20" t="str">
        <f>IF(ISNUMBER(SEARCH("Phase",tbl_AllElements[[#This Row],[Element Name]])),"Phase",LEFT(tbl_AllElements[[#This Row],[Element Name]],FIND("_",tbl_AllElements[[#This Row],[Element Name]])-1))</f>
        <v>Phase</v>
      </c>
      <c r="K20" t="s">
        <v>1851</v>
      </c>
      <c r="L20" t="s">
        <v>1869</v>
      </c>
    </row>
    <row r="21" spans="1:12" x14ac:dyDescent="0.25">
      <c r="A21" t="s">
        <v>76</v>
      </c>
      <c r="B21" t="s">
        <v>74</v>
      </c>
      <c r="C21" t="s">
        <v>77</v>
      </c>
      <c r="D21" t="s">
        <v>78</v>
      </c>
      <c r="E21" t="s">
        <v>69</v>
      </c>
      <c r="F21" t="s">
        <v>79</v>
      </c>
      <c r="H21" s="2" t="s">
        <v>80</v>
      </c>
      <c r="J21" t="str">
        <f>IF(ISNUMBER(SEARCH("Phase",tbl_AllElements[[#This Row],[Element Name]])),"Phase",LEFT(tbl_AllElements[[#This Row],[Element Name]],FIND("_",tbl_AllElements[[#This Row],[Element Name]])-1))</f>
        <v>Phase</v>
      </c>
      <c r="K21" t="s">
        <v>1851</v>
      </c>
      <c r="L21" t="s">
        <v>1870</v>
      </c>
    </row>
    <row r="22" spans="1:12" x14ac:dyDescent="0.25">
      <c r="A22" t="s">
        <v>81</v>
      </c>
      <c r="B22" t="s">
        <v>79</v>
      </c>
      <c r="C22" t="s">
        <v>82</v>
      </c>
      <c r="D22" t="s">
        <v>83</v>
      </c>
      <c r="E22" t="s">
        <v>72</v>
      </c>
      <c r="F22" t="s">
        <v>84</v>
      </c>
      <c r="H22" s="2" t="s">
        <v>85</v>
      </c>
      <c r="J22" t="str">
        <f>IF(ISNUMBER(SEARCH("Phase",tbl_AllElements[[#This Row],[Element Name]])),"Phase",LEFT(tbl_AllElements[[#This Row],[Element Name]],FIND("_",tbl_AllElements[[#This Row],[Element Name]])-1))</f>
        <v>Phase</v>
      </c>
      <c r="K22" t="s">
        <v>1851</v>
      </c>
      <c r="L22" t="s">
        <v>1871</v>
      </c>
    </row>
    <row r="23" spans="1:12" x14ac:dyDescent="0.25">
      <c r="A23" t="s">
        <v>86</v>
      </c>
      <c r="B23" t="s">
        <v>84</v>
      </c>
      <c r="C23" t="s">
        <v>87</v>
      </c>
      <c r="D23" t="s">
        <v>82</v>
      </c>
      <c r="E23" t="s">
        <v>76</v>
      </c>
      <c r="F23" t="s">
        <v>88</v>
      </c>
      <c r="H23" s="2" t="s">
        <v>89</v>
      </c>
      <c r="J23" t="str">
        <f>IF(ISNUMBER(SEARCH("Phase",tbl_AllElements[[#This Row],[Element Name]])),"Phase",LEFT(tbl_AllElements[[#This Row],[Element Name]],FIND("_",tbl_AllElements[[#This Row],[Element Name]])-1))</f>
        <v>Phase</v>
      </c>
      <c r="K23" t="s">
        <v>1851</v>
      </c>
      <c r="L23" t="s">
        <v>1872</v>
      </c>
    </row>
    <row r="24" spans="1:12" x14ac:dyDescent="0.25">
      <c r="A24" t="s">
        <v>90</v>
      </c>
      <c r="B24" t="s">
        <v>88</v>
      </c>
      <c r="C24" t="s">
        <v>91</v>
      </c>
      <c r="D24" t="s">
        <v>87</v>
      </c>
      <c r="E24" t="s">
        <v>81</v>
      </c>
      <c r="F24" t="s">
        <v>92</v>
      </c>
      <c r="H24" s="2" t="s">
        <v>93</v>
      </c>
      <c r="J24" t="str">
        <f>IF(ISNUMBER(SEARCH("Phase",tbl_AllElements[[#This Row],[Element Name]])),"Phase",LEFT(tbl_AllElements[[#This Row],[Element Name]],FIND("_",tbl_AllElements[[#This Row],[Element Name]])-1))</f>
        <v>Phase</v>
      </c>
      <c r="K24" t="s">
        <v>1851</v>
      </c>
      <c r="L24" t="s">
        <v>1873</v>
      </c>
    </row>
    <row r="25" spans="1:12" x14ac:dyDescent="0.25">
      <c r="A25" t="s">
        <v>94</v>
      </c>
      <c r="B25" t="s">
        <v>95</v>
      </c>
      <c r="C25" t="s">
        <v>96</v>
      </c>
      <c r="D25" t="s">
        <v>91</v>
      </c>
      <c r="E25" t="s">
        <v>86</v>
      </c>
      <c r="F25" t="s">
        <v>82</v>
      </c>
      <c r="H25" s="2" t="s">
        <v>97</v>
      </c>
      <c r="J25" t="str">
        <f>IF(ISNUMBER(SEARCH("Phase",tbl_AllElements[[#This Row],[Element Name]])),"Phase",LEFT(tbl_AllElements[[#This Row],[Element Name]],FIND("_",tbl_AllElements[[#This Row],[Element Name]])-1))</f>
        <v>Phase</v>
      </c>
      <c r="K25" t="s">
        <v>1851</v>
      </c>
      <c r="L25" t="s">
        <v>1874</v>
      </c>
    </row>
    <row r="26" spans="1:12" x14ac:dyDescent="0.25">
      <c r="A26" t="s">
        <v>98</v>
      </c>
      <c r="B26" t="s">
        <v>99</v>
      </c>
      <c r="C26" t="s">
        <v>100</v>
      </c>
      <c r="D26" t="s">
        <v>96</v>
      </c>
      <c r="E26" t="s">
        <v>90</v>
      </c>
      <c r="F26" t="s">
        <v>87</v>
      </c>
      <c r="H26" s="2" t="s">
        <v>101</v>
      </c>
      <c r="J26" t="str">
        <f>IF(ISNUMBER(SEARCH("Phase",tbl_AllElements[[#This Row],[Element Name]])),"Phase",LEFT(tbl_AllElements[[#This Row],[Element Name]],FIND("_",tbl_AllElements[[#This Row],[Element Name]])-1))</f>
        <v>Phase</v>
      </c>
      <c r="K26" t="s">
        <v>1851</v>
      </c>
      <c r="L26" t="s">
        <v>1875</v>
      </c>
    </row>
    <row r="27" spans="1:12" x14ac:dyDescent="0.25">
      <c r="A27" t="s">
        <v>102</v>
      </c>
      <c r="B27" t="s">
        <v>103</v>
      </c>
      <c r="C27" t="s">
        <v>104</v>
      </c>
      <c r="D27" t="s">
        <v>100</v>
      </c>
      <c r="E27" t="s">
        <v>94</v>
      </c>
      <c r="F27" t="s">
        <v>91</v>
      </c>
      <c r="H27" s="2" t="s">
        <v>105</v>
      </c>
      <c r="J27" t="str">
        <f>IF(ISNUMBER(SEARCH("Phase",tbl_AllElements[[#This Row],[Element Name]])),"Phase",LEFT(tbl_AllElements[[#This Row],[Element Name]],FIND("_",tbl_AllElements[[#This Row],[Element Name]])-1))</f>
        <v>Phase</v>
      </c>
      <c r="K27" t="s">
        <v>1851</v>
      </c>
      <c r="L27" t="s">
        <v>1876</v>
      </c>
    </row>
    <row r="28" spans="1:12" x14ac:dyDescent="0.25">
      <c r="A28" t="s">
        <v>106</v>
      </c>
      <c r="B28" t="s">
        <v>107</v>
      </c>
      <c r="C28" t="s">
        <v>108</v>
      </c>
      <c r="D28" t="s">
        <v>104</v>
      </c>
      <c r="E28" t="s">
        <v>98</v>
      </c>
      <c r="F28" t="s">
        <v>109</v>
      </c>
      <c r="H28" s="2" t="s">
        <v>110</v>
      </c>
      <c r="J28" t="str">
        <f>IF(ISNUMBER(SEARCH("Phase",tbl_AllElements[[#This Row],[Element Name]])),"Phase",LEFT(tbl_AllElements[[#This Row],[Element Name]],FIND("_",tbl_AllElements[[#This Row],[Element Name]])-1))</f>
        <v>Phase</v>
      </c>
      <c r="K28" t="s">
        <v>1851</v>
      </c>
      <c r="L28" t="s">
        <v>1877</v>
      </c>
    </row>
    <row r="29" spans="1:12" x14ac:dyDescent="0.25">
      <c r="A29" t="s">
        <v>111</v>
      </c>
      <c r="B29" t="s">
        <v>66</v>
      </c>
      <c r="C29" t="s">
        <v>112</v>
      </c>
      <c r="D29" t="s">
        <v>108</v>
      </c>
      <c r="E29" t="s">
        <v>102</v>
      </c>
      <c r="F29" t="s">
        <v>96</v>
      </c>
      <c r="H29" s="2" t="s">
        <v>113</v>
      </c>
      <c r="J29" t="str">
        <f>IF(ISNUMBER(SEARCH("Phase",tbl_AllElements[[#This Row],[Element Name]])),"Phase",LEFT(tbl_AllElements[[#This Row],[Element Name]],FIND("_",tbl_AllElements[[#This Row],[Element Name]])-1))</f>
        <v>Phase</v>
      </c>
      <c r="K29" t="s">
        <v>1851</v>
      </c>
      <c r="L29" t="s">
        <v>1878</v>
      </c>
    </row>
    <row r="30" spans="1:12" x14ac:dyDescent="0.25">
      <c r="A30" t="s">
        <v>114</v>
      </c>
      <c r="B30" t="s">
        <v>82</v>
      </c>
      <c r="C30" t="s">
        <v>115</v>
      </c>
      <c r="D30" t="s">
        <v>112</v>
      </c>
      <c r="E30" t="s">
        <v>116</v>
      </c>
      <c r="F30" t="s">
        <v>100</v>
      </c>
      <c r="H30" s="2" t="s">
        <v>117</v>
      </c>
      <c r="J30" t="str">
        <f>IF(ISNUMBER(SEARCH("Phase",tbl_AllElements[[#This Row],[Element Name]])),"Phase",LEFT(tbl_AllElements[[#This Row],[Element Name]],FIND("_",tbl_AllElements[[#This Row],[Element Name]])-1))</f>
        <v>Phase</v>
      </c>
      <c r="K30" t="s">
        <v>1851</v>
      </c>
      <c r="L30" t="s">
        <v>1879</v>
      </c>
    </row>
    <row r="31" spans="1:12" x14ac:dyDescent="0.25">
      <c r="A31" t="s">
        <v>66</v>
      </c>
      <c r="B31" t="s">
        <v>87</v>
      </c>
      <c r="C31" t="s">
        <v>118</v>
      </c>
      <c r="D31" t="s">
        <v>115</v>
      </c>
      <c r="E31" t="s">
        <v>119</v>
      </c>
      <c r="F31" t="s">
        <v>104</v>
      </c>
      <c r="H31" s="2" t="s">
        <v>120</v>
      </c>
      <c r="J31" t="str">
        <f>IF(ISNUMBER(SEARCH("Phase",tbl_AllElements[[#This Row],[Element Name]])),"Phase",LEFT(tbl_AllElements[[#This Row],[Element Name]],FIND("_",tbl_AllElements[[#This Row],[Element Name]])-1))</f>
        <v>Phase</v>
      </c>
      <c r="K31" t="s">
        <v>1851</v>
      </c>
      <c r="L31" t="s">
        <v>1880</v>
      </c>
    </row>
    <row r="32" spans="1:12" x14ac:dyDescent="0.25">
      <c r="A32" t="s">
        <v>121</v>
      </c>
      <c r="B32" t="s">
        <v>91</v>
      </c>
      <c r="C32" t="s">
        <v>122</v>
      </c>
      <c r="D32" t="s">
        <v>123</v>
      </c>
      <c r="E32" t="s">
        <v>74</v>
      </c>
      <c r="F32" t="s">
        <v>108</v>
      </c>
      <c r="H32" s="2" t="s">
        <v>124</v>
      </c>
      <c r="J32" t="str">
        <f>IF(ISNUMBER(SEARCH("Phase",tbl_AllElements[[#This Row],[Element Name]])),"Phase",LEFT(tbl_AllElements[[#This Row],[Element Name]],FIND("_",tbl_AllElements[[#This Row],[Element Name]])-1))</f>
        <v>Phase</v>
      </c>
      <c r="K32" t="s">
        <v>1851</v>
      </c>
      <c r="L32" t="s">
        <v>1881</v>
      </c>
    </row>
    <row r="33" spans="1:12" x14ac:dyDescent="0.25">
      <c r="A33" t="s">
        <v>125</v>
      </c>
      <c r="B33" t="s">
        <v>96</v>
      </c>
      <c r="C33" t="s">
        <v>126</v>
      </c>
      <c r="D33" t="s">
        <v>118</v>
      </c>
      <c r="E33" t="s">
        <v>79</v>
      </c>
      <c r="F33" t="s">
        <v>112</v>
      </c>
      <c r="H33" s="2" t="s">
        <v>127</v>
      </c>
      <c r="J33" t="str">
        <f>IF(ISNUMBER(SEARCH("Phase",tbl_AllElements[[#This Row],[Element Name]])),"Phase",LEFT(tbl_AllElements[[#This Row],[Element Name]],FIND("_",tbl_AllElements[[#This Row],[Element Name]])-1))</f>
        <v>Phase</v>
      </c>
      <c r="K33" t="s">
        <v>1851</v>
      </c>
      <c r="L33" t="s">
        <v>1882</v>
      </c>
    </row>
    <row r="34" spans="1:12" x14ac:dyDescent="0.25">
      <c r="A34" t="s">
        <v>128</v>
      </c>
      <c r="B34" t="s">
        <v>100</v>
      </c>
      <c r="C34" t="s">
        <v>129</v>
      </c>
      <c r="D34" t="s">
        <v>122</v>
      </c>
      <c r="E34" t="s">
        <v>84</v>
      </c>
      <c r="F34" t="s">
        <v>115</v>
      </c>
      <c r="H34" s="2" t="s">
        <v>130</v>
      </c>
      <c r="J34" t="str">
        <f>IF(ISNUMBER(SEARCH("Phase",tbl_AllElements[[#This Row],[Element Name]])),"Phase",LEFT(tbl_AllElements[[#This Row],[Element Name]],FIND("_",tbl_AllElements[[#This Row],[Element Name]])-1))</f>
        <v>Phase</v>
      </c>
      <c r="K34" t="s">
        <v>1851</v>
      </c>
      <c r="L34" t="s">
        <v>1883</v>
      </c>
    </row>
    <row r="35" spans="1:12" x14ac:dyDescent="0.25">
      <c r="A35" t="s">
        <v>92</v>
      </c>
      <c r="B35" t="s">
        <v>104</v>
      </c>
      <c r="C35" t="s">
        <v>131</v>
      </c>
      <c r="D35" t="s">
        <v>126</v>
      </c>
      <c r="E35" t="s">
        <v>88</v>
      </c>
      <c r="F35" t="s">
        <v>132</v>
      </c>
      <c r="H35" s="2" t="s">
        <v>133</v>
      </c>
      <c r="J35" t="str">
        <f>IF(ISNUMBER(SEARCH("Phase",tbl_AllElements[[#This Row],[Element Name]])),"Phase",LEFT(tbl_AllElements[[#This Row],[Element Name]],FIND("_",tbl_AllElements[[#This Row],[Element Name]])-1))</f>
        <v>Phase</v>
      </c>
      <c r="K35" t="s">
        <v>1851</v>
      </c>
      <c r="L35" t="s">
        <v>1884</v>
      </c>
    </row>
    <row r="36" spans="1:12" x14ac:dyDescent="0.25">
      <c r="A36" t="s">
        <v>134</v>
      </c>
      <c r="B36" t="s">
        <v>108</v>
      </c>
      <c r="C36" t="s">
        <v>135</v>
      </c>
      <c r="D36" t="s">
        <v>129</v>
      </c>
      <c r="E36" t="s">
        <v>95</v>
      </c>
      <c r="F36" t="s">
        <v>136</v>
      </c>
      <c r="H36" s="2" t="s">
        <v>137</v>
      </c>
      <c r="J36" t="str">
        <f>IF(ISNUMBER(SEARCH("Phase",tbl_AllElements[[#This Row],[Element Name]])),"Phase",LEFT(tbl_AllElements[[#This Row],[Element Name]],FIND("_",tbl_AllElements[[#This Row],[Element Name]])-1))</f>
        <v>Phase</v>
      </c>
      <c r="K36" t="s">
        <v>1851</v>
      </c>
      <c r="L36" t="s">
        <v>1885</v>
      </c>
    </row>
    <row r="37" spans="1:12" x14ac:dyDescent="0.25">
      <c r="A37" t="s">
        <v>82</v>
      </c>
      <c r="B37" t="s">
        <v>112</v>
      </c>
      <c r="C37" t="s">
        <v>138</v>
      </c>
      <c r="D37" t="s">
        <v>131</v>
      </c>
      <c r="E37" t="s">
        <v>99</v>
      </c>
      <c r="F37" t="s">
        <v>118</v>
      </c>
      <c r="H37" s="2" t="s">
        <v>139</v>
      </c>
      <c r="J37" t="str">
        <f>IF(ISNUMBER(SEARCH("Phase",tbl_AllElements[[#This Row],[Element Name]])),"Phase",LEFT(tbl_AllElements[[#This Row],[Element Name]],FIND("_",tbl_AllElements[[#This Row],[Element Name]])-1))</f>
        <v>Phase</v>
      </c>
      <c r="K37" t="s">
        <v>1851</v>
      </c>
      <c r="L37" t="s">
        <v>1886</v>
      </c>
    </row>
    <row r="38" spans="1:12" x14ac:dyDescent="0.25">
      <c r="A38" t="s">
        <v>87</v>
      </c>
      <c r="B38" t="s">
        <v>115</v>
      </c>
      <c r="C38" t="s">
        <v>140</v>
      </c>
      <c r="D38" t="s">
        <v>135</v>
      </c>
      <c r="E38" t="s">
        <v>103</v>
      </c>
      <c r="F38" t="s">
        <v>122</v>
      </c>
      <c r="H38" s="2" t="s">
        <v>141</v>
      </c>
      <c r="J38" t="str">
        <f>IF(ISNUMBER(SEARCH("Phase",tbl_AllElements[[#This Row],[Element Name]])),"Phase",LEFT(tbl_AllElements[[#This Row],[Element Name]],FIND("_",tbl_AllElements[[#This Row],[Element Name]])-1))</f>
        <v>Phase</v>
      </c>
      <c r="K38" t="s">
        <v>1851</v>
      </c>
      <c r="L38" t="s">
        <v>1887</v>
      </c>
    </row>
    <row r="39" spans="1:12" x14ac:dyDescent="0.25">
      <c r="A39" t="s">
        <v>91</v>
      </c>
      <c r="B39" t="s">
        <v>142</v>
      </c>
      <c r="C39" t="s">
        <v>143</v>
      </c>
      <c r="D39" t="s">
        <v>138</v>
      </c>
      <c r="E39" t="s">
        <v>107</v>
      </c>
      <c r="F39" t="s">
        <v>126</v>
      </c>
      <c r="H39" s="2" t="s">
        <v>144</v>
      </c>
      <c r="J39" t="str">
        <f>IF(ISNUMBER(SEARCH("Phase",tbl_AllElements[[#This Row],[Element Name]])),"Phase",LEFT(tbl_AllElements[[#This Row],[Element Name]],FIND("_",tbl_AllElements[[#This Row],[Element Name]])-1))</f>
        <v>Phase</v>
      </c>
      <c r="K39" t="s">
        <v>1851</v>
      </c>
      <c r="L39" t="s">
        <v>1888</v>
      </c>
    </row>
    <row r="40" spans="1:12" x14ac:dyDescent="0.25">
      <c r="A40" t="s">
        <v>145</v>
      </c>
      <c r="B40" t="s">
        <v>132</v>
      </c>
      <c r="C40" t="s">
        <v>146</v>
      </c>
      <c r="D40" t="s">
        <v>140</v>
      </c>
      <c r="E40" t="s">
        <v>66</v>
      </c>
      <c r="F40" t="s">
        <v>129</v>
      </c>
      <c r="H40" s="2" t="s">
        <v>147</v>
      </c>
      <c r="J40" t="str">
        <f>IF(ISNUMBER(SEARCH("Phase",tbl_AllElements[[#This Row],[Element Name]])),"Phase",LEFT(tbl_AllElements[[#This Row],[Element Name]],FIND("_",tbl_AllElements[[#This Row],[Element Name]])-1))</f>
        <v>Phase</v>
      </c>
      <c r="K40" t="s">
        <v>1851</v>
      </c>
      <c r="L40" t="s">
        <v>1889</v>
      </c>
    </row>
    <row r="41" spans="1:12" x14ac:dyDescent="0.25">
      <c r="A41" t="s">
        <v>148</v>
      </c>
      <c r="B41" t="s">
        <v>149</v>
      </c>
      <c r="C41" t="s">
        <v>150</v>
      </c>
      <c r="D41" t="s">
        <v>143</v>
      </c>
      <c r="E41" t="s">
        <v>151</v>
      </c>
      <c r="F41" t="s">
        <v>131</v>
      </c>
      <c r="H41" s="2" t="s">
        <v>152</v>
      </c>
      <c r="J41" t="str">
        <f>IF(ISNUMBER(SEARCH("Phase",tbl_AllElements[[#This Row],[Element Name]])),"Phase",LEFT(tbl_AllElements[[#This Row],[Element Name]],FIND("_",tbl_AllElements[[#This Row],[Element Name]])-1))</f>
        <v>Plate</v>
      </c>
      <c r="K41" t="s">
        <v>1851</v>
      </c>
      <c r="L41" t="s">
        <v>244</v>
      </c>
    </row>
    <row r="42" spans="1:12" x14ac:dyDescent="0.25">
      <c r="A42" t="s">
        <v>153</v>
      </c>
      <c r="B42" t="s">
        <v>154</v>
      </c>
      <c r="C42" t="s">
        <v>155</v>
      </c>
      <c r="D42" t="s">
        <v>146</v>
      </c>
      <c r="E42" t="s">
        <v>82</v>
      </c>
      <c r="F42" t="s">
        <v>135</v>
      </c>
      <c r="H42" s="2" t="s">
        <v>156</v>
      </c>
      <c r="J42" t="str">
        <f>IF(ISNUMBER(SEARCH("Phase",tbl_AllElements[[#This Row],[Element Name]])),"Phase",LEFT(tbl_AllElements[[#This Row],[Element Name]],FIND("_",tbl_AllElements[[#This Row],[Element Name]])-1))</f>
        <v>Plate</v>
      </c>
      <c r="K42" t="s">
        <v>1851</v>
      </c>
      <c r="L42" t="s">
        <v>245</v>
      </c>
    </row>
    <row r="43" spans="1:12" x14ac:dyDescent="0.25">
      <c r="A43" t="s">
        <v>96</v>
      </c>
      <c r="B43" t="s">
        <v>136</v>
      </c>
      <c r="C43" t="s">
        <v>157</v>
      </c>
      <c r="D43" t="s">
        <v>150</v>
      </c>
      <c r="E43" t="s">
        <v>87</v>
      </c>
      <c r="F43" t="s">
        <v>138</v>
      </c>
      <c r="H43" s="2" t="s">
        <v>158</v>
      </c>
      <c r="J43" t="str">
        <f>IF(ISNUMBER(SEARCH("Phase",tbl_AllElements[[#This Row],[Element Name]])),"Phase",LEFT(tbl_AllElements[[#This Row],[Element Name]],FIND("_",tbl_AllElements[[#This Row],[Element Name]])-1))</f>
        <v>Plate</v>
      </c>
      <c r="K43" t="s">
        <v>1851</v>
      </c>
      <c r="L43" t="s">
        <v>254</v>
      </c>
    </row>
    <row r="44" spans="1:12" x14ac:dyDescent="0.25">
      <c r="A44" t="s">
        <v>100</v>
      </c>
      <c r="B44" t="s">
        <v>118</v>
      </c>
      <c r="C44" t="s">
        <v>159</v>
      </c>
      <c r="D44" t="s">
        <v>155</v>
      </c>
      <c r="E44" t="s">
        <v>91</v>
      </c>
      <c r="F44" t="s">
        <v>140</v>
      </c>
      <c r="H44" s="2" t="s">
        <v>160</v>
      </c>
      <c r="J44" t="str">
        <f>IF(ISNUMBER(SEARCH("Phase",tbl_AllElements[[#This Row],[Element Name]])),"Phase",LEFT(tbl_AllElements[[#This Row],[Element Name]],FIND("_",tbl_AllElements[[#This Row],[Element Name]])-1))</f>
        <v>Plate</v>
      </c>
      <c r="K44" t="s">
        <v>1851</v>
      </c>
      <c r="L44" t="s">
        <v>1847</v>
      </c>
    </row>
    <row r="45" spans="1:12" x14ac:dyDescent="0.25">
      <c r="A45" t="s">
        <v>104</v>
      </c>
      <c r="B45" t="s">
        <v>122</v>
      </c>
      <c r="C45" t="s">
        <v>161</v>
      </c>
      <c r="D45" t="s">
        <v>157</v>
      </c>
      <c r="E45" t="s">
        <v>96</v>
      </c>
      <c r="F45" t="s">
        <v>143</v>
      </c>
      <c r="H45" s="2" t="s">
        <v>162</v>
      </c>
      <c r="J45" t="str">
        <f>IF(ISNUMBER(SEARCH("Phase",tbl_AllElements[[#This Row],[Element Name]])),"Phase",LEFT(tbl_AllElements[[#This Row],[Element Name]],FIND("_",tbl_AllElements[[#This Row],[Element Name]])-1))</f>
        <v>Plate</v>
      </c>
      <c r="K45" t="s">
        <v>1851</v>
      </c>
      <c r="L45" t="s">
        <v>1848</v>
      </c>
    </row>
    <row r="46" spans="1:12" x14ac:dyDescent="0.25">
      <c r="A46" t="s">
        <v>108</v>
      </c>
      <c r="B46" t="s">
        <v>126</v>
      </c>
      <c r="C46" t="s">
        <v>163</v>
      </c>
      <c r="D46" t="s">
        <v>159</v>
      </c>
      <c r="E46" t="s">
        <v>100</v>
      </c>
      <c r="F46" t="s">
        <v>146</v>
      </c>
      <c r="H46" s="2" t="s">
        <v>164</v>
      </c>
      <c r="J46" t="str">
        <f>IF(ISNUMBER(SEARCH("Phase",tbl_AllElements[[#This Row],[Element Name]])),"Phase",LEFT(tbl_AllElements[[#This Row],[Element Name]],FIND("_",tbl_AllElements[[#This Row],[Element Name]])-1))</f>
        <v>Plate</v>
      </c>
      <c r="K46" t="s">
        <v>1851</v>
      </c>
      <c r="L46" t="s">
        <v>1849</v>
      </c>
    </row>
    <row r="47" spans="1:12" x14ac:dyDescent="0.25">
      <c r="A47" t="s">
        <v>112</v>
      </c>
      <c r="B47" t="s">
        <v>129</v>
      </c>
      <c r="C47" t="s">
        <v>165</v>
      </c>
      <c r="D47" t="s">
        <v>161</v>
      </c>
      <c r="E47" t="s">
        <v>104</v>
      </c>
      <c r="F47" t="s">
        <v>150</v>
      </c>
      <c r="H47" s="2" t="s">
        <v>166</v>
      </c>
      <c r="J47" t="str">
        <f>IF(ISNUMBER(SEARCH("Phase",tbl_AllElements[[#This Row],[Element Name]])),"Phase",LEFT(tbl_AllElements[[#This Row],[Element Name]],FIND("_",tbl_AllElements[[#This Row],[Element Name]])-1))</f>
        <v>Plate</v>
      </c>
      <c r="K47" t="s">
        <v>1851</v>
      </c>
      <c r="L47" t="s">
        <v>1890</v>
      </c>
    </row>
    <row r="48" spans="1:12" x14ac:dyDescent="0.25">
      <c r="A48" t="s">
        <v>115</v>
      </c>
      <c r="B48" t="s">
        <v>131</v>
      </c>
      <c r="C48" t="s">
        <v>167</v>
      </c>
      <c r="D48" t="s">
        <v>163</v>
      </c>
      <c r="E48" t="s">
        <v>108</v>
      </c>
      <c r="F48" t="s">
        <v>155</v>
      </c>
      <c r="H48" s="2" t="s">
        <v>168</v>
      </c>
      <c r="J48" t="str">
        <f>IF(ISNUMBER(SEARCH("Phase",tbl_AllElements[[#This Row],[Element Name]])),"Phase",LEFT(tbl_AllElements[[#This Row],[Element Name]],FIND("_",tbl_AllElements[[#This Row],[Element Name]])-1))</f>
        <v>EmbeddedBeamRow</v>
      </c>
      <c r="K48" t="s">
        <v>1851</v>
      </c>
      <c r="L48" t="s">
        <v>271</v>
      </c>
    </row>
    <row r="49" spans="1:12" x14ac:dyDescent="0.25">
      <c r="A49" t="s">
        <v>169</v>
      </c>
      <c r="B49" t="s">
        <v>135</v>
      </c>
      <c r="C49" t="s">
        <v>170</v>
      </c>
      <c r="D49" t="s">
        <v>165</v>
      </c>
      <c r="E49" t="s">
        <v>112</v>
      </c>
      <c r="F49" t="s">
        <v>157</v>
      </c>
      <c r="H49" s="2" t="s">
        <v>171</v>
      </c>
      <c r="J49" t="str">
        <f>IF(ISNUMBER(SEARCH("Phase",tbl_AllElements[[#This Row],[Element Name]])),"Phase",LEFT(tbl_AllElements[[#This Row],[Element Name]],FIND("_",tbl_AllElements[[#This Row],[Element Name]])-1))</f>
        <v>EmbeddedBeamRow</v>
      </c>
      <c r="K49" t="s">
        <v>1851</v>
      </c>
      <c r="L49" t="s">
        <v>261</v>
      </c>
    </row>
    <row r="50" spans="1:12" x14ac:dyDescent="0.25">
      <c r="A50" t="s">
        <v>142</v>
      </c>
      <c r="B50" t="s">
        <v>138</v>
      </c>
      <c r="C50" t="s">
        <v>172</v>
      </c>
      <c r="D50" t="s">
        <v>167</v>
      </c>
      <c r="E50" t="s">
        <v>115</v>
      </c>
      <c r="F50" t="s">
        <v>159</v>
      </c>
      <c r="H50" s="2" t="s">
        <v>173</v>
      </c>
      <c r="J50" t="str">
        <f>IF(ISNUMBER(SEARCH("Phase",tbl_AllElements[[#This Row],[Element Name]])),"Phase",LEFT(tbl_AllElements[[#This Row],[Element Name]],FIND("_",tbl_AllElements[[#This Row],[Element Name]])-1))</f>
        <v>EmbeddedBeamRow</v>
      </c>
      <c r="K50" t="s">
        <v>1851</v>
      </c>
      <c r="L50" t="s">
        <v>262</v>
      </c>
    </row>
    <row r="51" spans="1:12" x14ac:dyDescent="0.25">
      <c r="A51" t="s">
        <v>174</v>
      </c>
      <c r="B51" t="s">
        <v>140</v>
      </c>
      <c r="C51" t="s">
        <v>175</v>
      </c>
      <c r="D51" t="s">
        <v>170</v>
      </c>
      <c r="E51" t="s">
        <v>118</v>
      </c>
      <c r="F51" t="s">
        <v>161</v>
      </c>
      <c r="H51" s="2" t="s">
        <v>176</v>
      </c>
      <c r="J51" t="str">
        <f>IF(ISNUMBER(SEARCH("Phase",tbl_AllElements[[#This Row],[Element Name]])),"Phase",LEFT(tbl_AllElements[[#This Row],[Element Name]],FIND("_",tbl_AllElements[[#This Row],[Element Name]])-1))</f>
        <v>EmbeddedBeamRow</v>
      </c>
      <c r="K51" t="s">
        <v>1851</v>
      </c>
      <c r="L51" t="s">
        <v>263</v>
      </c>
    </row>
    <row r="52" spans="1:12" x14ac:dyDescent="0.25">
      <c r="A52" t="s">
        <v>177</v>
      </c>
      <c r="B52" t="s">
        <v>143</v>
      </c>
      <c r="C52" t="s">
        <v>178</v>
      </c>
      <c r="D52" t="s">
        <v>172</v>
      </c>
      <c r="E52" t="s">
        <v>122</v>
      </c>
      <c r="F52" t="s">
        <v>163</v>
      </c>
      <c r="H52" s="2" t="s">
        <v>179</v>
      </c>
      <c r="J52" t="str">
        <f>IF(ISNUMBER(SEARCH("Phase",tbl_AllElements[[#This Row],[Element Name]])),"Phase",LEFT(tbl_AllElements[[#This Row],[Element Name]],FIND("_",tbl_AllElements[[#This Row],[Element Name]])-1))</f>
        <v>EmbeddedBeamRow</v>
      </c>
      <c r="K52" t="s">
        <v>1851</v>
      </c>
      <c r="L52" t="s">
        <v>264</v>
      </c>
    </row>
    <row r="53" spans="1:12" x14ac:dyDescent="0.25">
      <c r="A53" t="s">
        <v>180</v>
      </c>
      <c r="B53" t="s">
        <v>146</v>
      </c>
      <c r="C53" t="s">
        <v>181</v>
      </c>
      <c r="D53" t="s">
        <v>175</v>
      </c>
      <c r="E53" t="s">
        <v>126</v>
      </c>
      <c r="F53" t="s">
        <v>165</v>
      </c>
      <c r="H53" s="2" t="s">
        <v>182</v>
      </c>
      <c r="J53" t="str">
        <f>IF(ISNUMBER(SEARCH("Phase",tbl_AllElements[[#This Row],[Element Name]])),"Phase",LEFT(tbl_AllElements[[#This Row],[Element Name]],FIND("_",tbl_AllElements[[#This Row],[Element Name]])-1))</f>
        <v>EmbeddedBeamRow</v>
      </c>
      <c r="K53" t="s">
        <v>1851</v>
      </c>
      <c r="L53" t="s">
        <v>265</v>
      </c>
    </row>
    <row r="54" spans="1:12" x14ac:dyDescent="0.25">
      <c r="A54" t="s">
        <v>136</v>
      </c>
      <c r="B54" t="s">
        <v>150</v>
      </c>
      <c r="C54" t="s">
        <v>183</v>
      </c>
      <c r="D54" t="s">
        <v>178</v>
      </c>
      <c r="E54" t="s">
        <v>129</v>
      </c>
      <c r="F54" t="s">
        <v>167</v>
      </c>
      <c r="H54" s="2" t="s">
        <v>184</v>
      </c>
      <c r="J54" t="str">
        <f>IF(ISNUMBER(SEARCH("Phase",tbl_AllElements[[#This Row],[Element Name]])),"Phase",LEFT(tbl_AllElements[[#This Row],[Element Name]],FIND("_",tbl_AllElements[[#This Row],[Element Name]])-1))</f>
        <v>EmbeddedBeamRow</v>
      </c>
      <c r="K54" t="s">
        <v>1851</v>
      </c>
      <c r="L54" t="s">
        <v>1891</v>
      </c>
    </row>
    <row r="55" spans="1:12" x14ac:dyDescent="0.25">
      <c r="A55" t="s">
        <v>118</v>
      </c>
      <c r="B55" t="s">
        <v>155</v>
      </c>
      <c r="C55" t="s">
        <v>185</v>
      </c>
      <c r="D55" t="s">
        <v>181</v>
      </c>
      <c r="E55" t="s">
        <v>131</v>
      </c>
      <c r="F55" t="s">
        <v>170</v>
      </c>
      <c r="H55" s="2" t="s">
        <v>186</v>
      </c>
      <c r="J55" t="str">
        <f>IF(ISNUMBER(SEARCH("Phase",tbl_AllElements[[#This Row],[Element Name]])),"Phase",LEFT(tbl_AllElements[[#This Row],[Element Name]],FIND("_",tbl_AllElements[[#This Row],[Element Name]])-1))</f>
        <v>NodeToNodeAnchor</v>
      </c>
      <c r="K55" t="s">
        <v>1851</v>
      </c>
      <c r="L55" t="s">
        <v>1892</v>
      </c>
    </row>
    <row r="56" spans="1:12" x14ac:dyDescent="0.25">
      <c r="A56" t="s">
        <v>122</v>
      </c>
      <c r="B56" t="s">
        <v>157</v>
      </c>
      <c r="C56" t="s">
        <v>187</v>
      </c>
      <c r="D56" t="s">
        <v>183</v>
      </c>
      <c r="E56" t="s">
        <v>135</v>
      </c>
      <c r="F56" t="s">
        <v>172</v>
      </c>
      <c r="H56" s="3" t="s">
        <v>188</v>
      </c>
      <c r="J56" t="str">
        <f>IF(ISNUMBER(SEARCH("Phase",tbl_AllElements[[#This Row],[Element Name]])),"Phase",LEFT(tbl_AllElements[[#This Row],[Element Name]],FIND("_",tbl_AllElements[[#This Row],[Element Name]])-1))</f>
        <v>NodeToNodeAnchor</v>
      </c>
      <c r="K56" t="s">
        <v>1851</v>
      </c>
      <c r="L56" t="s">
        <v>266</v>
      </c>
    </row>
    <row r="57" spans="1:12" x14ac:dyDescent="0.25">
      <c r="A57" t="s">
        <v>126</v>
      </c>
      <c r="B57" t="s">
        <v>159</v>
      </c>
      <c r="C57" t="s">
        <v>189</v>
      </c>
      <c r="D57" t="s">
        <v>185</v>
      </c>
      <c r="E57" t="s">
        <v>138</v>
      </c>
      <c r="F57" t="s">
        <v>175</v>
      </c>
      <c r="J57" t="str">
        <f>IF(ISNUMBER(SEARCH("Phase",tbl_AllElements[[#This Row],[Element Name]])),"Phase",LEFT(tbl_AllElements[[#This Row],[Element Name]],FIND("_",tbl_AllElements[[#This Row],[Element Name]])-1))</f>
        <v>NodeToNodeAnchor</v>
      </c>
      <c r="K57" t="s">
        <v>1851</v>
      </c>
      <c r="L57" t="s">
        <v>1893</v>
      </c>
    </row>
    <row r="58" spans="1:12" x14ac:dyDescent="0.25">
      <c r="A58" t="s">
        <v>129</v>
      </c>
      <c r="B58" t="s">
        <v>161</v>
      </c>
      <c r="C58" t="s">
        <v>190</v>
      </c>
      <c r="D58" t="s">
        <v>187</v>
      </c>
      <c r="E58" t="s">
        <v>140</v>
      </c>
      <c r="F58" t="s">
        <v>178</v>
      </c>
      <c r="J58" t="str">
        <f>IF(ISNUMBER(SEARCH("Phase",tbl_AllElements[[#This Row],[Element Name]])),"Phase",LEFT(tbl_AllElements[[#This Row],[Element Name]],FIND("_",tbl_AllElements[[#This Row],[Element Name]])-1))</f>
        <v>NodeToNodeAnchor</v>
      </c>
      <c r="K58" t="s">
        <v>1851</v>
      </c>
      <c r="L58" t="s">
        <v>1894</v>
      </c>
    </row>
    <row r="59" spans="1:12" x14ac:dyDescent="0.25">
      <c r="A59" t="s">
        <v>131</v>
      </c>
      <c r="B59" t="s">
        <v>163</v>
      </c>
      <c r="C59" t="s">
        <v>191</v>
      </c>
      <c r="D59" t="s">
        <v>189</v>
      </c>
      <c r="E59" t="s">
        <v>143</v>
      </c>
      <c r="F59" t="s">
        <v>181</v>
      </c>
      <c r="J59" t="str">
        <f>IF(ISNUMBER(SEARCH("Phase",tbl_AllElements[[#This Row],[Element Name]])),"Phase",LEFT(tbl_AllElements[[#This Row],[Element Name]],FIND("_",tbl_AllElements[[#This Row],[Element Name]])-1))</f>
        <v>NodeToNodeAnchor</v>
      </c>
      <c r="K59" t="s">
        <v>1851</v>
      </c>
      <c r="L59" t="s">
        <v>1895</v>
      </c>
    </row>
    <row r="60" spans="1:12" x14ac:dyDescent="0.25">
      <c r="A60" t="s">
        <v>135</v>
      </c>
      <c r="B60" t="s">
        <v>165</v>
      </c>
      <c r="C60" t="s">
        <v>192</v>
      </c>
      <c r="D60" t="s">
        <v>190</v>
      </c>
      <c r="E60" t="s">
        <v>146</v>
      </c>
      <c r="F60" t="s">
        <v>183</v>
      </c>
      <c r="J60" t="str">
        <f>IF(ISNUMBER(SEARCH("Phase",tbl_AllElements[[#This Row],[Element Name]])),"Phase",LEFT(tbl_AllElements[[#This Row],[Element Name]],FIND("_",tbl_AllElements[[#This Row],[Element Name]])-1))</f>
        <v>NodeToNodeAnchor</v>
      </c>
      <c r="K60" t="s">
        <v>1851</v>
      </c>
      <c r="L60" t="s">
        <v>1896</v>
      </c>
    </row>
    <row r="61" spans="1:12" x14ac:dyDescent="0.25">
      <c r="A61" t="s">
        <v>138</v>
      </c>
      <c r="B61" t="s">
        <v>167</v>
      </c>
      <c r="C61" t="s">
        <v>193</v>
      </c>
      <c r="D61" t="s">
        <v>191</v>
      </c>
      <c r="E61" t="s">
        <v>150</v>
      </c>
      <c r="F61" t="s">
        <v>185</v>
      </c>
      <c r="J61" t="str">
        <f>IF(ISNUMBER(SEARCH("Phase",tbl_AllElements[[#This Row],[Element Name]])),"Phase",LEFT(tbl_AllElements[[#This Row],[Element Name]],FIND("_",tbl_AllElements[[#This Row],[Element Name]])-1))</f>
        <v>FixedEndAnchor</v>
      </c>
      <c r="K61" t="s">
        <v>1851</v>
      </c>
      <c r="L61" t="s">
        <v>1897</v>
      </c>
    </row>
    <row r="62" spans="1:12" x14ac:dyDescent="0.25">
      <c r="A62" t="s">
        <v>140</v>
      </c>
      <c r="B62" t="s">
        <v>170</v>
      </c>
      <c r="C62" t="s">
        <v>194</v>
      </c>
      <c r="D62" t="s">
        <v>192</v>
      </c>
      <c r="E62" t="s">
        <v>155</v>
      </c>
      <c r="F62" t="s">
        <v>187</v>
      </c>
      <c r="J62" t="str">
        <f>IF(ISNUMBER(SEARCH("Phase",tbl_AllElements[[#This Row],[Element Name]])),"Phase",LEFT(tbl_AllElements[[#This Row],[Element Name]],FIND("_",tbl_AllElements[[#This Row],[Element Name]])-1))</f>
        <v>FixedEndAnchor</v>
      </c>
      <c r="K62" t="s">
        <v>1851</v>
      </c>
      <c r="L62" t="s">
        <v>1898</v>
      </c>
    </row>
    <row r="63" spans="1:12" x14ac:dyDescent="0.25">
      <c r="A63" t="s">
        <v>143</v>
      </c>
      <c r="B63" t="s">
        <v>172</v>
      </c>
      <c r="C63" t="s">
        <v>195</v>
      </c>
      <c r="D63" t="s">
        <v>193</v>
      </c>
      <c r="E63" t="s">
        <v>157</v>
      </c>
      <c r="F63" t="s">
        <v>189</v>
      </c>
      <c r="J63" t="str">
        <f>IF(ISNUMBER(SEARCH("Phase",tbl_AllElements[[#This Row],[Element Name]])),"Phase",LEFT(tbl_AllElements[[#This Row],[Element Name]],FIND("_",tbl_AllElements[[#This Row],[Element Name]])-1))</f>
        <v>FixedEndAnchor</v>
      </c>
      <c r="K63" t="s">
        <v>1851</v>
      </c>
      <c r="L63" t="s">
        <v>1899</v>
      </c>
    </row>
    <row r="64" spans="1:12" x14ac:dyDescent="0.25">
      <c r="A64" t="s">
        <v>146</v>
      </c>
      <c r="B64" t="s">
        <v>175</v>
      </c>
      <c r="C64" t="s">
        <v>196</v>
      </c>
      <c r="D64" t="s">
        <v>194</v>
      </c>
      <c r="E64" t="s">
        <v>159</v>
      </c>
      <c r="F64" t="s">
        <v>190</v>
      </c>
      <c r="J64" t="str">
        <f>IF(ISNUMBER(SEARCH("Phase",tbl_AllElements[[#This Row],[Element Name]])),"Phase",LEFT(tbl_AllElements[[#This Row],[Element Name]],FIND("_",tbl_AllElements[[#This Row],[Element Name]])-1))</f>
        <v>NegativeInterface</v>
      </c>
      <c r="K64" t="s">
        <v>1851</v>
      </c>
      <c r="L64" t="s">
        <v>256</v>
      </c>
    </row>
    <row r="65" spans="1:12" ht="15" customHeight="1" x14ac:dyDescent="0.25">
      <c r="A65" t="s">
        <v>150</v>
      </c>
      <c r="B65" t="s">
        <v>178</v>
      </c>
      <c r="C65" t="s">
        <v>197</v>
      </c>
      <c r="D65" t="s">
        <v>195</v>
      </c>
      <c r="E65" t="s">
        <v>161</v>
      </c>
      <c r="F65" t="s">
        <v>191</v>
      </c>
      <c r="J65" t="str">
        <f>IF(ISNUMBER(SEARCH("Phase",tbl_AllElements[[#This Row],[Element Name]])),"Phase",LEFT(tbl_AllElements[[#This Row],[Element Name]],FIND("_",tbl_AllElements[[#This Row],[Element Name]])-1))</f>
        <v>NegativeInterface</v>
      </c>
      <c r="K65" t="s">
        <v>1851</v>
      </c>
      <c r="L65" t="s">
        <v>257</v>
      </c>
    </row>
    <row r="66" spans="1:12" x14ac:dyDescent="0.25">
      <c r="A66" t="s">
        <v>155</v>
      </c>
      <c r="B66" t="s">
        <v>181</v>
      </c>
      <c r="C66" t="s">
        <v>198</v>
      </c>
      <c r="D66" t="s">
        <v>196</v>
      </c>
      <c r="E66" t="s">
        <v>163</v>
      </c>
      <c r="F66" t="s">
        <v>192</v>
      </c>
      <c r="J66" t="str">
        <f>IF(ISNUMBER(SEARCH("Phase",tbl_AllElements[[#This Row],[Element Name]])),"Phase",LEFT(tbl_AllElements[[#This Row],[Element Name]],FIND("_",tbl_AllElements[[#This Row],[Element Name]])-1))</f>
        <v>NegativeInterface</v>
      </c>
      <c r="K66" t="s">
        <v>1851</v>
      </c>
      <c r="L66" t="s">
        <v>1900</v>
      </c>
    </row>
    <row r="67" spans="1:12" x14ac:dyDescent="0.25">
      <c r="A67" t="s">
        <v>157</v>
      </c>
      <c r="B67" t="s">
        <v>183</v>
      </c>
      <c r="C67" t="s">
        <v>199</v>
      </c>
      <c r="D67" t="s">
        <v>197</v>
      </c>
      <c r="E67" t="s">
        <v>165</v>
      </c>
      <c r="F67" t="s">
        <v>193</v>
      </c>
      <c r="J67" t="str">
        <f>IF(ISNUMBER(SEARCH("Phase",tbl_AllElements[[#This Row],[Element Name]])),"Phase",LEFT(tbl_AllElements[[#This Row],[Element Name]],FIND("_",tbl_AllElements[[#This Row],[Element Name]])-1))</f>
        <v>PositiveInterface</v>
      </c>
      <c r="K67" t="s">
        <v>1851</v>
      </c>
      <c r="L67" t="s">
        <v>258</v>
      </c>
    </row>
    <row r="68" spans="1:12" x14ac:dyDescent="0.25">
      <c r="A68" t="s">
        <v>159</v>
      </c>
      <c r="B68" t="s">
        <v>185</v>
      </c>
      <c r="C68" t="s">
        <v>200</v>
      </c>
      <c r="D68" t="s">
        <v>198</v>
      </c>
      <c r="E68" t="s">
        <v>167</v>
      </c>
      <c r="F68" t="s">
        <v>194</v>
      </c>
      <c r="J68" t="str">
        <f>IF(ISNUMBER(SEARCH("Phase",tbl_AllElements[[#This Row],[Element Name]])),"Phase",LEFT(tbl_AllElements[[#This Row],[Element Name]],FIND("_",tbl_AllElements[[#This Row],[Element Name]])-1))</f>
        <v>PositiveInterface</v>
      </c>
      <c r="K68" t="s">
        <v>1851</v>
      </c>
      <c r="L68" t="s">
        <v>259</v>
      </c>
    </row>
    <row r="69" spans="1:12" x14ac:dyDescent="0.25">
      <c r="A69" t="s">
        <v>161</v>
      </c>
      <c r="B69" t="s">
        <v>187</v>
      </c>
      <c r="C69" t="s">
        <v>201</v>
      </c>
      <c r="D69" t="s">
        <v>199</v>
      </c>
      <c r="E69" t="s">
        <v>170</v>
      </c>
      <c r="F69" t="s">
        <v>195</v>
      </c>
      <c r="J69" t="str">
        <f>IF(ISNUMBER(SEARCH("Phase",tbl_AllElements[[#This Row],[Element Name]])),"Phase",LEFT(tbl_AllElements[[#This Row],[Element Name]],FIND("_",tbl_AllElements[[#This Row],[Element Name]])-1))</f>
        <v>PositiveInterface</v>
      </c>
      <c r="K69" t="s">
        <v>1851</v>
      </c>
      <c r="L69" t="s">
        <v>1901</v>
      </c>
    </row>
    <row r="70" spans="1:12" x14ac:dyDescent="0.25">
      <c r="A70" t="s">
        <v>163</v>
      </c>
      <c r="B70" t="s">
        <v>189</v>
      </c>
      <c r="C70" t="s">
        <v>202</v>
      </c>
      <c r="D70" t="s">
        <v>200</v>
      </c>
      <c r="E70" t="s">
        <v>172</v>
      </c>
      <c r="F70" t="s">
        <v>196</v>
      </c>
      <c r="J70" t="str">
        <f>IF(ISNUMBER(SEARCH("Phase",tbl_AllElements[[#This Row],[Element Name]])),"Phase",LEFT(tbl_AllElements[[#This Row],[Element Name]],FIND("_",tbl_AllElements[[#This Row],[Element Name]])-1))</f>
        <v>Phase</v>
      </c>
      <c r="K70" t="s">
        <v>1902</v>
      </c>
      <c r="L70" t="s">
        <v>260</v>
      </c>
    </row>
    <row r="71" spans="1:12" x14ac:dyDescent="0.25">
      <c r="A71" t="s">
        <v>165</v>
      </c>
      <c r="B71" t="s">
        <v>190</v>
      </c>
      <c r="C71" t="s">
        <v>203</v>
      </c>
      <c r="D71" t="s">
        <v>201</v>
      </c>
      <c r="E71" t="s">
        <v>175</v>
      </c>
      <c r="F71" t="s">
        <v>197</v>
      </c>
      <c r="J71" t="str">
        <f>IF(ISNUMBER(SEARCH("Phase",tbl_AllElements[[#This Row],[Element Name]])),"Phase",LEFT(tbl_AllElements[[#This Row],[Element Name]],FIND("_",tbl_AllElements[[#This Row],[Element Name]])-1))</f>
        <v>Phase</v>
      </c>
      <c r="K71" t="s">
        <v>1902</v>
      </c>
      <c r="L71" t="s">
        <v>1852</v>
      </c>
    </row>
    <row r="72" spans="1:12" x14ac:dyDescent="0.25">
      <c r="A72" t="s">
        <v>167</v>
      </c>
      <c r="B72" t="s">
        <v>191</v>
      </c>
      <c r="C72" t="s">
        <v>204</v>
      </c>
      <c r="D72" t="s">
        <v>202</v>
      </c>
      <c r="E72" t="s">
        <v>178</v>
      </c>
      <c r="F72" t="s">
        <v>198</v>
      </c>
      <c r="J72" t="str">
        <f>IF(ISNUMBER(SEARCH("Phase",tbl_AllElements[[#This Row],[Element Name]])),"Phase",LEFT(tbl_AllElements[[#This Row],[Element Name]],FIND("_",tbl_AllElements[[#This Row],[Element Name]])-1))</f>
        <v>Phase</v>
      </c>
      <c r="K72" t="s">
        <v>1902</v>
      </c>
      <c r="L72" t="s">
        <v>1903</v>
      </c>
    </row>
    <row r="73" spans="1:12" x14ac:dyDescent="0.25">
      <c r="A73" t="s">
        <v>170</v>
      </c>
      <c r="B73" t="s">
        <v>192</v>
      </c>
      <c r="C73" t="s">
        <v>205</v>
      </c>
      <c r="D73" t="s">
        <v>203</v>
      </c>
      <c r="E73" t="s">
        <v>181</v>
      </c>
      <c r="F73" t="s">
        <v>199</v>
      </c>
      <c r="J73" t="str">
        <f>IF(ISNUMBER(SEARCH("Phase",tbl_AllElements[[#This Row],[Element Name]])),"Phase",LEFT(tbl_AllElements[[#This Row],[Element Name]],FIND("_",tbl_AllElements[[#This Row],[Element Name]])-1))</f>
        <v>Phase</v>
      </c>
      <c r="K73" t="s">
        <v>1902</v>
      </c>
      <c r="L73" t="s">
        <v>1854</v>
      </c>
    </row>
    <row r="74" spans="1:12" x14ac:dyDescent="0.25">
      <c r="A74" t="s">
        <v>172</v>
      </c>
      <c r="B74" t="s">
        <v>193</v>
      </c>
      <c r="C74" t="s">
        <v>136</v>
      </c>
      <c r="D74" t="s">
        <v>204</v>
      </c>
      <c r="E74" t="s">
        <v>183</v>
      </c>
      <c r="F74" t="s">
        <v>200</v>
      </c>
      <c r="J74" t="str">
        <f>IF(ISNUMBER(SEARCH("Phase",tbl_AllElements[[#This Row],[Element Name]])),"Phase",LEFT(tbl_AllElements[[#This Row],[Element Name]],FIND("_",tbl_AllElements[[#This Row],[Element Name]])-1))</f>
        <v>Phase</v>
      </c>
      <c r="K74" t="s">
        <v>1902</v>
      </c>
      <c r="L74" t="s">
        <v>1855</v>
      </c>
    </row>
    <row r="75" spans="1:12" x14ac:dyDescent="0.25">
      <c r="A75" t="s">
        <v>206</v>
      </c>
      <c r="B75" t="s">
        <v>194</v>
      </c>
      <c r="C75" t="s">
        <v>207</v>
      </c>
      <c r="D75" t="s">
        <v>208</v>
      </c>
      <c r="E75" t="s">
        <v>185</v>
      </c>
      <c r="F75" t="s">
        <v>201</v>
      </c>
      <c r="J75" t="str">
        <f>IF(ISNUMBER(SEARCH("Phase",tbl_AllElements[[#This Row],[Element Name]])),"Phase",LEFT(tbl_AllElements[[#This Row],[Element Name]],FIND("_",tbl_AllElements[[#This Row],[Element Name]])-1))</f>
        <v>Phase</v>
      </c>
      <c r="K75" t="s">
        <v>1902</v>
      </c>
      <c r="L75" t="s">
        <v>1856</v>
      </c>
    </row>
    <row r="76" spans="1:12" x14ac:dyDescent="0.25">
      <c r="A76" t="s">
        <v>209</v>
      </c>
      <c r="B76" t="s">
        <v>195</v>
      </c>
      <c r="C76" t="s">
        <v>210</v>
      </c>
      <c r="D76" t="s">
        <v>205</v>
      </c>
      <c r="E76" t="s">
        <v>187</v>
      </c>
      <c r="F76" t="s">
        <v>202</v>
      </c>
      <c r="J76" t="str">
        <f>IF(ISNUMBER(SEARCH("Phase",tbl_AllElements[[#This Row],[Element Name]])),"Phase",LEFT(tbl_AllElements[[#This Row],[Element Name]],FIND("_",tbl_AllElements[[#This Row],[Element Name]])-1))</f>
        <v>Phase</v>
      </c>
      <c r="K76" t="s">
        <v>1902</v>
      </c>
      <c r="L76" t="s">
        <v>1857</v>
      </c>
    </row>
    <row r="77" spans="1:12" x14ac:dyDescent="0.25">
      <c r="A77" t="s">
        <v>211</v>
      </c>
      <c r="B77" t="s">
        <v>196</v>
      </c>
      <c r="C77" t="s">
        <v>212</v>
      </c>
      <c r="D77" t="s">
        <v>136</v>
      </c>
      <c r="E77" t="s">
        <v>189</v>
      </c>
      <c r="F77" t="s">
        <v>203</v>
      </c>
      <c r="J77" t="str">
        <f>IF(ISNUMBER(SEARCH("Phase",tbl_AllElements[[#This Row],[Element Name]])),"Phase",LEFT(tbl_AllElements[[#This Row],[Element Name]],FIND("_",tbl_AllElements[[#This Row],[Element Name]])-1))</f>
        <v>Phase</v>
      </c>
      <c r="K77" t="s">
        <v>1902</v>
      </c>
      <c r="L77" t="s">
        <v>1858</v>
      </c>
    </row>
    <row r="78" spans="1:12" x14ac:dyDescent="0.25">
      <c r="A78" t="s">
        <v>213</v>
      </c>
      <c r="B78" t="s">
        <v>197</v>
      </c>
      <c r="D78" t="s">
        <v>207</v>
      </c>
      <c r="E78" t="s">
        <v>190</v>
      </c>
      <c r="F78" t="s">
        <v>204</v>
      </c>
      <c r="J78" t="str">
        <f>IF(ISNUMBER(SEARCH("Phase",tbl_AllElements[[#This Row],[Element Name]])),"Phase",LEFT(tbl_AllElements[[#This Row],[Element Name]],FIND("_",tbl_AllElements[[#This Row],[Element Name]])-1))</f>
        <v>Phase</v>
      </c>
      <c r="K78" t="s">
        <v>1902</v>
      </c>
      <c r="L78" t="s">
        <v>1859</v>
      </c>
    </row>
    <row r="79" spans="1:12" x14ac:dyDescent="0.25">
      <c r="A79" t="s">
        <v>214</v>
      </c>
      <c r="B79" t="s">
        <v>198</v>
      </c>
      <c r="D79" t="s">
        <v>210</v>
      </c>
      <c r="E79" t="s">
        <v>191</v>
      </c>
      <c r="F79" t="s">
        <v>205</v>
      </c>
      <c r="J79" t="str">
        <f>IF(ISNUMBER(SEARCH("Phase",tbl_AllElements[[#This Row],[Element Name]])),"Phase",LEFT(tbl_AllElements[[#This Row],[Element Name]],FIND("_",tbl_AllElements[[#This Row],[Element Name]])-1))</f>
        <v>Phase</v>
      </c>
      <c r="K79" t="s">
        <v>1902</v>
      </c>
      <c r="L79" t="s">
        <v>1860</v>
      </c>
    </row>
    <row r="80" spans="1:12" x14ac:dyDescent="0.25">
      <c r="A80" t="s">
        <v>175</v>
      </c>
      <c r="B80" t="s">
        <v>199</v>
      </c>
      <c r="D80" t="s">
        <v>212</v>
      </c>
      <c r="E80" t="s">
        <v>192</v>
      </c>
      <c r="F80" t="s">
        <v>215</v>
      </c>
      <c r="J80" t="str">
        <f>IF(ISNUMBER(SEARCH("Phase",tbl_AllElements[[#This Row],[Element Name]])),"Phase",LEFT(tbl_AllElements[[#This Row],[Element Name]],FIND("_",tbl_AllElements[[#This Row],[Element Name]])-1))</f>
        <v>Phase</v>
      </c>
      <c r="K80" t="s">
        <v>1902</v>
      </c>
      <c r="L80" t="s">
        <v>1861</v>
      </c>
    </row>
    <row r="81" spans="1:12" x14ac:dyDescent="0.25">
      <c r="A81" t="s">
        <v>178</v>
      </c>
      <c r="B81" t="s">
        <v>200</v>
      </c>
      <c r="E81" t="s">
        <v>193</v>
      </c>
      <c r="F81" t="s">
        <v>216</v>
      </c>
      <c r="J81" t="str">
        <f>IF(ISNUMBER(SEARCH("Phase",tbl_AllElements[[#This Row],[Element Name]])),"Phase",LEFT(tbl_AllElements[[#This Row],[Element Name]],FIND("_",tbl_AllElements[[#This Row],[Element Name]])-1))</f>
        <v>Phase</v>
      </c>
      <c r="K81" t="s">
        <v>1902</v>
      </c>
      <c r="L81" t="s">
        <v>1862</v>
      </c>
    </row>
    <row r="82" spans="1:12" x14ac:dyDescent="0.25">
      <c r="A82" t="s">
        <v>181</v>
      </c>
      <c r="B82" t="s">
        <v>201</v>
      </c>
      <c r="E82" t="s">
        <v>194</v>
      </c>
      <c r="F82" t="s">
        <v>207</v>
      </c>
      <c r="J82" t="str">
        <f>IF(ISNUMBER(SEARCH("Phase",tbl_AllElements[[#This Row],[Element Name]])),"Phase",LEFT(tbl_AllElements[[#This Row],[Element Name]],FIND("_",tbl_AllElements[[#This Row],[Element Name]])-1))</f>
        <v>Phase</v>
      </c>
      <c r="K82" t="s">
        <v>1902</v>
      </c>
      <c r="L82" t="s">
        <v>1863</v>
      </c>
    </row>
    <row r="83" spans="1:12" x14ac:dyDescent="0.25">
      <c r="A83" t="s">
        <v>183</v>
      </c>
      <c r="B83" t="s">
        <v>202</v>
      </c>
      <c r="E83" t="s">
        <v>195</v>
      </c>
      <c r="F83" t="s">
        <v>210</v>
      </c>
      <c r="J83" t="str">
        <f>IF(ISNUMBER(SEARCH("Phase",tbl_AllElements[[#This Row],[Element Name]])),"Phase",LEFT(tbl_AllElements[[#This Row],[Element Name]],FIND("_",tbl_AllElements[[#This Row],[Element Name]])-1))</f>
        <v>Phase</v>
      </c>
      <c r="K83" t="s">
        <v>1902</v>
      </c>
      <c r="L83" t="s">
        <v>1864</v>
      </c>
    </row>
    <row r="84" spans="1:12" x14ac:dyDescent="0.25">
      <c r="A84" t="s">
        <v>185</v>
      </c>
      <c r="B84" t="s">
        <v>203</v>
      </c>
      <c r="E84" t="s">
        <v>196</v>
      </c>
      <c r="F84" t="s">
        <v>212</v>
      </c>
      <c r="J84" t="str">
        <f>IF(ISNUMBER(SEARCH("Phase",tbl_AllElements[[#This Row],[Element Name]])),"Phase",LEFT(tbl_AllElements[[#This Row],[Element Name]],FIND("_",tbl_AllElements[[#This Row],[Element Name]])-1))</f>
        <v>Phase</v>
      </c>
      <c r="K84" t="s">
        <v>1902</v>
      </c>
      <c r="L84" t="s">
        <v>1865</v>
      </c>
    </row>
    <row r="85" spans="1:12" x14ac:dyDescent="0.25">
      <c r="A85" t="s">
        <v>187</v>
      </c>
      <c r="B85" t="s">
        <v>204</v>
      </c>
      <c r="E85" t="s">
        <v>197</v>
      </c>
      <c r="J85" t="str">
        <f>IF(ISNUMBER(SEARCH("Phase",tbl_AllElements[[#This Row],[Element Name]])),"Phase",LEFT(tbl_AllElements[[#This Row],[Element Name]],FIND("_",tbl_AllElements[[#This Row],[Element Name]])-1))</f>
        <v>Phase</v>
      </c>
      <c r="K85" t="s">
        <v>1902</v>
      </c>
      <c r="L85" t="s">
        <v>1866</v>
      </c>
    </row>
    <row r="86" spans="1:12" x14ac:dyDescent="0.25">
      <c r="A86" t="s">
        <v>189</v>
      </c>
      <c r="B86" t="s">
        <v>205</v>
      </c>
      <c r="E86" t="s">
        <v>198</v>
      </c>
      <c r="J86" t="str">
        <f>IF(ISNUMBER(SEARCH("Phase",tbl_AllElements[[#This Row],[Element Name]])),"Phase",LEFT(tbl_AllElements[[#This Row],[Element Name]],FIND("_",tbl_AllElements[[#This Row],[Element Name]])-1))</f>
        <v>Phase</v>
      </c>
      <c r="K86" t="s">
        <v>1902</v>
      </c>
      <c r="L86" t="s">
        <v>1867</v>
      </c>
    </row>
    <row r="87" spans="1:12" x14ac:dyDescent="0.25">
      <c r="A87" t="s">
        <v>190</v>
      </c>
      <c r="B87" t="s">
        <v>217</v>
      </c>
      <c r="E87" t="s">
        <v>199</v>
      </c>
      <c r="J87" t="str">
        <f>IF(ISNUMBER(SEARCH("Phase",tbl_AllElements[[#This Row],[Element Name]])),"Phase",LEFT(tbl_AllElements[[#This Row],[Element Name]],FIND("_",tbl_AllElements[[#This Row],[Element Name]])-1))</f>
        <v>Phase</v>
      </c>
      <c r="K87" t="s">
        <v>1902</v>
      </c>
      <c r="L87" t="s">
        <v>1868</v>
      </c>
    </row>
    <row r="88" spans="1:12" x14ac:dyDescent="0.25">
      <c r="A88" t="s">
        <v>191</v>
      </c>
      <c r="B88" t="s">
        <v>216</v>
      </c>
      <c r="E88" t="s">
        <v>200</v>
      </c>
      <c r="J88" t="str">
        <f>IF(ISNUMBER(SEARCH("Phase",tbl_AllElements[[#This Row],[Element Name]])),"Phase",LEFT(tbl_AllElements[[#This Row],[Element Name]],FIND("_",tbl_AllElements[[#This Row],[Element Name]])-1))</f>
        <v>Phase</v>
      </c>
      <c r="K88" t="s">
        <v>1902</v>
      </c>
      <c r="L88" t="s">
        <v>1869</v>
      </c>
    </row>
    <row r="89" spans="1:12" x14ac:dyDescent="0.25">
      <c r="A89" t="s">
        <v>192</v>
      </c>
      <c r="B89" t="s">
        <v>207</v>
      </c>
      <c r="E89" t="s">
        <v>201</v>
      </c>
      <c r="J89" t="str">
        <f>IF(ISNUMBER(SEARCH("Phase",tbl_AllElements[[#This Row],[Element Name]])),"Phase",LEFT(tbl_AllElements[[#This Row],[Element Name]],FIND("_",tbl_AllElements[[#This Row],[Element Name]])-1))</f>
        <v>Phase</v>
      </c>
      <c r="K89" t="s">
        <v>1902</v>
      </c>
      <c r="L89" t="s">
        <v>1870</v>
      </c>
    </row>
    <row r="90" spans="1:12" x14ac:dyDescent="0.25">
      <c r="A90" t="s">
        <v>193</v>
      </c>
      <c r="B90" t="s">
        <v>210</v>
      </c>
      <c r="E90" t="s">
        <v>202</v>
      </c>
      <c r="J90" t="str">
        <f>IF(ISNUMBER(SEARCH("Phase",tbl_AllElements[[#This Row],[Element Name]])),"Phase",LEFT(tbl_AllElements[[#This Row],[Element Name]],FIND("_",tbl_AllElements[[#This Row],[Element Name]])-1))</f>
        <v>Phase</v>
      </c>
      <c r="K90" t="s">
        <v>1902</v>
      </c>
      <c r="L90" t="s">
        <v>1871</v>
      </c>
    </row>
    <row r="91" spans="1:12" x14ac:dyDescent="0.25">
      <c r="A91" t="s">
        <v>194</v>
      </c>
      <c r="B91" t="s">
        <v>212</v>
      </c>
      <c r="E91" t="s">
        <v>203</v>
      </c>
      <c r="J91" t="str">
        <f>IF(ISNUMBER(SEARCH("Phase",tbl_AllElements[[#This Row],[Element Name]])),"Phase",LEFT(tbl_AllElements[[#This Row],[Element Name]],FIND("_",tbl_AllElements[[#This Row],[Element Name]])-1))</f>
        <v>Phase</v>
      </c>
      <c r="K91" t="s">
        <v>1902</v>
      </c>
      <c r="L91" t="s">
        <v>1872</v>
      </c>
    </row>
    <row r="92" spans="1:12" x14ac:dyDescent="0.25">
      <c r="A92" t="s">
        <v>195</v>
      </c>
      <c r="E92" t="s">
        <v>204</v>
      </c>
      <c r="J92" t="str">
        <f>IF(ISNUMBER(SEARCH("Phase",tbl_AllElements[[#This Row],[Element Name]])),"Phase",LEFT(tbl_AllElements[[#This Row],[Element Name]],FIND("_",tbl_AllElements[[#This Row],[Element Name]])-1))</f>
        <v>Phase</v>
      </c>
      <c r="K92" t="s">
        <v>1902</v>
      </c>
      <c r="L92" t="s">
        <v>1873</v>
      </c>
    </row>
    <row r="93" spans="1:12" x14ac:dyDescent="0.25">
      <c r="A93" t="s">
        <v>196</v>
      </c>
      <c r="E93" t="s">
        <v>205</v>
      </c>
      <c r="J93" t="str">
        <f>IF(ISNUMBER(SEARCH("Phase",tbl_AllElements[[#This Row],[Element Name]])),"Phase",LEFT(tbl_AllElements[[#This Row],[Element Name]],FIND("_",tbl_AllElements[[#This Row],[Element Name]])-1))</f>
        <v>Phase</v>
      </c>
      <c r="K93" t="s">
        <v>1902</v>
      </c>
      <c r="L93" t="s">
        <v>1874</v>
      </c>
    </row>
    <row r="94" spans="1:12" x14ac:dyDescent="0.25">
      <c r="A94" t="s">
        <v>197</v>
      </c>
      <c r="E94" t="s">
        <v>218</v>
      </c>
      <c r="J94" t="str">
        <f>IF(ISNUMBER(SEARCH("Phase",tbl_AllElements[[#This Row],[Element Name]])),"Phase",LEFT(tbl_AllElements[[#This Row],[Element Name]],FIND("_",tbl_AllElements[[#This Row],[Element Name]])-1))</f>
        <v>Phase</v>
      </c>
      <c r="K94" t="s">
        <v>1902</v>
      </c>
      <c r="L94" t="s">
        <v>1875</v>
      </c>
    </row>
    <row r="95" spans="1:12" x14ac:dyDescent="0.25">
      <c r="A95" t="s">
        <v>198</v>
      </c>
      <c r="E95" t="s">
        <v>219</v>
      </c>
      <c r="J95" t="str">
        <f>IF(ISNUMBER(SEARCH("Phase",tbl_AllElements[[#This Row],[Element Name]])),"Phase",LEFT(tbl_AllElements[[#This Row],[Element Name]],FIND("_",tbl_AllElements[[#This Row],[Element Name]])-1))</f>
        <v>Phase</v>
      </c>
      <c r="K95" t="s">
        <v>1902</v>
      </c>
      <c r="L95" t="s">
        <v>1876</v>
      </c>
    </row>
    <row r="96" spans="1:12" x14ac:dyDescent="0.25">
      <c r="A96" t="s">
        <v>199</v>
      </c>
      <c r="E96" t="s">
        <v>207</v>
      </c>
      <c r="J96" t="str">
        <f>IF(ISNUMBER(SEARCH("Phase",tbl_AllElements[[#This Row],[Element Name]])),"Phase",LEFT(tbl_AllElements[[#This Row],[Element Name]],FIND("_",tbl_AllElements[[#This Row],[Element Name]])-1))</f>
        <v>Phase</v>
      </c>
      <c r="K96" t="s">
        <v>1902</v>
      </c>
      <c r="L96" t="s">
        <v>1877</v>
      </c>
    </row>
    <row r="97" spans="1:12" x14ac:dyDescent="0.25">
      <c r="A97" t="s">
        <v>200</v>
      </c>
      <c r="E97" t="s">
        <v>210</v>
      </c>
      <c r="J97" t="str">
        <f>IF(ISNUMBER(SEARCH("Phase",tbl_AllElements[[#This Row],[Element Name]])),"Phase",LEFT(tbl_AllElements[[#This Row],[Element Name]],FIND("_",tbl_AllElements[[#This Row],[Element Name]])-1))</f>
        <v>Phase</v>
      </c>
      <c r="K97" t="s">
        <v>1902</v>
      </c>
      <c r="L97" t="s">
        <v>1878</v>
      </c>
    </row>
    <row r="98" spans="1:12" x14ac:dyDescent="0.25">
      <c r="A98" t="s">
        <v>201</v>
      </c>
      <c r="E98" t="s">
        <v>212</v>
      </c>
      <c r="J98" t="str">
        <f>IF(ISNUMBER(SEARCH("Phase",tbl_AllElements[[#This Row],[Element Name]])),"Phase",LEFT(tbl_AllElements[[#This Row],[Element Name]],FIND("_",tbl_AllElements[[#This Row],[Element Name]])-1))</f>
        <v>Phase</v>
      </c>
      <c r="K98" t="s">
        <v>1902</v>
      </c>
      <c r="L98" t="s">
        <v>1879</v>
      </c>
    </row>
    <row r="99" spans="1:12" x14ac:dyDescent="0.25">
      <c r="A99" t="s">
        <v>202</v>
      </c>
      <c r="J99" t="str">
        <f>IF(ISNUMBER(SEARCH("Phase",tbl_AllElements[[#This Row],[Element Name]])),"Phase",LEFT(tbl_AllElements[[#This Row],[Element Name]],FIND("_",tbl_AllElements[[#This Row],[Element Name]])-1))</f>
        <v>Phase</v>
      </c>
      <c r="K99" t="s">
        <v>1902</v>
      </c>
      <c r="L99" t="s">
        <v>1880</v>
      </c>
    </row>
    <row r="100" spans="1:12" x14ac:dyDescent="0.25">
      <c r="A100" t="s">
        <v>203</v>
      </c>
      <c r="J100" t="str">
        <f>IF(ISNUMBER(SEARCH("Phase",tbl_AllElements[[#This Row],[Element Name]])),"Phase",LEFT(tbl_AllElements[[#This Row],[Element Name]],FIND("_",tbl_AllElements[[#This Row],[Element Name]])-1))</f>
        <v>Phase</v>
      </c>
      <c r="K100" t="s">
        <v>1902</v>
      </c>
      <c r="L100" t="s">
        <v>1881</v>
      </c>
    </row>
    <row r="101" spans="1:12" x14ac:dyDescent="0.25">
      <c r="A101" t="s">
        <v>204</v>
      </c>
      <c r="J101" t="str">
        <f>IF(ISNUMBER(SEARCH("Phase",tbl_AllElements[[#This Row],[Element Name]])),"Phase",LEFT(tbl_AllElements[[#This Row],[Element Name]],FIND("_",tbl_AllElements[[#This Row],[Element Name]])-1))</f>
        <v>Plate</v>
      </c>
      <c r="K101" t="s">
        <v>1902</v>
      </c>
      <c r="L101" t="s">
        <v>244</v>
      </c>
    </row>
    <row r="102" spans="1:12" x14ac:dyDescent="0.25">
      <c r="A102" t="s">
        <v>205</v>
      </c>
      <c r="J102" t="str">
        <f>IF(ISNUMBER(SEARCH("Phase",tbl_AllElements[[#This Row],[Element Name]])),"Phase",LEFT(tbl_AllElements[[#This Row],[Element Name]],FIND("_",tbl_AllElements[[#This Row],[Element Name]])-1))</f>
        <v>Plate</v>
      </c>
      <c r="K102" t="s">
        <v>1902</v>
      </c>
      <c r="L102" t="s">
        <v>245</v>
      </c>
    </row>
    <row r="103" spans="1:12" x14ac:dyDescent="0.25">
      <c r="A103" t="s">
        <v>220</v>
      </c>
      <c r="J103" t="str">
        <f>IF(ISNUMBER(SEARCH("Phase",tbl_AllElements[[#This Row],[Element Name]])),"Phase",LEFT(tbl_AllElements[[#This Row],[Element Name]],FIND("_",tbl_AllElements[[#This Row],[Element Name]])-1))</f>
        <v>Plate</v>
      </c>
      <c r="K103" t="s">
        <v>1902</v>
      </c>
      <c r="L103" t="s">
        <v>254</v>
      </c>
    </row>
    <row r="104" spans="1:12" x14ac:dyDescent="0.25">
      <c r="A104" t="s">
        <v>221</v>
      </c>
      <c r="J104" t="str">
        <f>IF(ISNUMBER(SEARCH("Phase",tbl_AllElements[[#This Row],[Element Name]])),"Phase",LEFT(tbl_AllElements[[#This Row],[Element Name]],FIND("_",tbl_AllElements[[#This Row],[Element Name]])-1))</f>
        <v>Plate</v>
      </c>
      <c r="K104" t="s">
        <v>1902</v>
      </c>
      <c r="L104" t="s">
        <v>1847</v>
      </c>
    </row>
    <row r="105" spans="1:12" x14ac:dyDescent="0.25">
      <c r="A105" t="s">
        <v>222</v>
      </c>
      <c r="J105" t="str">
        <f>IF(ISNUMBER(SEARCH("Phase",tbl_AllElements[[#This Row],[Element Name]])),"Phase",LEFT(tbl_AllElements[[#This Row],[Element Name]],FIND("_",tbl_AllElements[[#This Row],[Element Name]])-1))</f>
        <v>Plate</v>
      </c>
      <c r="K105" t="s">
        <v>1902</v>
      </c>
      <c r="L105" t="s">
        <v>1848</v>
      </c>
    </row>
    <row r="106" spans="1:12" x14ac:dyDescent="0.25">
      <c r="A106" t="s">
        <v>223</v>
      </c>
      <c r="J106" t="str">
        <f>IF(ISNUMBER(SEARCH("Phase",tbl_AllElements[[#This Row],[Element Name]])),"Phase",LEFT(tbl_AllElements[[#This Row],[Element Name]],FIND("_",tbl_AllElements[[#This Row],[Element Name]])-1))</f>
        <v>Plate</v>
      </c>
      <c r="K106" t="s">
        <v>1902</v>
      </c>
      <c r="L106" t="s">
        <v>1849</v>
      </c>
    </row>
    <row r="107" spans="1:12" x14ac:dyDescent="0.25">
      <c r="A107" t="s">
        <v>224</v>
      </c>
      <c r="J107" t="str">
        <f>IF(ISNUMBER(SEARCH("Phase",tbl_AllElements[[#This Row],[Element Name]])),"Phase",LEFT(tbl_AllElements[[#This Row],[Element Name]],FIND("_",tbl_AllElements[[#This Row],[Element Name]])-1))</f>
        <v>Plate</v>
      </c>
      <c r="K107" t="s">
        <v>1902</v>
      </c>
      <c r="L107" t="s">
        <v>1890</v>
      </c>
    </row>
    <row r="108" spans="1:12" x14ac:dyDescent="0.25">
      <c r="A108" t="s">
        <v>207</v>
      </c>
      <c r="J108" t="str">
        <f>IF(ISNUMBER(SEARCH("Phase",tbl_AllElements[[#This Row],[Element Name]])),"Phase",LEFT(tbl_AllElements[[#This Row],[Element Name]],FIND("_",tbl_AllElements[[#This Row],[Element Name]])-1))</f>
        <v>EmbeddedBeamRow</v>
      </c>
      <c r="K108" t="s">
        <v>1902</v>
      </c>
      <c r="L108" t="s">
        <v>271</v>
      </c>
    </row>
    <row r="109" spans="1:12" x14ac:dyDescent="0.25">
      <c r="A109" t="s">
        <v>225</v>
      </c>
      <c r="J109" t="str">
        <f>IF(ISNUMBER(SEARCH("Phase",tbl_AllElements[[#This Row],[Element Name]])),"Phase",LEFT(tbl_AllElements[[#This Row],[Element Name]],FIND("_",tbl_AllElements[[#This Row],[Element Name]])-1))</f>
        <v>EmbeddedBeamRow</v>
      </c>
      <c r="K109" t="s">
        <v>1902</v>
      </c>
      <c r="L109" t="s">
        <v>261</v>
      </c>
    </row>
    <row r="110" spans="1:12" x14ac:dyDescent="0.25">
      <c r="A110" t="s">
        <v>210</v>
      </c>
      <c r="J110" t="str">
        <f>IF(ISNUMBER(SEARCH("Phase",tbl_AllElements[[#This Row],[Element Name]])),"Phase",LEFT(tbl_AllElements[[#This Row],[Element Name]],FIND("_",tbl_AllElements[[#This Row],[Element Name]])-1))</f>
        <v>EmbeddedBeamRow</v>
      </c>
      <c r="K110" t="s">
        <v>1902</v>
      </c>
      <c r="L110" t="s">
        <v>262</v>
      </c>
    </row>
    <row r="111" spans="1:12" x14ac:dyDescent="0.25">
      <c r="A111" t="s">
        <v>212</v>
      </c>
      <c r="J111" t="str">
        <f>IF(ISNUMBER(SEARCH("Phase",tbl_AllElements[[#This Row],[Element Name]])),"Phase",LEFT(tbl_AllElements[[#This Row],[Element Name]],FIND("_",tbl_AllElements[[#This Row],[Element Name]])-1))</f>
        <v>EmbeddedBeamRow</v>
      </c>
      <c r="K111" t="s">
        <v>1902</v>
      </c>
      <c r="L111" t="s">
        <v>263</v>
      </c>
    </row>
    <row r="112" spans="1:12" x14ac:dyDescent="0.25">
      <c r="J112" t="str">
        <f>IF(ISNUMBER(SEARCH("Phase",tbl_AllElements[[#This Row],[Element Name]])),"Phase",LEFT(tbl_AllElements[[#This Row],[Element Name]],FIND("_",tbl_AllElements[[#This Row],[Element Name]])-1))</f>
        <v>EmbeddedBeamRow</v>
      </c>
      <c r="K112" t="s">
        <v>1902</v>
      </c>
      <c r="L112" t="s">
        <v>264</v>
      </c>
    </row>
    <row r="113" spans="10:12" x14ac:dyDescent="0.25">
      <c r="J113" t="str">
        <f>IF(ISNUMBER(SEARCH("Phase",tbl_AllElements[[#This Row],[Element Name]])),"Phase",LEFT(tbl_AllElements[[#This Row],[Element Name]],FIND("_",tbl_AllElements[[#This Row],[Element Name]])-1))</f>
        <v>EmbeddedBeamRow</v>
      </c>
      <c r="K113" t="s">
        <v>1902</v>
      </c>
      <c r="L113" t="s">
        <v>265</v>
      </c>
    </row>
    <row r="114" spans="10:12" x14ac:dyDescent="0.25">
      <c r="J114" t="str">
        <f>IF(ISNUMBER(SEARCH("Phase",tbl_AllElements[[#This Row],[Element Name]])),"Phase",LEFT(tbl_AllElements[[#This Row],[Element Name]],FIND("_",tbl_AllElements[[#This Row],[Element Name]])-1))</f>
        <v>EmbeddedBeamRow</v>
      </c>
      <c r="K114" t="s">
        <v>1902</v>
      </c>
      <c r="L114" t="s">
        <v>1891</v>
      </c>
    </row>
    <row r="115" spans="10:12" x14ac:dyDescent="0.25">
      <c r="J115" t="str">
        <f>IF(ISNUMBER(SEARCH("Phase",tbl_AllElements[[#This Row],[Element Name]])),"Phase",LEFT(tbl_AllElements[[#This Row],[Element Name]],FIND("_",tbl_AllElements[[#This Row],[Element Name]])-1))</f>
        <v>NodeToNodeAnchor</v>
      </c>
      <c r="K115" t="s">
        <v>1902</v>
      </c>
      <c r="L115" t="s">
        <v>1892</v>
      </c>
    </row>
    <row r="116" spans="10:12" x14ac:dyDescent="0.25">
      <c r="J116" t="str">
        <f>IF(ISNUMBER(SEARCH("Phase",tbl_AllElements[[#This Row],[Element Name]])),"Phase",LEFT(tbl_AllElements[[#This Row],[Element Name]],FIND("_",tbl_AllElements[[#This Row],[Element Name]])-1))</f>
        <v>NodeToNodeAnchor</v>
      </c>
      <c r="K116" t="s">
        <v>1902</v>
      </c>
      <c r="L116" t="s">
        <v>266</v>
      </c>
    </row>
    <row r="117" spans="10:12" x14ac:dyDescent="0.25">
      <c r="J117" t="str">
        <f>IF(ISNUMBER(SEARCH("Phase",tbl_AllElements[[#This Row],[Element Name]])),"Phase",LEFT(tbl_AllElements[[#This Row],[Element Name]],FIND("_",tbl_AllElements[[#This Row],[Element Name]])-1))</f>
        <v>NodeToNodeAnchor</v>
      </c>
      <c r="K117" t="s">
        <v>1902</v>
      </c>
      <c r="L117" t="s">
        <v>1893</v>
      </c>
    </row>
    <row r="118" spans="10:12" x14ac:dyDescent="0.25">
      <c r="J118" t="str">
        <f>IF(ISNUMBER(SEARCH("Phase",tbl_AllElements[[#This Row],[Element Name]])),"Phase",LEFT(tbl_AllElements[[#This Row],[Element Name]],FIND("_",tbl_AllElements[[#This Row],[Element Name]])-1))</f>
        <v>NodeToNodeAnchor</v>
      </c>
      <c r="K118" t="s">
        <v>1902</v>
      </c>
      <c r="L118" t="s">
        <v>1894</v>
      </c>
    </row>
    <row r="119" spans="10:12" x14ac:dyDescent="0.25">
      <c r="J119" t="str">
        <f>IF(ISNUMBER(SEARCH("Phase",tbl_AllElements[[#This Row],[Element Name]])),"Phase",LEFT(tbl_AllElements[[#This Row],[Element Name]],FIND("_",tbl_AllElements[[#This Row],[Element Name]])-1))</f>
        <v>NodeToNodeAnchor</v>
      </c>
      <c r="K119" t="s">
        <v>1902</v>
      </c>
      <c r="L119" t="s">
        <v>1895</v>
      </c>
    </row>
    <row r="120" spans="10:12" x14ac:dyDescent="0.25">
      <c r="J120" t="str">
        <f>IF(ISNUMBER(SEARCH("Phase",tbl_AllElements[[#This Row],[Element Name]])),"Phase",LEFT(tbl_AllElements[[#This Row],[Element Name]],FIND("_",tbl_AllElements[[#This Row],[Element Name]])-1))</f>
        <v>NodeToNodeAnchor</v>
      </c>
      <c r="K120" t="s">
        <v>1902</v>
      </c>
      <c r="L120" t="s">
        <v>1896</v>
      </c>
    </row>
    <row r="121" spans="10:12" x14ac:dyDescent="0.25">
      <c r="J121" t="str">
        <f>IF(ISNUMBER(SEARCH("Phase",tbl_AllElements[[#This Row],[Element Name]])),"Phase",LEFT(tbl_AllElements[[#This Row],[Element Name]],FIND("_",tbl_AllElements[[#This Row],[Element Name]])-1))</f>
        <v>FixedEndAnchor</v>
      </c>
      <c r="K121" t="s">
        <v>1902</v>
      </c>
      <c r="L121" t="s">
        <v>1897</v>
      </c>
    </row>
    <row r="122" spans="10:12" x14ac:dyDescent="0.25">
      <c r="J122" t="str">
        <f>IF(ISNUMBER(SEARCH("Phase",tbl_AllElements[[#This Row],[Element Name]])),"Phase",LEFT(tbl_AllElements[[#This Row],[Element Name]],FIND("_",tbl_AllElements[[#This Row],[Element Name]])-1))</f>
        <v>FixedEndAnchor</v>
      </c>
      <c r="K122" t="s">
        <v>1902</v>
      </c>
      <c r="L122" t="s">
        <v>1898</v>
      </c>
    </row>
    <row r="123" spans="10:12" x14ac:dyDescent="0.25">
      <c r="J123" t="str">
        <f>IF(ISNUMBER(SEARCH("Phase",tbl_AllElements[[#This Row],[Element Name]])),"Phase",LEFT(tbl_AllElements[[#This Row],[Element Name]],FIND("_",tbl_AllElements[[#This Row],[Element Name]])-1))</f>
        <v>FixedEndAnchor</v>
      </c>
      <c r="K123" t="s">
        <v>1902</v>
      </c>
      <c r="L123" t="s">
        <v>1899</v>
      </c>
    </row>
    <row r="124" spans="10:12" x14ac:dyDescent="0.25">
      <c r="J124" t="str">
        <f>IF(ISNUMBER(SEARCH("Phase",tbl_AllElements[[#This Row],[Element Name]])),"Phase",LEFT(tbl_AllElements[[#This Row],[Element Name]],FIND("_",tbl_AllElements[[#This Row],[Element Name]])-1))</f>
        <v>NegativeInterface</v>
      </c>
      <c r="K124" t="s">
        <v>1902</v>
      </c>
      <c r="L124" t="s">
        <v>256</v>
      </c>
    </row>
    <row r="125" spans="10:12" x14ac:dyDescent="0.25">
      <c r="J125" t="str">
        <f>IF(ISNUMBER(SEARCH("Phase",tbl_AllElements[[#This Row],[Element Name]])),"Phase",LEFT(tbl_AllElements[[#This Row],[Element Name]],FIND("_",tbl_AllElements[[#This Row],[Element Name]])-1))</f>
        <v>NegativeInterface</v>
      </c>
      <c r="K125" t="s">
        <v>1902</v>
      </c>
      <c r="L125" t="s">
        <v>257</v>
      </c>
    </row>
    <row r="126" spans="10:12" x14ac:dyDescent="0.25">
      <c r="J126" t="str">
        <f>IF(ISNUMBER(SEARCH("Phase",tbl_AllElements[[#This Row],[Element Name]])),"Phase",LEFT(tbl_AllElements[[#This Row],[Element Name]],FIND("_",tbl_AllElements[[#This Row],[Element Name]])-1))</f>
        <v>NegativeInterface</v>
      </c>
      <c r="K126" t="s">
        <v>1902</v>
      </c>
      <c r="L126" t="s">
        <v>1900</v>
      </c>
    </row>
    <row r="127" spans="10:12" x14ac:dyDescent="0.25">
      <c r="J127" t="str">
        <f>IF(ISNUMBER(SEARCH("Phase",tbl_AllElements[[#This Row],[Element Name]])),"Phase",LEFT(tbl_AllElements[[#This Row],[Element Name]],FIND("_",tbl_AllElements[[#This Row],[Element Name]])-1))</f>
        <v>PositiveInterface</v>
      </c>
      <c r="K127" t="s">
        <v>1902</v>
      </c>
      <c r="L127" t="s">
        <v>258</v>
      </c>
    </row>
    <row r="128" spans="10:12" x14ac:dyDescent="0.25">
      <c r="J128" t="str">
        <f>IF(ISNUMBER(SEARCH("Phase",tbl_AllElements[[#This Row],[Element Name]])),"Phase",LEFT(tbl_AllElements[[#This Row],[Element Name]],FIND("_",tbl_AllElements[[#This Row],[Element Name]])-1))</f>
        <v>PositiveInterface</v>
      </c>
      <c r="K128" t="s">
        <v>1902</v>
      </c>
      <c r="L128" t="s">
        <v>259</v>
      </c>
    </row>
    <row r="129" spans="10:12" x14ac:dyDescent="0.25">
      <c r="J129" t="str">
        <f>IF(ISNUMBER(SEARCH("Phase",tbl_AllElements[[#This Row],[Element Name]])),"Phase",LEFT(tbl_AllElements[[#This Row],[Element Name]],FIND("_",tbl_AllElements[[#This Row],[Element Name]])-1))</f>
        <v>PositiveInterface</v>
      </c>
      <c r="K129" t="s">
        <v>1902</v>
      </c>
      <c r="L129" t="s">
        <v>1901</v>
      </c>
    </row>
    <row r="130" spans="10:12" x14ac:dyDescent="0.25">
      <c r="J130" t="str">
        <f>IF(ISNUMBER(SEARCH("Phase",tbl_AllElements[[#This Row],[Element Name]])),"Phase",LEFT(tbl_AllElements[[#This Row],[Element Name]],FIND("_",tbl_AllElements[[#This Row],[Element Name]])-1))</f>
        <v>Phase</v>
      </c>
      <c r="K130" t="s">
        <v>1904</v>
      </c>
      <c r="L130" t="s">
        <v>260</v>
      </c>
    </row>
    <row r="131" spans="10:12" x14ac:dyDescent="0.25">
      <c r="J131" t="str">
        <f>IF(ISNUMBER(SEARCH("Phase",tbl_AllElements[[#This Row],[Element Name]])),"Phase",LEFT(tbl_AllElements[[#This Row],[Element Name]],FIND("_",tbl_AllElements[[#This Row],[Element Name]])-1))</f>
        <v>Phase</v>
      </c>
      <c r="K131" t="s">
        <v>1904</v>
      </c>
      <c r="L131" t="s">
        <v>1852</v>
      </c>
    </row>
    <row r="132" spans="10:12" x14ac:dyDescent="0.25">
      <c r="J132" t="str">
        <f>IF(ISNUMBER(SEARCH("Phase",tbl_AllElements[[#This Row],[Element Name]])),"Phase",LEFT(tbl_AllElements[[#This Row],[Element Name]],FIND("_",tbl_AllElements[[#This Row],[Element Name]])-1))</f>
        <v>Phase</v>
      </c>
      <c r="K132" t="s">
        <v>1904</v>
      </c>
      <c r="L132" t="s">
        <v>1903</v>
      </c>
    </row>
    <row r="133" spans="10:12" x14ac:dyDescent="0.25">
      <c r="J133" t="str">
        <f>IF(ISNUMBER(SEARCH("Phase",tbl_AllElements[[#This Row],[Element Name]])),"Phase",LEFT(tbl_AllElements[[#This Row],[Element Name]],FIND("_",tbl_AllElements[[#This Row],[Element Name]])-1))</f>
        <v>Phase</v>
      </c>
      <c r="K133" t="s">
        <v>1904</v>
      </c>
      <c r="L133" t="s">
        <v>1854</v>
      </c>
    </row>
    <row r="134" spans="10:12" x14ac:dyDescent="0.25">
      <c r="J134" t="str">
        <f>IF(ISNUMBER(SEARCH("Phase",tbl_AllElements[[#This Row],[Element Name]])),"Phase",LEFT(tbl_AllElements[[#This Row],[Element Name]],FIND("_",tbl_AllElements[[#This Row],[Element Name]])-1))</f>
        <v>Phase</v>
      </c>
      <c r="K134" t="s">
        <v>1904</v>
      </c>
      <c r="L134" t="s">
        <v>1855</v>
      </c>
    </row>
    <row r="135" spans="10:12" x14ac:dyDescent="0.25">
      <c r="J135" t="str">
        <f>IF(ISNUMBER(SEARCH("Phase",tbl_AllElements[[#This Row],[Element Name]])),"Phase",LEFT(tbl_AllElements[[#This Row],[Element Name]],FIND("_",tbl_AllElements[[#This Row],[Element Name]])-1))</f>
        <v>Phase</v>
      </c>
      <c r="K135" t="s">
        <v>1904</v>
      </c>
      <c r="L135" t="s">
        <v>1856</v>
      </c>
    </row>
    <row r="136" spans="10:12" x14ac:dyDescent="0.25">
      <c r="J136" t="str">
        <f>IF(ISNUMBER(SEARCH("Phase",tbl_AllElements[[#This Row],[Element Name]])),"Phase",LEFT(tbl_AllElements[[#This Row],[Element Name]],FIND("_",tbl_AllElements[[#This Row],[Element Name]])-1))</f>
        <v>Phase</v>
      </c>
      <c r="K136" t="s">
        <v>1904</v>
      </c>
      <c r="L136" t="s">
        <v>1857</v>
      </c>
    </row>
    <row r="137" spans="10:12" x14ac:dyDescent="0.25">
      <c r="J137" t="str">
        <f>IF(ISNUMBER(SEARCH("Phase",tbl_AllElements[[#This Row],[Element Name]])),"Phase",LEFT(tbl_AllElements[[#This Row],[Element Name]],FIND("_",tbl_AllElements[[#This Row],[Element Name]])-1))</f>
        <v>Phase</v>
      </c>
      <c r="K137" t="s">
        <v>1904</v>
      </c>
      <c r="L137" t="s">
        <v>1858</v>
      </c>
    </row>
    <row r="138" spans="10:12" x14ac:dyDescent="0.25">
      <c r="J138" t="str">
        <f>IF(ISNUMBER(SEARCH("Phase",tbl_AllElements[[#This Row],[Element Name]])),"Phase",LEFT(tbl_AllElements[[#This Row],[Element Name]],FIND("_",tbl_AllElements[[#This Row],[Element Name]])-1))</f>
        <v>Phase</v>
      </c>
      <c r="K138" t="s">
        <v>1904</v>
      </c>
      <c r="L138" t="s">
        <v>1859</v>
      </c>
    </row>
    <row r="139" spans="10:12" x14ac:dyDescent="0.25">
      <c r="J139" t="str">
        <f>IF(ISNUMBER(SEARCH("Phase",tbl_AllElements[[#This Row],[Element Name]])),"Phase",LEFT(tbl_AllElements[[#This Row],[Element Name]],FIND("_",tbl_AllElements[[#This Row],[Element Name]])-1))</f>
        <v>Phase</v>
      </c>
      <c r="K139" t="s">
        <v>1904</v>
      </c>
      <c r="L139" t="s">
        <v>1860</v>
      </c>
    </row>
    <row r="140" spans="10:12" x14ac:dyDescent="0.25">
      <c r="J140" t="str">
        <f>IF(ISNUMBER(SEARCH("Phase",tbl_AllElements[[#This Row],[Element Name]])),"Phase",LEFT(tbl_AllElements[[#This Row],[Element Name]],FIND("_",tbl_AllElements[[#This Row],[Element Name]])-1))</f>
        <v>Phase</v>
      </c>
      <c r="K140" t="s">
        <v>1904</v>
      </c>
      <c r="L140" t="s">
        <v>1861</v>
      </c>
    </row>
    <row r="141" spans="10:12" x14ac:dyDescent="0.25">
      <c r="J141" t="str">
        <f>IF(ISNUMBER(SEARCH("Phase",tbl_AllElements[[#This Row],[Element Name]])),"Phase",LEFT(tbl_AllElements[[#This Row],[Element Name]],FIND("_",tbl_AllElements[[#This Row],[Element Name]])-1))</f>
        <v>Phase</v>
      </c>
      <c r="K141" t="s">
        <v>1904</v>
      </c>
      <c r="L141" t="s">
        <v>1862</v>
      </c>
    </row>
    <row r="142" spans="10:12" x14ac:dyDescent="0.25">
      <c r="J142" t="str">
        <f>IF(ISNUMBER(SEARCH("Phase",tbl_AllElements[[#This Row],[Element Name]])),"Phase",LEFT(tbl_AllElements[[#This Row],[Element Name]],FIND("_",tbl_AllElements[[#This Row],[Element Name]])-1))</f>
        <v>Phase</v>
      </c>
      <c r="K142" t="s">
        <v>1904</v>
      </c>
      <c r="L142" t="s">
        <v>1863</v>
      </c>
    </row>
    <row r="143" spans="10:12" x14ac:dyDescent="0.25">
      <c r="J143" t="str">
        <f>IF(ISNUMBER(SEARCH("Phase",tbl_AllElements[[#This Row],[Element Name]])),"Phase",LEFT(tbl_AllElements[[#This Row],[Element Name]],FIND("_",tbl_AllElements[[#This Row],[Element Name]])-1))</f>
        <v>Phase</v>
      </c>
      <c r="K143" t="s">
        <v>1904</v>
      </c>
      <c r="L143" t="s">
        <v>1864</v>
      </c>
    </row>
    <row r="144" spans="10:12" x14ac:dyDescent="0.25">
      <c r="J144" t="str">
        <f>IF(ISNUMBER(SEARCH("Phase",tbl_AllElements[[#This Row],[Element Name]])),"Phase",LEFT(tbl_AllElements[[#This Row],[Element Name]],FIND("_",tbl_AllElements[[#This Row],[Element Name]])-1))</f>
        <v>Phase</v>
      </c>
      <c r="K144" t="s">
        <v>1904</v>
      </c>
      <c r="L144" t="s">
        <v>1865</v>
      </c>
    </row>
    <row r="145" spans="10:12" x14ac:dyDescent="0.25">
      <c r="J145" t="str">
        <f>IF(ISNUMBER(SEARCH("Phase",tbl_AllElements[[#This Row],[Element Name]])),"Phase",LEFT(tbl_AllElements[[#This Row],[Element Name]],FIND("_",tbl_AllElements[[#This Row],[Element Name]])-1))</f>
        <v>Phase</v>
      </c>
      <c r="K145" t="s">
        <v>1904</v>
      </c>
      <c r="L145" t="s">
        <v>1866</v>
      </c>
    </row>
    <row r="146" spans="10:12" x14ac:dyDescent="0.25">
      <c r="J146" t="str">
        <f>IF(ISNUMBER(SEARCH("Phase",tbl_AllElements[[#This Row],[Element Name]])),"Phase",LEFT(tbl_AllElements[[#This Row],[Element Name]],FIND("_",tbl_AllElements[[#This Row],[Element Name]])-1))</f>
        <v>Phase</v>
      </c>
      <c r="K146" t="s">
        <v>1904</v>
      </c>
      <c r="L146" t="s">
        <v>1867</v>
      </c>
    </row>
    <row r="147" spans="10:12" x14ac:dyDescent="0.25">
      <c r="J147" t="str">
        <f>IF(ISNUMBER(SEARCH("Phase",tbl_AllElements[[#This Row],[Element Name]])),"Phase",LEFT(tbl_AllElements[[#This Row],[Element Name]],FIND("_",tbl_AllElements[[#This Row],[Element Name]])-1))</f>
        <v>Phase</v>
      </c>
      <c r="K147" t="s">
        <v>1904</v>
      </c>
      <c r="L147" t="s">
        <v>1868</v>
      </c>
    </row>
    <row r="148" spans="10:12" x14ac:dyDescent="0.25">
      <c r="J148" t="str">
        <f>IF(ISNUMBER(SEARCH("Phase",tbl_AllElements[[#This Row],[Element Name]])),"Phase",LEFT(tbl_AllElements[[#This Row],[Element Name]],FIND("_",tbl_AllElements[[#This Row],[Element Name]])-1))</f>
        <v>Phase</v>
      </c>
      <c r="K148" t="s">
        <v>1904</v>
      </c>
      <c r="L148" t="s">
        <v>1869</v>
      </c>
    </row>
    <row r="149" spans="10:12" x14ac:dyDescent="0.25">
      <c r="J149" t="str">
        <f>IF(ISNUMBER(SEARCH("Phase",tbl_AllElements[[#This Row],[Element Name]])),"Phase",LEFT(tbl_AllElements[[#This Row],[Element Name]],FIND("_",tbl_AllElements[[#This Row],[Element Name]])-1))</f>
        <v>Phase</v>
      </c>
      <c r="K149" t="s">
        <v>1904</v>
      </c>
      <c r="L149" t="s">
        <v>1870</v>
      </c>
    </row>
    <row r="150" spans="10:12" x14ac:dyDescent="0.25">
      <c r="J150" t="str">
        <f>IF(ISNUMBER(SEARCH("Phase",tbl_AllElements[[#This Row],[Element Name]])),"Phase",LEFT(tbl_AllElements[[#This Row],[Element Name]],FIND("_",tbl_AllElements[[#This Row],[Element Name]])-1))</f>
        <v>Phase</v>
      </c>
      <c r="K150" t="s">
        <v>1904</v>
      </c>
      <c r="L150" t="s">
        <v>1871</v>
      </c>
    </row>
    <row r="151" spans="10:12" x14ac:dyDescent="0.25">
      <c r="J151" t="str">
        <f>IF(ISNUMBER(SEARCH("Phase",tbl_AllElements[[#This Row],[Element Name]])),"Phase",LEFT(tbl_AllElements[[#This Row],[Element Name]],FIND("_",tbl_AllElements[[#This Row],[Element Name]])-1))</f>
        <v>Phase</v>
      </c>
      <c r="K151" t="s">
        <v>1904</v>
      </c>
      <c r="L151" t="s">
        <v>1872</v>
      </c>
    </row>
    <row r="152" spans="10:12" x14ac:dyDescent="0.25">
      <c r="J152" t="str">
        <f>IF(ISNUMBER(SEARCH("Phase",tbl_AllElements[[#This Row],[Element Name]])),"Phase",LEFT(tbl_AllElements[[#This Row],[Element Name]],FIND("_",tbl_AllElements[[#This Row],[Element Name]])-1))</f>
        <v>Phase</v>
      </c>
      <c r="K152" t="s">
        <v>1904</v>
      </c>
      <c r="L152" t="s">
        <v>1873</v>
      </c>
    </row>
    <row r="153" spans="10:12" x14ac:dyDescent="0.25">
      <c r="J153" t="str">
        <f>IF(ISNUMBER(SEARCH("Phase",tbl_AllElements[[#This Row],[Element Name]])),"Phase",LEFT(tbl_AllElements[[#This Row],[Element Name]],FIND("_",tbl_AllElements[[#This Row],[Element Name]])-1))</f>
        <v>Phase</v>
      </c>
      <c r="K153" t="s">
        <v>1904</v>
      </c>
      <c r="L153" t="s">
        <v>1874</v>
      </c>
    </row>
    <row r="154" spans="10:12" x14ac:dyDescent="0.25">
      <c r="J154" t="str">
        <f>IF(ISNUMBER(SEARCH("Phase",tbl_AllElements[[#This Row],[Element Name]])),"Phase",LEFT(tbl_AllElements[[#This Row],[Element Name]],FIND("_",tbl_AllElements[[#This Row],[Element Name]])-1))</f>
        <v>Phase</v>
      </c>
      <c r="K154" t="s">
        <v>1904</v>
      </c>
      <c r="L154" t="s">
        <v>1875</v>
      </c>
    </row>
    <row r="155" spans="10:12" x14ac:dyDescent="0.25">
      <c r="J155" t="str">
        <f>IF(ISNUMBER(SEARCH("Phase",tbl_AllElements[[#This Row],[Element Name]])),"Phase",LEFT(tbl_AllElements[[#This Row],[Element Name]],FIND("_",tbl_AllElements[[#This Row],[Element Name]])-1))</f>
        <v>Phase</v>
      </c>
      <c r="K155" t="s">
        <v>1904</v>
      </c>
      <c r="L155" t="s">
        <v>1876</v>
      </c>
    </row>
    <row r="156" spans="10:12" x14ac:dyDescent="0.25">
      <c r="J156" t="str">
        <f>IF(ISNUMBER(SEARCH("Phase",tbl_AllElements[[#This Row],[Element Name]])),"Phase",LEFT(tbl_AllElements[[#This Row],[Element Name]],FIND("_",tbl_AllElements[[#This Row],[Element Name]])-1))</f>
        <v>Phase</v>
      </c>
      <c r="K156" t="s">
        <v>1904</v>
      </c>
      <c r="L156" t="s">
        <v>1877</v>
      </c>
    </row>
    <row r="157" spans="10:12" x14ac:dyDescent="0.25">
      <c r="J157" t="str">
        <f>IF(ISNUMBER(SEARCH("Phase",tbl_AllElements[[#This Row],[Element Name]])),"Phase",LEFT(tbl_AllElements[[#This Row],[Element Name]],FIND("_",tbl_AllElements[[#This Row],[Element Name]])-1))</f>
        <v>Phase</v>
      </c>
      <c r="K157" t="s">
        <v>1904</v>
      </c>
      <c r="L157" t="s">
        <v>1878</v>
      </c>
    </row>
    <row r="158" spans="10:12" x14ac:dyDescent="0.25">
      <c r="J158" t="str">
        <f>IF(ISNUMBER(SEARCH("Phase",tbl_AllElements[[#This Row],[Element Name]])),"Phase",LEFT(tbl_AllElements[[#This Row],[Element Name]],FIND("_",tbl_AllElements[[#This Row],[Element Name]])-1))</f>
        <v>Phase</v>
      </c>
      <c r="K158" t="s">
        <v>1904</v>
      </c>
      <c r="L158" t="s">
        <v>1879</v>
      </c>
    </row>
    <row r="159" spans="10:12" x14ac:dyDescent="0.25">
      <c r="J159" t="str">
        <f>IF(ISNUMBER(SEARCH("Phase",tbl_AllElements[[#This Row],[Element Name]])),"Phase",LEFT(tbl_AllElements[[#This Row],[Element Name]],FIND("_",tbl_AllElements[[#This Row],[Element Name]])-1))</f>
        <v>Phase</v>
      </c>
      <c r="K159" t="s">
        <v>1904</v>
      </c>
      <c r="L159" t="s">
        <v>1880</v>
      </c>
    </row>
    <row r="160" spans="10:12" x14ac:dyDescent="0.25">
      <c r="J160" t="str">
        <f>IF(ISNUMBER(SEARCH("Phase",tbl_AllElements[[#This Row],[Element Name]])),"Phase",LEFT(tbl_AllElements[[#This Row],[Element Name]],FIND("_",tbl_AllElements[[#This Row],[Element Name]])-1))</f>
        <v>Phase</v>
      </c>
      <c r="K160" t="s">
        <v>1904</v>
      </c>
      <c r="L160" t="s">
        <v>1881</v>
      </c>
    </row>
    <row r="161" spans="10:12" x14ac:dyDescent="0.25">
      <c r="J161" t="str">
        <f>IF(ISNUMBER(SEARCH("Phase",tbl_AllElements[[#This Row],[Element Name]])),"Phase",LEFT(tbl_AllElements[[#This Row],[Element Name]],FIND("_",tbl_AllElements[[#This Row],[Element Name]])-1))</f>
        <v>Plate</v>
      </c>
      <c r="K161" t="s">
        <v>1904</v>
      </c>
      <c r="L161" t="s">
        <v>244</v>
      </c>
    </row>
    <row r="162" spans="10:12" x14ac:dyDescent="0.25">
      <c r="J162" t="str">
        <f>IF(ISNUMBER(SEARCH("Phase",tbl_AllElements[[#This Row],[Element Name]])),"Phase",LEFT(tbl_AllElements[[#This Row],[Element Name]],FIND("_",tbl_AllElements[[#This Row],[Element Name]])-1))</f>
        <v>Plate</v>
      </c>
      <c r="K162" t="s">
        <v>1904</v>
      </c>
      <c r="L162" t="s">
        <v>245</v>
      </c>
    </row>
    <row r="163" spans="10:12" x14ac:dyDescent="0.25">
      <c r="J163" t="str">
        <f>IF(ISNUMBER(SEARCH("Phase",tbl_AllElements[[#This Row],[Element Name]])),"Phase",LEFT(tbl_AllElements[[#This Row],[Element Name]],FIND("_",tbl_AllElements[[#This Row],[Element Name]])-1))</f>
        <v>Plate</v>
      </c>
      <c r="K163" t="s">
        <v>1904</v>
      </c>
      <c r="L163" t="s">
        <v>254</v>
      </c>
    </row>
    <row r="164" spans="10:12" x14ac:dyDescent="0.25">
      <c r="J164" t="str">
        <f>IF(ISNUMBER(SEARCH("Phase",tbl_AllElements[[#This Row],[Element Name]])),"Phase",LEFT(tbl_AllElements[[#This Row],[Element Name]],FIND("_",tbl_AllElements[[#This Row],[Element Name]])-1))</f>
        <v>Plate</v>
      </c>
      <c r="K164" t="s">
        <v>1904</v>
      </c>
      <c r="L164" t="s">
        <v>1847</v>
      </c>
    </row>
    <row r="165" spans="10:12" x14ac:dyDescent="0.25">
      <c r="J165" t="str">
        <f>IF(ISNUMBER(SEARCH("Phase",tbl_AllElements[[#This Row],[Element Name]])),"Phase",LEFT(tbl_AllElements[[#This Row],[Element Name]],FIND("_",tbl_AllElements[[#This Row],[Element Name]])-1))</f>
        <v>Plate</v>
      </c>
      <c r="K165" t="s">
        <v>1904</v>
      </c>
      <c r="L165" t="s">
        <v>1848</v>
      </c>
    </row>
    <row r="166" spans="10:12" x14ac:dyDescent="0.25">
      <c r="J166" t="str">
        <f>IF(ISNUMBER(SEARCH("Phase",tbl_AllElements[[#This Row],[Element Name]])),"Phase",LEFT(tbl_AllElements[[#This Row],[Element Name]],FIND("_",tbl_AllElements[[#This Row],[Element Name]])-1))</f>
        <v>Plate</v>
      </c>
      <c r="K166" t="s">
        <v>1904</v>
      </c>
      <c r="L166" t="s">
        <v>1849</v>
      </c>
    </row>
    <row r="167" spans="10:12" x14ac:dyDescent="0.25">
      <c r="J167" t="str">
        <f>IF(ISNUMBER(SEARCH("Phase",tbl_AllElements[[#This Row],[Element Name]])),"Phase",LEFT(tbl_AllElements[[#This Row],[Element Name]],FIND("_",tbl_AllElements[[#This Row],[Element Name]])-1))</f>
        <v>Plate</v>
      </c>
      <c r="K167" t="s">
        <v>1904</v>
      </c>
      <c r="L167" t="s">
        <v>1890</v>
      </c>
    </row>
    <row r="168" spans="10:12" x14ac:dyDescent="0.25">
      <c r="J168" t="str">
        <f>IF(ISNUMBER(SEARCH("Phase",tbl_AllElements[[#This Row],[Element Name]])),"Phase",LEFT(tbl_AllElements[[#This Row],[Element Name]],FIND("_",tbl_AllElements[[#This Row],[Element Name]])-1))</f>
        <v>EmbeddedBeamRow</v>
      </c>
      <c r="K168" t="s">
        <v>1904</v>
      </c>
      <c r="L168" t="s">
        <v>271</v>
      </c>
    </row>
    <row r="169" spans="10:12" x14ac:dyDescent="0.25">
      <c r="J169" t="str">
        <f>IF(ISNUMBER(SEARCH("Phase",tbl_AllElements[[#This Row],[Element Name]])),"Phase",LEFT(tbl_AllElements[[#This Row],[Element Name]],FIND("_",tbl_AllElements[[#This Row],[Element Name]])-1))</f>
        <v>EmbeddedBeamRow</v>
      </c>
      <c r="K169" t="s">
        <v>1904</v>
      </c>
      <c r="L169" t="s">
        <v>261</v>
      </c>
    </row>
    <row r="170" spans="10:12" x14ac:dyDescent="0.25">
      <c r="J170" t="str">
        <f>IF(ISNUMBER(SEARCH("Phase",tbl_AllElements[[#This Row],[Element Name]])),"Phase",LEFT(tbl_AllElements[[#This Row],[Element Name]],FIND("_",tbl_AllElements[[#This Row],[Element Name]])-1))</f>
        <v>EmbeddedBeamRow</v>
      </c>
      <c r="K170" t="s">
        <v>1904</v>
      </c>
      <c r="L170" t="s">
        <v>262</v>
      </c>
    </row>
    <row r="171" spans="10:12" x14ac:dyDescent="0.25">
      <c r="J171" t="str">
        <f>IF(ISNUMBER(SEARCH("Phase",tbl_AllElements[[#This Row],[Element Name]])),"Phase",LEFT(tbl_AllElements[[#This Row],[Element Name]],FIND("_",tbl_AllElements[[#This Row],[Element Name]])-1))</f>
        <v>EmbeddedBeamRow</v>
      </c>
      <c r="K171" t="s">
        <v>1904</v>
      </c>
      <c r="L171" t="s">
        <v>263</v>
      </c>
    </row>
    <row r="172" spans="10:12" x14ac:dyDescent="0.25">
      <c r="J172" t="str">
        <f>IF(ISNUMBER(SEARCH("Phase",tbl_AllElements[[#This Row],[Element Name]])),"Phase",LEFT(tbl_AllElements[[#This Row],[Element Name]],FIND("_",tbl_AllElements[[#This Row],[Element Name]])-1))</f>
        <v>EmbeddedBeamRow</v>
      </c>
      <c r="K172" t="s">
        <v>1904</v>
      </c>
      <c r="L172" t="s">
        <v>264</v>
      </c>
    </row>
    <row r="173" spans="10:12" x14ac:dyDescent="0.25">
      <c r="J173" t="str">
        <f>IF(ISNUMBER(SEARCH("Phase",tbl_AllElements[[#This Row],[Element Name]])),"Phase",LEFT(tbl_AllElements[[#This Row],[Element Name]],FIND("_",tbl_AllElements[[#This Row],[Element Name]])-1))</f>
        <v>EmbeddedBeamRow</v>
      </c>
      <c r="K173" t="s">
        <v>1904</v>
      </c>
      <c r="L173" t="s">
        <v>265</v>
      </c>
    </row>
    <row r="174" spans="10:12" x14ac:dyDescent="0.25">
      <c r="J174" t="str">
        <f>IF(ISNUMBER(SEARCH("Phase",tbl_AllElements[[#This Row],[Element Name]])),"Phase",LEFT(tbl_AllElements[[#This Row],[Element Name]],FIND("_",tbl_AllElements[[#This Row],[Element Name]])-1))</f>
        <v>EmbeddedBeamRow</v>
      </c>
      <c r="K174" t="s">
        <v>1904</v>
      </c>
      <c r="L174" t="s">
        <v>1891</v>
      </c>
    </row>
    <row r="175" spans="10:12" x14ac:dyDescent="0.25">
      <c r="J175" t="str">
        <f>IF(ISNUMBER(SEARCH("Phase",tbl_AllElements[[#This Row],[Element Name]])),"Phase",LEFT(tbl_AllElements[[#This Row],[Element Name]],FIND("_",tbl_AllElements[[#This Row],[Element Name]])-1))</f>
        <v>NodeToNodeAnchor</v>
      </c>
      <c r="K175" t="s">
        <v>1904</v>
      </c>
      <c r="L175" t="s">
        <v>1892</v>
      </c>
    </row>
    <row r="176" spans="10:12" x14ac:dyDescent="0.25">
      <c r="J176" t="str">
        <f>IF(ISNUMBER(SEARCH("Phase",tbl_AllElements[[#This Row],[Element Name]])),"Phase",LEFT(tbl_AllElements[[#This Row],[Element Name]],FIND("_",tbl_AllElements[[#This Row],[Element Name]])-1))</f>
        <v>NodeToNodeAnchor</v>
      </c>
      <c r="K176" t="s">
        <v>1904</v>
      </c>
      <c r="L176" t="s">
        <v>266</v>
      </c>
    </row>
    <row r="177" spans="10:12" x14ac:dyDescent="0.25">
      <c r="J177" t="str">
        <f>IF(ISNUMBER(SEARCH("Phase",tbl_AllElements[[#This Row],[Element Name]])),"Phase",LEFT(tbl_AllElements[[#This Row],[Element Name]],FIND("_",tbl_AllElements[[#This Row],[Element Name]])-1))</f>
        <v>NodeToNodeAnchor</v>
      </c>
      <c r="K177" t="s">
        <v>1904</v>
      </c>
      <c r="L177" t="s">
        <v>1893</v>
      </c>
    </row>
    <row r="178" spans="10:12" x14ac:dyDescent="0.25">
      <c r="J178" t="str">
        <f>IF(ISNUMBER(SEARCH("Phase",tbl_AllElements[[#This Row],[Element Name]])),"Phase",LEFT(tbl_AllElements[[#This Row],[Element Name]],FIND("_",tbl_AllElements[[#This Row],[Element Name]])-1))</f>
        <v>NodeToNodeAnchor</v>
      </c>
      <c r="K178" t="s">
        <v>1904</v>
      </c>
      <c r="L178" t="s">
        <v>1894</v>
      </c>
    </row>
    <row r="179" spans="10:12" x14ac:dyDescent="0.25">
      <c r="J179" t="str">
        <f>IF(ISNUMBER(SEARCH("Phase",tbl_AllElements[[#This Row],[Element Name]])),"Phase",LEFT(tbl_AllElements[[#This Row],[Element Name]],FIND("_",tbl_AllElements[[#This Row],[Element Name]])-1))</f>
        <v>NodeToNodeAnchor</v>
      </c>
      <c r="K179" t="s">
        <v>1904</v>
      </c>
      <c r="L179" t="s">
        <v>1895</v>
      </c>
    </row>
    <row r="180" spans="10:12" x14ac:dyDescent="0.25">
      <c r="J180" t="str">
        <f>IF(ISNUMBER(SEARCH("Phase",tbl_AllElements[[#This Row],[Element Name]])),"Phase",LEFT(tbl_AllElements[[#This Row],[Element Name]],FIND("_",tbl_AllElements[[#This Row],[Element Name]])-1))</f>
        <v>NodeToNodeAnchor</v>
      </c>
      <c r="K180" t="s">
        <v>1904</v>
      </c>
      <c r="L180" t="s">
        <v>1896</v>
      </c>
    </row>
    <row r="181" spans="10:12" x14ac:dyDescent="0.25">
      <c r="J181" t="str">
        <f>IF(ISNUMBER(SEARCH("Phase",tbl_AllElements[[#This Row],[Element Name]])),"Phase",LEFT(tbl_AllElements[[#This Row],[Element Name]],FIND("_",tbl_AllElements[[#This Row],[Element Name]])-1))</f>
        <v>FixedEndAnchor</v>
      </c>
      <c r="K181" t="s">
        <v>1904</v>
      </c>
      <c r="L181" t="s">
        <v>1897</v>
      </c>
    </row>
    <row r="182" spans="10:12" x14ac:dyDescent="0.25">
      <c r="J182" t="str">
        <f>IF(ISNUMBER(SEARCH("Phase",tbl_AllElements[[#This Row],[Element Name]])),"Phase",LEFT(tbl_AllElements[[#This Row],[Element Name]],FIND("_",tbl_AllElements[[#This Row],[Element Name]])-1))</f>
        <v>FixedEndAnchor</v>
      </c>
      <c r="K182" t="s">
        <v>1904</v>
      </c>
      <c r="L182" t="s">
        <v>1898</v>
      </c>
    </row>
    <row r="183" spans="10:12" x14ac:dyDescent="0.25">
      <c r="J183" t="str">
        <f>IF(ISNUMBER(SEARCH("Phase",tbl_AllElements[[#This Row],[Element Name]])),"Phase",LEFT(tbl_AllElements[[#This Row],[Element Name]],FIND("_",tbl_AllElements[[#This Row],[Element Name]])-1))</f>
        <v>FixedEndAnchor</v>
      </c>
      <c r="K183" t="s">
        <v>1904</v>
      </c>
      <c r="L183" t="s">
        <v>1899</v>
      </c>
    </row>
    <row r="184" spans="10:12" x14ac:dyDescent="0.25">
      <c r="J184" t="str">
        <f>IF(ISNUMBER(SEARCH("Phase",tbl_AllElements[[#This Row],[Element Name]])),"Phase",LEFT(tbl_AllElements[[#This Row],[Element Name]],FIND("_",tbl_AllElements[[#This Row],[Element Name]])-1))</f>
        <v>NegativeInterface</v>
      </c>
      <c r="K184" t="s">
        <v>1904</v>
      </c>
      <c r="L184" t="s">
        <v>256</v>
      </c>
    </row>
    <row r="185" spans="10:12" x14ac:dyDescent="0.25">
      <c r="J185" t="str">
        <f>IF(ISNUMBER(SEARCH("Phase",tbl_AllElements[[#This Row],[Element Name]])),"Phase",LEFT(tbl_AllElements[[#This Row],[Element Name]],FIND("_",tbl_AllElements[[#This Row],[Element Name]])-1))</f>
        <v>NegativeInterface</v>
      </c>
      <c r="K185" t="s">
        <v>1904</v>
      </c>
      <c r="L185" t="s">
        <v>257</v>
      </c>
    </row>
    <row r="186" spans="10:12" x14ac:dyDescent="0.25">
      <c r="J186" t="str">
        <f>IF(ISNUMBER(SEARCH("Phase",tbl_AllElements[[#This Row],[Element Name]])),"Phase",LEFT(tbl_AllElements[[#This Row],[Element Name]],FIND("_",tbl_AllElements[[#This Row],[Element Name]])-1))</f>
        <v>NegativeInterface</v>
      </c>
      <c r="K186" t="s">
        <v>1904</v>
      </c>
      <c r="L186" t="s">
        <v>1900</v>
      </c>
    </row>
    <row r="187" spans="10:12" x14ac:dyDescent="0.25">
      <c r="J187" t="str">
        <f>IF(ISNUMBER(SEARCH("Phase",tbl_AllElements[[#This Row],[Element Name]])),"Phase",LEFT(tbl_AllElements[[#This Row],[Element Name]],FIND("_",tbl_AllElements[[#This Row],[Element Name]])-1))</f>
        <v>PositiveInterface</v>
      </c>
      <c r="K187" t="s">
        <v>1904</v>
      </c>
      <c r="L187" t="s">
        <v>258</v>
      </c>
    </row>
    <row r="188" spans="10:12" x14ac:dyDescent="0.25">
      <c r="J188" t="str">
        <f>IF(ISNUMBER(SEARCH("Phase",tbl_AllElements[[#This Row],[Element Name]])),"Phase",LEFT(tbl_AllElements[[#This Row],[Element Name]],FIND("_",tbl_AllElements[[#This Row],[Element Name]])-1))</f>
        <v>PositiveInterface</v>
      </c>
      <c r="K188" t="s">
        <v>1904</v>
      </c>
      <c r="L188" t="s">
        <v>259</v>
      </c>
    </row>
    <row r="189" spans="10:12" x14ac:dyDescent="0.25">
      <c r="J189" t="str">
        <f>IF(ISNUMBER(SEARCH("Phase",tbl_AllElements[[#This Row],[Element Name]])),"Phase",LEFT(tbl_AllElements[[#This Row],[Element Name]],FIND("_",tbl_AllElements[[#This Row],[Element Name]])-1))</f>
        <v>PositiveInterface</v>
      </c>
      <c r="K189" t="s">
        <v>1904</v>
      </c>
      <c r="L189" t="s">
        <v>1901</v>
      </c>
    </row>
    <row r="190" spans="10:12" x14ac:dyDescent="0.25">
      <c r="J190" t="str">
        <f>IF(ISNUMBER(SEARCH("Phase",tbl_AllElements[[#This Row],[Element Name]])),"Phase",LEFT(tbl_AllElements[[#This Row],[Element Name]],FIND("_",tbl_AllElements[[#This Row],[Element Name]])-1))</f>
        <v>Phase</v>
      </c>
      <c r="K190" t="s">
        <v>1905</v>
      </c>
      <c r="L190" t="s">
        <v>260</v>
      </c>
    </row>
    <row r="191" spans="10:12" x14ac:dyDescent="0.25">
      <c r="J191" t="str">
        <f>IF(ISNUMBER(SEARCH("Phase",tbl_AllElements[[#This Row],[Element Name]])),"Phase",LEFT(tbl_AllElements[[#This Row],[Element Name]],FIND("_",tbl_AllElements[[#This Row],[Element Name]])-1))</f>
        <v>Phase</v>
      </c>
      <c r="K191" t="s">
        <v>1905</v>
      </c>
      <c r="L191" t="s">
        <v>1852</v>
      </c>
    </row>
    <row r="192" spans="10:12" x14ac:dyDescent="0.25">
      <c r="J192" t="str">
        <f>IF(ISNUMBER(SEARCH("Phase",tbl_AllElements[[#This Row],[Element Name]])),"Phase",LEFT(tbl_AllElements[[#This Row],[Element Name]],FIND("_",tbl_AllElements[[#This Row],[Element Name]])-1))</f>
        <v>Phase</v>
      </c>
      <c r="K192" t="s">
        <v>1905</v>
      </c>
      <c r="L192" t="s">
        <v>1853</v>
      </c>
    </row>
    <row r="193" spans="10:12" x14ac:dyDescent="0.25">
      <c r="J193" t="str">
        <f>IF(ISNUMBER(SEARCH("Phase",tbl_AllElements[[#This Row],[Element Name]])),"Phase",LEFT(tbl_AllElements[[#This Row],[Element Name]],FIND("_",tbl_AllElements[[#This Row],[Element Name]])-1))</f>
        <v>Phase</v>
      </c>
      <c r="K193" t="s">
        <v>1905</v>
      </c>
      <c r="L193" t="s">
        <v>1854</v>
      </c>
    </row>
    <row r="194" spans="10:12" x14ac:dyDescent="0.25">
      <c r="J194" t="str">
        <f>IF(ISNUMBER(SEARCH("Phase",tbl_AllElements[[#This Row],[Element Name]])),"Phase",LEFT(tbl_AllElements[[#This Row],[Element Name]],FIND("_",tbl_AllElements[[#This Row],[Element Name]])-1))</f>
        <v>Phase</v>
      </c>
      <c r="K194" t="s">
        <v>1905</v>
      </c>
      <c r="L194" t="s">
        <v>1855</v>
      </c>
    </row>
    <row r="195" spans="10:12" x14ac:dyDescent="0.25">
      <c r="J195" t="str">
        <f>IF(ISNUMBER(SEARCH("Phase",tbl_AllElements[[#This Row],[Element Name]])),"Phase",LEFT(tbl_AllElements[[#This Row],[Element Name]],FIND("_",tbl_AllElements[[#This Row],[Element Name]])-1))</f>
        <v>Phase</v>
      </c>
      <c r="K195" t="s">
        <v>1905</v>
      </c>
      <c r="L195" t="s">
        <v>1856</v>
      </c>
    </row>
    <row r="196" spans="10:12" x14ac:dyDescent="0.25">
      <c r="J196" t="str">
        <f>IF(ISNUMBER(SEARCH("Phase",tbl_AllElements[[#This Row],[Element Name]])),"Phase",LEFT(tbl_AllElements[[#This Row],[Element Name]],FIND("_",tbl_AllElements[[#This Row],[Element Name]])-1))</f>
        <v>Phase</v>
      </c>
      <c r="K196" t="s">
        <v>1905</v>
      </c>
      <c r="L196" t="s">
        <v>1857</v>
      </c>
    </row>
    <row r="197" spans="10:12" x14ac:dyDescent="0.25">
      <c r="J197" t="str">
        <f>IF(ISNUMBER(SEARCH("Phase",tbl_AllElements[[#This Row],[Element Name]])),"Phase",LEFT(tbl_AllElements[[#This Row],[Element Name]],FIND("_",tbl_AllElements[[#This Row],[Element Name]])-1))</f>
        <v>Phase</v>
      </c>
      <c r="K197" t="s">
        <v>1905</v>
      </c>
      <c r="L197" t="s">
        <v>1858</v>
      </c>
    </row>
    <row r="198" spans="10:12" x14ac:dyDescent="0.25">
      <c r="J198" t="str">
        <f>IF(ISNUMBER(SEARCH("Phase",tbl_AllElements[[#This Row],[Element Name]])),"Phase",LEFT(tbl_AllElements[[#This Row],[Element Name]],FIND("_",tbl_AllElements[[#This Row],[Element Name]])-1))</f>
        <v>Phase</v>
      </c>
      <c r="K198" t="s">
        <v>1905</v>
      </c>
      <c r="L198" t="s">
        <v>1859</v>
      </c>
    </row>
    <row r="199" spans="10:12" x14ac:dyDescent="0.25">
      <c r="J199" t="str">
        <f>IF(ISNUMBER(SEARCH("Phase",tbl_AllElements[[#This Row],[Element Name]])),"Phase",LEFT(tbl_AllElements[[#This Row],[Element Name]],FIND("_",tbl_AllElements[[#This Row],[Element Name]])-1))</f>
        <v>Phase</v>
      </c>
      <c r="K199" t="s">
        <v>1905</v>
      </c>
      <c r="L199" t="s">
        <v>1860</v>
      </c>
    </row>
    <row r="200" spans="10:12" x14ac:dyDescent="0.25">
      <c r="J200" t="str">
        <f>IF(ISNUMBER(SEARCH("Phase",tbl_AllElements[[#This Row],[Element Name]])),"Phase",LEFT(tbl_AllElements[[#This Row],[Element Name]],FIND("_",tbl_AllElements[[#This Row],[Element Name]])-1))</f>
        <v>Phase</v>
      </c>
      <c r="K200" t="s">
        <v>1905</v>
      </c>
      <c r="L200" t="s">
        <v>1861</v>
      </c>
    </row>
    <row r="201" spans="10:12" x14ac:dyDescent="0.25">
      <c r="J201" t="str">
        <f>IF(ISNUMBER(SEARCH("Phase",tbl_AllElements[[#This Row],[Element Name]])),"Phase",LEFT(tbl_AllElements[[#This Row],[Element Name]],FIND("_",tbl_AllElements[[#This Row],[Element Name]])-1))</f>
        <v>Phase</v>
      </c>
      <c r="K201" t="s">
        <v>1905</v>
      </c>
      <c r="L201" t="s">
        <v>1862</v>
      </c>
    </row>
    <row r="202" spans="10:12" x14ac:dyDescent="0.25">
      <c r="J202" t="str">
        <f>IF(ISNUMBER(SEARCH("Phase",tbl_AllElements[[#This Row],[Element Name]])),"Phase",LEFT(tbl_AllElements[[#This Row],[Element Name]],FIND("_",tbl_AllElements[[#This Row],[Element Name]])-1))</f>
        <v>Phase</v>
      </c>
      <c r="K202" t="s">
        <v>1905</v>
      </c>
      <c r="L202" t="s">
        <v>1863</v>
      </c>
    </row>
    <row r="203" spans="10:12" x14ac:dyDescent="0.25">
      <c r="J203" t="str">
        <f>IF(ISNUMBER(SEARCH("Phase",tbl_AllElements[[#This Row],[Element Name]])),"Phase",LEFT(tbl_AllElements[[#This Row],[Element Name]],FIND("_",tbl_AllElements[[#This Row],[Element Name]])-1))</f>
        <v>Phase</v>
      </c>
      <c r="K203" t="s">
        <v>1905</v>
      </c>
      <c r="L203" t="s">
        <v>1864</v>
      </c>
    </row>
    <row r="204" spans="10:12" x14ac:dyDescent="0.25">
      <c r="J204" t="str">
        <f>IF(ISNUMBER(SEARCH("Phase",tbl_AllElements[[#This Row],[Element Name]])),"Phase",LEFT(tbl_AllElements[[#This Row],[Element Name]],FIND("_",tbl_AllElements[[#This Row],[Element Name]])-1))</f>
        <v>Phase</v>
      </c>
      <c r="K204" t="s">
        <v>1905</v>
      </c>
      <c r="L204" t="s">
        <v>1865</v>
      </c>
    </row>
    <row r="205" spans="10:12" x14ac:dyDescent="0.25">
      <c r="J205" t="str">
        <f>IF(ISNUMBER(SEARCH("Phase",tbl_AllElements[[#This Row],[Element Name]])),"Phase",LEFT(tbl_AllElements[[#This Row],[Element Name]],FIND("_",tbl_AllElements[[#This Row],[Element Name]])-1))</f>
        <v>Phase</v>
      </c>
      <c r="K205" t="s">
        <v>1905</v>
      </c>
      <c r="L205" t="s">
        <v>1866</v>
      </c>
    </row>
    <row r="206" spans="10:12" x14ac:dyDescent="0.25">
      <c r="J206" t="str">
        <f>IF(ISNUMBER(SEARCH("Phase",tbl_AllElements[[#This Row],[Element Name]])),"Phase",LEFT(tbl_AllElements[[#This Row],[Element Name]],FIND("_",tbl_AllElements[[#This Row],[Element Name]])-1))</f>
        <v>Phase</v>
      </c>
      <c r="K206" t="s">
        <v>1905</v>
      </c>
      <c r="L206" t="s">
        <v>1867</v>
      </c>
    </row>
    <row r="207" spans="10:12" x14ac:dyDescent="0.25">
      <c r="J207" t="str">
        <f>IF(ISNUMBER(SEARCH("Phase",tbl_AllElements[[#This Row],[Element Name]])),"Phase",LEFT(tbl_AllElements[[#This Row],[Element Name]],FIND("_",tbl_AllElements[[#This Row],[Element Name]])-1))</f>
        <v>Phase</v>
      </c>
      <c r="K207" t="s">
        <v>1905</v>
      </c>
      <c r="L207" t="s">
        <v>1868</v>
      </c>
    </row>
    <row r="208" spans="10:12" x14ac:dyDescent="0.25">
      <c r="J208" t="str">
        <f>IF(ISNUMBER(SEARCH("Phase",tbl_AllElements[[#This Row],[Element Name]])),"Phase",LEFT(tbl_AllElements[[#This Row],[Element Name]],FIND("_",tbl_AllElements[[#This Row],[Element Name]])-1))</f>
        <v>Phase</v>
      </c>
      <c r="K208" t="s">
        <v>1905</v>
      </c>
      <c r="L208" t="s">
        <v>1869</v>
      </c>
    </row>
    <row r="209" spans="10:12" x14ac:dyDescent="0.25">
      <c r="J209" t="str">
        <f>IF(ISNUMBER(SEARCH("Phase",tbl_AllElements[[#This Row],[Element Name]])),"Phase",LEFT(tbl_AllElements[[#This Row],[Element Name]],FIND("_",tbl_AllElements[[#This Row],[Element Name]])-1))</f>
        <v>Phase</v>
      </c>
      <c r="K209" t="s">
        <v>1905</v>
      </c>
      <c r="L209" t="s">
        <v>1870</v>
      </c>
    </row>
    <row r="210" spans="10:12" x14ac:dyDescent="0.25">
      <c r="J210" t="str">
        <f>IF(ISNUMBER(SEARCH("Phase",tbl_AllElements[[#This Row],[Element Name]])),"Phase",LEFT(tbl_AllElements[[#This Row],[Element Name]],FIND("_",tbl_AllElements[[#This Row],[Element Name]])-1))</f>
        <v>Phase</v>
      </c>
      <c r="K210" t="s">
        <v>1905</v>
      </c>
      <c r="L210" t="s">
        <v>1871</v>
      </c>
    </row>
    <row r="211" spans="10:12" x14ac:dyDescent="0.25">
      <c r="J211" t="str">
        <f>IF(ISNUMBER(SEARCH("Phase",tbl_AllElements[[#This Row],[Element Name]])),"Phase",LEFT(tbl_AllElements[[#This Row],[Element Name]],FIND("_",tbl_AllElements[[#This Row],[Element Name]])-1))</f>
        <v>Phase</v>
      </c>
      <c r="K211" t="s">
        <v>1905</v>
      </c>
      <c r="L211" t="s">
        <v>1872</v>
      </c>
    </row>
    <row r="212" spans="10:12" x14ac:dyDescent="0.25">
      <c r="J212" t="str">
        <f>IF(ISNUMBER(SEARCH("Phase",tbl_AllElements[[#This Row],[Element Name]])),"Phase",LEFT(tbl_AllElements[[#This Row],[Element Name]],FIND("_",tbl_AllElements[[#This Row],[Element Name]])-1))</f>
        <v>Phase</v>
      </c>
      <c r="K212" t="s">
        <v>1905</v>
      </c>
      <c r="L212" t="s">
        <v>1873</v>
      </c>
    </row>
    <row r="213" spans="10:12" x14ac:dyDescent="0.25">
      <c r="J213" t="str">
        <f>IF(ISNUMBER(SEARCH("Phase",tbl_AllElements[[#This Row],[Element Name]])),"Phase",LEFT(tbl_AllElements[[#This Row],[Element Name]],FIND("_",tbl_AllElements[[#This Row],[Element Name]])-1))</f>
        <v>Phase</v>
      </c>
      <c r="K213" t="s">
        <v>1905</v>
      </c>
      <c r="L213" t="s">
        <v>1874</v>
      </c>
    </row>
    <row r="214" spans="10:12" x14ac:dyDescent="0.25">
      <c r="J214" t="str">
        <f>IF(ISNUMBER(SEARCH("Phase",tbl_AllElements[[#This Row],[Element Name]])),"Phase",LEFT(tbl_AllElements[[#This Row],[Element Name]],FIND("_",tbl_AllElements[[#This Row],[Element Name]])-1))</f>
        <v>Phase</v>
      </c>
      <c r="K214" t="s">
        <v>1905</v>
      </c>
      <c r="L214" t="s">
        <v>1875</v>
      </c>
    </row>
    <row r="215" spans="10:12" x14ac:dyDescent="0.25">
      <c r="J215" t="str">
        <f>IF(ISNUMBER(SEARCH("Phase",tbl_AllElements[[#This Row],[Element Name]])),"Phase",LEFT(tbl_AllElements[[#This Row],[Element Name]],FIND("_",tbl_AllElements[[#This Row],[Element Name]])-1))</f>
        <v>Phase</v>
      </c>
      <c r="K215" t="s">
        <v>1905</v>
      </c>
      <c r="L215" t="s">
        <v>1876</v>
      </c>
    </row>
    <row r="216" spans="10:12" x14ac:dyDescent="0.25">
      <c r="J216" t="str">
        <f>IF(ISNUMBER(SEARCH("Phase",tbl_AllElements[[#This Row],[Element Name]])),"Phase",LEFT(tbl_AllElements[[#This Row],[Element Name]],FIND("_",tbl_AllElements[[#This Row],[Element Name]])-1))</f>
        <v>Phase</v>
      </c>
      <c r="K216" t="s">
        <v>1905</v>
      </c>
      <c r="L216" t="s">
        <v>1877</v>
      </c>
    </row>
    <row r="217" spans="10:12" x14ac:dyDescent="0.25">
      <c r="J217" t="str">
        <f>IF(ISNUMBER(SEARCH("Phase",tbl_AllElements[[#This Row],[Element Name]])),"Phase",LEFT(tbl_AllElements[[#This Row],[Element Name]],FIND("_",tbl_AllElements[[#This Row],[Element Name]])-1))</f>
        <v>Phase</v>
      </c>
      <c r="K217" t="s">
        <v>1905</v>
      </c>
      <c r="L217" t="s">
        <v>1878</v>
      </c>
    </row>
    <row r="218" spans="10:12" x14ac:dyDescent="0.25">
      <c r="J218" t="str">
        <f>IF(ISNUMBER(SEARCH("Phase",tbl_AllElements[[#This Row],[Element Name]])),"Phase",LEFT(tbl_AllElements[[#This Row],[Element Name]],FIND("_",tbl_AllElements[[#This Row],[Element Name]])-1))</f>
        <v>Phase</v>
      </c>
      <c r="K218" t="s">
        <v>1905</v>
      </c>
      <c r="L218" t="s">
        <v>1879</v>
      </c>
    </row>
    <row r="219" spans="10:12" x14ac:dyDescent="0.25">
      <c r="J219" t="str">
        <f>IF(ISNUMBER(SEARCH("Phase",tbl_AllElements[[#This Row],[Element Name]])),"Phase",LEFT(tbl_AllElements[[#This Row],[Element Name]],FIND("_",tbl_AllElements[[#This Row],[Element Name]])-1))</f>
        <v>Phase</v>
      </c>
      <c r="K219" t="s">
        <v>1905</v>
      </c>
      <c r="L219" t="s">
        <v>1880</v>
      </c>
    </row>
    <row r="220" spans="10:12" x14ac:dyDescent="0.25">
      <c r="J220" t="str">
        <f>IF(ISNUMBER(SEARCH("Phase",tbl_AllElements[[#This Row],[Element Name]])),"Phase",LEFT(tbl_AllElements[[#This Row],[Element Name]],FIND("_",tbl_AllElements[[#This Row],[Element Name]])-1))</f>
        <v>Phase</v>
      </c>
      <c r="K220" t="s">
        <v>1905</v>
      </c>
      <c r="L220" t="s">
        <v>1881</v>
      </c>
    </row>
    <row r="221" spans="10:12" x14ac:dyDescent="0.25">
      <c r="J221" t="str">
        <f>IF(ISNUMBER(SEARCH("Phase",tbl_AllElements[[#This Row],[Element Name]])),"Phase",LEFT(tbl_AllElements[[#This Row],[Element Name]],FIND("_",tbl_AllElements[[#This Row],[Element Name]])-1))</f>
        <v>Phase</v>
      </c>
      <c r="K221" t="s">
        <v>1905</v>
      </c>
      <c r="L221" t="s">
        <v>1883</v>
      </c>
    </row>
    <row r="222" spans="10:12" x14ac:dyDescent="0.25">
      <c r="J222" t="str">
        <f>IF(ISNUMBER(SEARCH("Phase",tbl_AllElements[[#This Row],[Element Name]])),"Phase",LEFT(tbl_AllElements[[#This Row],[Element Name]],FIND("_",tbl_AllElements[[#This Row],[Element Name]])-1))</f>
        <v>Phase</v>
      </c>
      <c r="K222" t="s">
        <v>1905</v>
      </c>
      <c r="L222" t="s">
        <v>1884</v>
      </c>
    </row>
    <row r="223" spans="10:12" x14ac:dyDescent="0.25">
      <c r="J223" t="str">
        <f>IF(ISNUMBER(SEARCH("Phase",tbl_AllElements[[#This Row],[Element Name]])),"Phase",LEFT(tbl_AllElements[[#This Row],[Element Name]],FIND("_",tbl_AllElements[[#This Row],[Element Name]])-1))</f>
        <v>Phase</v>
      </c>
      <c r="K223" t="s">
        <v>1905</v>
      </c>
      <c r="L223" t="s">
        <v>1885</v>
      </c>
    </row>
    <row r="224" spans="10:12" x14ac:dyDescent="0.25">
      <c r="J224" t="str">
        <f>IF(ISNUMBER(SEARCH("Phase",tbl_AllElements[[#This Row],[Element Name]])),"Phase",LEFT(tbl_AllElements[[#This Row],[Element Name]],FIND("_",tbl_AllElements[[#This Row],[Element Name]])-1))</f>
        <v>Phase</v>
      </c>
      <c r="K224" t="s">
        <v>1905</v>
      </c>
      <c r="L224" t="s">
        <v>1886</v>
      </c>
    </row>
    <row r="225" spans="10:12" x14ac:dyDescent="0.25">
      <c r="J225" t="str">
        <f>IF(ISNUMBER(SEARCH("Phase",tbl_AllElements[[#This Row],[Element Name]])),"Phase",LEFT(tbl_AllElements[[#This Row],[Element Name]],FIND("_",tbl_AllElements[[#This Row],[Element Name]])-1))</f>
        <v>Phase</v>
      </c>
      <c r="K225" t="s">
        <v>1905</v>
      </c>
      <c r="L225" t="s">
        <v>1887</v>
      </c>
    </row>
    <row r="226" spans="10:12" x14ac:dyDescent="0.25">
      <c r="J226" t="str">
        <f>IF(ISNUMBER(SEARCH("Phase",tbl_AllElements[[#This Row],[Element Name]])),"Phase",LEFT(tbl_AllElements[[#This Row],[Element Name]],FIND("_",tbl_AllElements[[#This Row],[Element Name]])-1))</f>
        <v>Phase</v>
      </c>
      <c r="K226" t="s">
        <v>1905</v>
      </c>
      <c r="L226" t="s">
        <v>1888</v>
      </c>
    </row>
    <row r="227" spans="10:12" x14ac:dyDescent="0.25">
      <c r="J227" t="str">
        <f>IF(ISNUMBER(SEARCH("Phase",tbl_AllElements[[#This Row],[Element Name]])),"Phase",LEFT(tbl_AllElements[[#This Row],[Element Name]],FIND("_",tbl_AllElements[[#This Row],[Element Name]])-1))</f>
        <v>Phase</v>
      </c>
      <c r="K227" t="s">
        <v>1905</v>
      </c>
      <c r="L227" t="s">
        <v>1889</v>
      </c>
    </row>
    <row r="228" spans="10:12" x14ac:dyDescent="0.25">
      <c r="J228" t="str">
        <f>IF(ISNUMBER(SEARCH("Phase",tbl_AllElements[[#This Row],[Element Name]])),"Phase",LEFT(tbl_AllElements[[#This Row],[Element Name]],FIND("_",tbl_AllElements[[#This Row],[Element Name]])-1))</f>
        <v>Plate</v>
      </c>
      <c r="K228" t="s">
        <v>1905</v>
      </c>
      <c r="L228" t="s">
        <v>244</v>
      </c>
    </row>
    <row r="229" spans="10:12" x14ac:dyDescent="0.25">
      <c r="J229" t="str">
        <f>IF(ISNUMBER(SEARCH("Phase",tbl_AllElements[[#This Row],[Element Name]])),"Phase",LEFT(tbl_AllElements[[#This Row],[Element Name]],FIND("_",tbl_AllElements[[#This Row],[Element Name]])-1))</f>
        <v>Plate</v>
      </c>
      <c r="K229" t="s">
        <v>1905</v>
      </c>
      <c r="L229" t="s">
        <v>245</v>
      </c>
    </row>
    <row r="230" spans="10:12" x14ac:dyDescent="0.25">
      <c r="J230" t="str">
        <f>IF(ISNUMBER(SEARCH("Phase",tbl_AllElements[[#This Row],[Element Name]])),"Phase",LEFT(tbl_AllElements[[#This Row],[Element Name]],FIND("_",tbl_AllElements[[#This Row],[Element Name]])-1))</f>
        <v>Plate</v>
      </c>
      <c r="K230" t="s">
        <v>1905</v>
      </c>
      <c r="L230" t="s">
        <v>254</v>
      </c>
    </row>
    <row r="231" spans="10:12" x14ac:dyDescent="0.25">
      <c r="J231" t="str">
        <f>IF(ISNUMBER(SEARCH("Phase",tbl_AllElements[[#This Row],[Element Name]])),"Phase",LEFT(tbl_AllElements[[#This Row],[Element Name]],FIND("_",tbl_AllElements[[#This Row],[Element Name]])-1))</f>
        <v>Plate</v>
      </c>
      <c r="K231" t="s">
        <v>1905</v>
      </c>
      <c r="L231" t="s">
        <v>1847</v>
      </c>
    </row>
    <row r="232" spans="10:12" x14ac:dyDescent="0.25">
      <c r="J232" t="str">
        <f>IF(ISNUMBER(SEARCH("Phase",tbl_AllElements[[#This Row],[Element Name]])),"Phase",LEFT(tbl_AllElements[[#This Row],[Element Name]],FIND("_",tbl_AllElements[[#This Row],[Element Name]])-1))</f>
        <v>Plate</v>
      </c>
      <c r="K232" t="s">
        <v>1905</v>
      </c>
      <c r="L232" t="s">
        <v>1848</v>
      </c>
    </row>
    <row r="233" spans="10:12" x14ac:dyDescent="0.25">
      <c r="J233" t="str">
        <f>IF(ISNUMBER(SEARCH("Phase",tbl_AllElements[[#This Row],[Element Name]])),"Phase",LEFT(tbl_AllElements[[#This Row],[Element Name]],FIND("_",tbl_AllElements[[#This Row],[Element Name]])-1))</f>
        <v>Plate</v>
      </c>
      <c r="K233" t="s">
        <v>1905</v>
      </c>
      <c r="L233" t="s">
        <v>1849</v>
      </c>
    </row>
    <row r="234" spans="10:12" x14ac:dyDescent="0.25">
      <c r="J234" t="str">
        <f>IF(ISNUMBER(SEARCH("Phase",tbl_AllElements[[#This Row],[Element Name]])),"Phase",LEFT(tbl_AllElements[[#This Row],[Element Name]],FIND("_",tbl_AllElements[[#This Row],[Element Name]])-1))</f>
        <v>Plate</v>
      </c>
      <c r="K234" t="s">
        <v>1905</v>
      </c>
      <c r="L234" t="s">
        <v>1890</v>
      </c>
    </row>
    <row r="235" spans="10:12" x14ac:dyDescent="0.25">
      <c r="J235" t="str">
        <f>IF(ISNUMBER(SEARCH("Phase",tbl_AllElements[[#This Row],[Element Name]])),"Phase",LEFT(tbl_AllElements[[#This Row],[Element Name]],FIND("_",tbl_AllElements[[#This Row],[Element Name]])-1))</f>
        <v>EmbeddedBeamRow</v>
      </c>
      <c r="K235" t="s">
        <v>1905</v>
      </c>
      <c r="L235" t="s">
        <v>271</v>
      </c>
    </row>
    <row r="236" spans="10:12" x14ac:dyDescent="0.25">
      <c r="J236" t="str">
        <f>IF(ISNUMBER(SEARCH("Phase",tbl_AllElements[[#This Row],[Element Name]])),"Phase",LEFT(tbl_AllElements[[#This Row],[Element Name]],FIND("_",tbl_AllElements[[#This Row],[Element Name]])-1))</f>
        <v>EmbeddedBeamRow</v>
      </c>
      <c r="K236" t="s">
        <v>1905</v>
      </c>
      <c r="L236" t="s">
        <v>261</v>
      </c>
    </row>
    <row r="237" spans="10:12" x14ac:dyDescent="0.25">
      <c r="J237" t="str">
        <f>IF(ISNUMBER(SEARCH("Phase",tbl_AllElements[[#This Row],[Element Name]])),"Phase",LEFT(tbl_AllElements[[#This Row],[Element Name]],FIND("_",tbl_AllElements[[#This Row],[Element Name]])-1))</f>
        <v>EmbeddedBeamRow</v>
      </c>
      <c r="K237" t="s">
        <v>1905</v>
      </c>
      <c r="L237" t="s">
        <v>262</v>
      </c>
    </row>
    <row r="238" spans="10:12" x14ac:dyDescent="0.25">
      <c r="J238" t="str">
        <f>IF(ISNUMBER(SEARCH("Phase",tbl_AllElements[[#This Row],[Element Name]])),"Phase",LEFT(tbl_AllElements[[#This Row],[Element Name]],FIND("_",tbl_AllElements[[#This Row],[Element Name]])-1))</f>
        <v>EmbeddedBeamRow</v>
      </c>
      <c r="K238" t="s">
        <v>1905</v>
      </c>
      <c r="L238" t="s">
        <v>263</v>
      </c>
    </row>
    <row r="239" spans="10:12" x14ac:dyDescent="0.25">
      <c r="J239" t="str">
        <f>IF(ISNUMBER(SEARCH("Phase",tbl_AllElements[[#This Row],[Element Name]])),"Phase",LEFT(tbl_AllElements[[#This Row],[Element Name]],FIND("_",tbl_AllElements[[#This Row],[Element Name]])-1))</f>
        <v>EmbeddedBeamRow</v>
      </c>
      <c r="K239" t="s">
        <v>1905</v>
      </c>
      <c r="L239" t="s">
        <v>264</v>
      </c>
    </row>
    <row r="240" spans="10:12" x14ac:dyDescent="0.25">
      <c r="J240" t="str">
        <f>IF(ISNUMBER(SEARCH("Phase",tbl_AllElements[[#This Row],[Element Name]])),"Phase",LEFT(tbl_AllElements[[#This Row],[Element Name]],FIND("_",tbl_AllElements[[#This Row],[Element Name]])-1))</f>
        <v>EmbeddedBeamRow</v>
      </c>
      <c r="K240" t="s">
        <v>1905</v>
      </c>
      <c r="L240" t="s">
        <v>265</v>
      </c>
    </row>
    <row r="241" spans="10:12" x14ac:dyDescent="0.25">
      <c r="J241" t="str">
        <f>IF(ISNUMBER(SEARCH("Phase",tbl_AllElements[[#This Row],[Element Name]])),"Phase",LEFT(tbl_AllElements[[#This Row],[Element Name]],FIND("_",tbl_AllElements[[#This Row],[Element Name]])-1))</f>
        <v>EmbeddedBeamRow</v>
      </c>
      <c r="K241" t="s">
        <v>1905</v>
      </c>
      <c r="L241" t="s">
        <v>1891</v>
      </c>
    </row>
    <row r="242" spans="10:12" x14ac:dyDescent="0.25">
      <c r="J242" t="str">
        <f>IF(ISNUMBER(SEARCH("Phase",tbl_AllElements[[#This Row],[Element Name]])),"Phase",LEFT(tbl_AllElements[[#This Row],[Element Name]],FIND("_",tbl_AllElements[[#This Row],[Element Name]])-1))</f>
        <v>NodeToNodeAnchor</v>
      </c>
      <c r="K242" t="s">
        <v>1905</v>
      </c>
      <c r="L242" t="s">
        <v>1892</v>
      </c>
    </row>
    <row r="243" spans="10:12" x14ac:dyDescent="0.25">
      <c r="J243" t="str">
        <f>IF(ISNUMBER(SEARCH("Phase",tbl_AllElements[[#This Row],[Element Name]])),"Phase",LEFT(tbl_AllElements[[#This Row],[Element Name]],FIND("_",tbl_AllElements[[#This Row],[Element Name]])-1))</f>
        <v>NodeToNodeAnchor</v>
      </c>
      <c r="K243" t="s">
        <v>1905</v>
      </c>
      <c r="L243" t="s">
        <v>266</v>
      </c>
    </row>
    <row r="244" spans="10:12" x14ac:dyDescent="0.25">
      <c r="J244" t="str">
        <f>IF(ISNUMBER(SEARCH("Phase",tbl_AllElements[[#This Row],[Element Name]])),"Phase",LEFT(tbl_AllElements[[#This Row],[Element Name]],FIND("_",tbl_AllElements[[#This Row],[Element Name]])-1))</f>
        <v>NodeToNodeAnchor</v>
      </c>
      <c r="K244" t="s">
        <v>1905</v>
      </c>
      <c r="L244" t="s">
        <v>1893</v>
      </c>
    </row>
    <row r="245" spans="10:12" x14ac:dyDescent="0.25">
      <c r="J245" t="str">
        <f>IF(ISNUMBER(SEARCH("Phase",tbl_AllElements[[#This Row],[Element Name]])),"Phase",LEFT(tbl_AllElements[[#This Row],[Element Name]],FIND("_",tbl_AllElements[[#This Row],[Element Name]])-1))</f>
        <v>NodeToNodeAnchor</v>
      </c>
      <c r="K245" t="s">
        <v>1905</v>
      </c>
      <c r="L245" t="s">
        <v>1894</v>
      </c>
    </row>
    <row r="246" spans="10:12" x14ac:dyDescent="0.25">
      <c r="J246" t="str">
        <f>IF(ISNUMBER(SEARCH("Phase",tbl_AllElements[[#This Row],[Element Name]])),"Phase",LEFT(tbl_AllElements[[#This Row],[Element Name]],FIND("_",tbl_AllElements[[#This Row],[Element Name]])-1))</f>
        <v>NodeToNodeAnchor</v>
      </c>
      <c r="K246" t="s">
        <v>1905</v>
      </c>
      <c r="L246" t="s">
        <v>1895</v>
      </c>
    </row>
    <row r="247" spans="10:12" x14ac:dyDescent="0.25">
      <c r="J247" t="str">
        <f>IF(ISNUMBER(SEARCH("Phase",tbl_AllElements[[#This Row],[Element Name]])),"Phase",LEFT(tbl_AllElements[[#This Row],[Element Name]],FIND("_",tbl_AllElements[[#This Row],[Element Name]])-1))</f>
        <v>NodeToNodeAnchor</v>
      </c>
      <c r="K247" t="s">
        <v>1905</v>
      </c>
      <c r="L247" t="s">
        <v>1896</v>
      </c>
    </row>
    <row r="248" spans="10:12" x14ac:dyDescent="0.25">
      <c r="J248" t="str">
        <f>IF(ISNUMBER(SEARCH("Phase",tbl_AllElements[[#This Row],[Element Name]])),"Phase",LEFT(tbl_AllElements[[#This Row],[Element Name]],FIND("_",tbl_AllElements[[#This Row],[Element Name]])-1))</f>
        <v>FixedEndAnchor</v>
      </c>
      <c r="K248" t="s">
        <v>1905</v>
      </c>
      <c r="L248" t="s">
        <v>1897</v>
      </c>
    </row>
    <row r="249" spans="10:12" x14ac:dyDescent="0.25">
      <c r="J249" t="str">
        <f>IF(ISNUMBER(SEARCH("Phase",tbl_AllElements[[#This Row],[Element Name]])),"Phase",LEFT(tbl_AllElements[[#This Row],[Element Name]],FIND("_",tbl_AllElements[[#This Row],[Element Name]])-1))</f>
        <v>FixedEndAnchor</v>
      </c>
      <c r="K249" t="s">
        <v>1905</v>
      </c>
      <c r="L249" t="s">
        <v>1898</v>
      </c>
    </row>
    <row r="250" spans="10:12" x14ac:dyDescent="0.25">
      <c r="J250" t="str">
        <f>IF(ISNUMBER(SEARCH("Phase",tbl_AllElements[[#This Row],[Element Name]])),"Phase",LEFT(tbl_AllElements[[#This Row],[Element Name]],FIND("_",tbl_AllElements[[#This Row],[Element Name]])-1))</f>
        <v>FixedEndAnchor</v>
      </c>
      <c r="K250" t="s">
        <v>1905</v>
      </c>
      <c r="L250" t="s">
        <v>1899</v>
      </c>
    </row>
    <row r="251" spans="10:12" x14ac:dyDescent="0.25">
      <c r="J251" t="str">
        <f>IF(ISNUMBER(SEARCH("Phase",tbl_AllElements[[#This Row],[Element Name]])),"Phase",LEFT(tbl_AllElements[[#This Row],[Element Name]],FIND("_",tbl_AllElements[[#This Row],[Element Name]])-1))</f>
        <v>NegativeInterface</v>
      </c>
      <c r="K251" t="s">
        <v>1905</v>
      </c>
      <c r="L251" t="s">
        <v>256</v>
      </c>
    </row>
    <row r="252" spans="10:12" x14ac:dyDescent="0.25">
      <c r="J252" t="str">
        <f>IF(ISNUMBER(SEARCH("Phase",tbl_AllElements[[#This Row],[Element Name]])),"Phase",LEFT(tbl_AllElements[[#This Row],[Element Name]],FIND("_",tbl_AllElements[[#This Row],[Element Name]])-1))</f>
        <v>NegativeInterface</v>
      </c>
      <c r="K252" t="s">
        <v>1905</v>
      </c>
      <c r="L252" t="s">
        <v>257</v>
      </c>
    </row>
    <row r="253" spans="10:12" x14ac:dyDescent="0.25">
      <c r="J253" t="str">
        <f>IF(ISNUMBER(SEARCH("Phase",tbl_AllElements[[#This Row],[Element Name]])),"Phase",LEFT(tbl_AllElements[[#This Row],[Element Name]],FIND("_",tbl_AllElements[[#This Row],[Element Name]])-1))</f>
        <v>NegativeInterface</v>
      </c>
      <c r="K253" t="s">
        <v>1905</v>
      </c>
      <c r="L253" t="s">
        <v>1900</v>
      </c>
    </row>
    <row r="254" spans="10:12" x14ac:dyDescent="0.25">
      <c r="J254" t="str">
        <f>IF(ISNUMBER(SEARCH("Phase",tbl_AllElements[[#This Row],[Element Name]])),"Phase",LEFT(tbl_AllElements[[#This Row],[Element Name]],FIND("_",tbl_AllElements[[#This Row],[Element Name]])-1))</f>
        <v>PositiveInterface</v>
      </c>
      <c r="K254" t="s">
        <v>1905</v>
      </c>
      <c r="L254" t="s">
        <v>258</v>
      </c>
    </row>
    <row r="255" spans="10:12" x14ac:dyDescent="0.25">
      <c r="J255" t="str">
        <f>IF(ISNUMBER(SEARCH("Phase",tbl_AllElements[[#This Row],[Element Name]])),"Phase",LEFT(tbl_AllElements[[#This Row],[Element Name]],FIND("_",tbl_AllElements[[#This Row],[Element Name]])-1))</f>
        <v>PositiveInterface</v>
      </c>
      <c r="K255" t="s">
        <v>1905</v>
      </c>
      <c r="L255" t="s">
        <v>259</v>
      </c>
    </row>
    <row r="256" spans="10:12" x14ac:dyDescent="0.25">
      <c r="J256" t="str">
        <f>IF(ISNUMBER(SEARCH("Phase",tbl_AllElements[[#This Row],[Element Name]])),"Phase",LEFT(tbl_AllElements[[#This Row],[Element Name]],FIND("_",tbl_AllElements[[#This Row],[Element Name]])-1))</f>
        <v>PositiveInterface</v>
      </c>
      <c r="K256" t="s">
        <v>1905</v>
      </c>
      <c r="L256" t="s">
        <v>1901</v>
      </c>
    </row>
    <row r="257" spans="10:12" x14ac:dyDescent="0.25">
      <c r="J257" t="str">
        <f>IF(ISNUMBER(SEARCH("Phase",tbl_AllElements[[#This Row],[Element Name]])),"Phase",LEFT(tbl_AllElements[[#This Row],[Element Name]],FIND("_",tbl_AllElements[[#This Row],[Element Name]])-1))</f>
        <v>Phase</v>
      </c>
      <c r="K257" t="s">
        <v>1906</v>
      </c>
      <c r="L257" t="s">
        <v>260</v>
      </c>
    </row>
    <row r="258" spans="10:12" x14ac:dyDescent="0.25">
      <c r="J258" t="str">
        <f>IF(ISNUMBER(SEARCH("Phase",tbl_AllElements[[#This Row],[Element Name]])),"Phase",LEFT(tbl_AllElements[[#This Row],[Element Name]],FIND("_",tbl_AllElements[[#This Row],[Element Name]])-1))</f>
        <v>Phase</v>
      </c>
      <c r="K258" t="s">
        <v>1906</v>
      </c>
      <c r="L258" t="s">
        <v>1852</v>
      </c>
    </row>
    <row r="259" spans="10:12" x14ac:dyDescent="0.25">
      <c r="J259" t="str">
        <f>IF(ISNUMBER(SEARCH("Phase",tbl_AllElements[[#This Row],[Element Name]])),"Phase",LEFT(tbl_AllElements[[#This Row],[Element Name]],FIND("_",tbl_AllElements[[#This Row],[Element Name]])-1))</f>
        <v>Phase</v>
      </c>
      <c r="K259" t="s">
        <v>1906</v>
      </c>
      <c r="L259" t="s">
        <v>1853</v>
      </c>
    </row>
    <row r="260" spans="10:12" x14ac:dyDescent="0.25">
      <c r="J260" t="str">
        <f>IF(ISNUMBER(SEARCH("Phase",tbl_AllElements[[#This Row],[Element Name]])),"Phase",LEFT(tbl_AllElements[[#This Row],[Element Name]],FIND("_",tbl_AllElements[[#This Row],[Element Name]])-1))</f>
        <v>Phase</v>
      </c>
      <c r="K260" t="s">
        <v>1906</v>
      </c>
      <c r="L260" t="s">
        <v>1854</v>
      </c>
    </row>
    <row r="261" spans="10:12" x14ac:dyDescent="0.25">
      <c r="J261" t="str">
        <f>IF(ISNUMBER(SEARCH("Phase",tbl_AllElements[[#This Row],[Element Name]])),"Phase",LEFT(tbl_AllElements[[#This Row],[Element Name]],FIND("_",tbl_AllElements[[#This Row],[Element Name]])-1))</f>
        <v>Phase</v>
      </c>
      <c r="K261" t="s">
        <v>1906</v>
      </c>
      <c r="L261" t="s">
        <v>1855</v>
      </c>
    </row>
    <row r="262" spans="10:12" x14ac:dyDescent="0.25">
      <c r="J262" t="str">
        <f>IF(ISNUMBER(SEARCH("Phase",tbl_AllElements[[#This Row],[Element Name]])),"Phase",LEFT(tbl_AllElements[[#This Row],[Element Name]],FIND("_",tbl_AllElements[[#This Row],[Element Name]])-1))</f>
        <v>Phase</v>
      </c>
      <c r="K262" t="s">
        <v>1906</v>
      </c>
      <c r="L262" t="s">
        <v>1856</v>
      </c>
    </row>
    <row r="263" spans="10:12" x14ac:dyDescent="0.25">
      <c r="J263" t="str">
        <f>IF(ISNUMBER(SEARCH("Phase",tbl_AllElements[[#This Row],[Element Name]])),"Phase",LEFT(tbl_AllElements[[#This Row],[Element Name]],FIND("_",tbl_AllElements[[#This Row],[Element Name]])-1))</f>
        <v>Phase</v>
      </c>
      <c r="K263" t="s">
        <v>1906</v>
      </c>
      <c r="L263" t="s">
        <v>1857</v>
      </c>
    </row>
    <row r="264" spans="10:12" x14ac:dyDescent="0.25">
      <c r="J264" t="str">
        <f>IF(ISNUMBER(SEARCH("Phase",tbl_AllElements[[#This Row],[Element Name]])),"Phase",LEFT(tbl_AllElements[[#This Row],[Element Name]],FIND("_",tbl_AllElements[[#This Row],[Element Name]])-1))</f>
        <v>Phase</v>
      </c>
      <c r="K264" t="s">
        <v>1906</v>
      </c>
      <c r="L264" t="s">
        <v>1858</v>
      </c>
    </row>
    <row r="265" spans="10:12" x14ac:dyDescent="0.25">
      <c r="J265" t="str">
        <f>IF(ISNUMBER(SEARCH("Phase",tbl_AllElements[[#This Row],[Element Name]])),"Phase",LEFT(tbl_AllElements[[#This Row],[Element Name]],FIND("_",tbl_AllElements[[#This Row],[Element Name]])-1))</f>
        <v>Phase</v>
      </c>
      <c r="K265" t="s">
        <v>1906</v>
      </c>
      <c r="L265" t="s">
        <v>1859</v>
      </c>
    </row>
    <row r="266" spans="10:12" x14ac:dyDescent="0.25">
      <c r="J266" t="str">
        <f>IF(ISNUMBER(SEARCH("Phase",tbl_AllElements[[#This Row],[Element Name]])),"Phase",LEFT(tbl_AllElements[[#This Row],[Element Name]],FIND("_",tbl_AllElements[[#This Row],[Element Name]])-1))</f>
        <v>Phase</v>
      </c>
      <c r="K266" t="s">
        <v>1906</v>
      </c>
      <c r="L266" t="s">
        <v>1860</v>
      </c>
    </row>
    <row r="267" spans="10:12" x14ac:dyDescent="0.25">
      <c r="J267" t="str">
        <f>IF(ISNUMBER(SEARCH("Phase",tbl_AllElements[[#This Row],[Element Name]])),"Phase",LEFT(tbl_AllElements[[#This Row],[Element Name]],FIND("_",tbl_AllElements[[#This Row],[Element Name]])-1))</f>
        <v>Phase</v>
      </c>
      <c r="K267" t="s">
        <v>1906</v>
      </c>
      <c r="L267" t="s">
        <v>1861</v>
      </c>
    </row>
    <row r="268" spans="10:12" x14ac:dyDescent="0.25">
      <c r="J268" t="str">
        <f>IF(ISNUMBER(SEARCH("Phase",tbl_AllElements[[#This Row],[Element Name]])),"Phase",LEFT(tbl_AllElements[[#This Row],[Element Name]],FIND("_",tbl_AllElements[[#This Row],[Element Name]])-1))</f>
        <v>Phase</v>
      </c>
      <c r="K268" t="s">
        <v>1906</v>
      </c>
      <c r="L268" t="s">
        <v>1862</v>
      </c>
    </row>
    <row r="269" spans="10:12" x14ac:dyDescent="0.25">
      <c r="J269" t="str">
        <f>IF(ISNUMBER(SEARCH("Phase",tbl_AllElements[[#This Row],[Element Name]])),"Phase",LEFT(tbl_AllElements[[#This Row],[Element Name]],FIND("_",tbl_AllElements[[#This Row],[Element Name]])-1))</f>
        <v>Phase</v>
      </c>
      <c r="K269" t="s">
        <v>1906</v>
      </c>
      <c r="L269" t="s">
        <v>1863</v>
      </c>
    </row>
    <row r="270" spans="10:12" x14ac:dyDescent="0.25">
      <c r="J270" t="str">
        <f>IF(ISNUMBER(SEARCH("Phase",tbl_AllElements[[#This Row],[Element Name]])),"Phase",LEFT(tbl_AllElements[[#This Row],[Element Name]],FIND("_",tbl_AllElements[[#This Row],[Element Name]])-1))</f>
        <v>Phase</v>
      </c>
      <c r="K270" t="s">
        <v>1906</v>
      </c>
      <c r="L270" t="s">
        <v>1864</v>
      </c>
    </row>
    <row r="271" spans="10:12" x14ac:dyDescent="0.25">
      <c r="J271" t="str">
        <f>IF(ISNUMBER(SEARCH("Phase",tbl_AllElements[[#This Row],[Element Name]])),"Phase",LEFT(tbl_AllElements[[#This Row],[Element Name]],FIND("_",tbl_AllElements[[#This Row],[Element Name]])-1))</f>
        <v>Phase</v>
      </c>
      <c r="K271" t="s">
        <v>1906</v>
      </c>
      <c r="L271" t="s">
        <v>1865</v>
      </c>
    </row>
    <row r="272" spans="10:12" x14ac:dyDescent="0.25">
      <c r="J272" t="str">
        <f>IF(ISNUMBER(SEARCH("Phase",tbl_AllElements[[#This Row],[Element Name]])),"Phase",LEFT(tbl_AllElements[[#This Row],[Element Name]],FIND("_",tbl_AllElements[[#This Row],[Element Name]])-1))</f>
        <v>Phase</v>
      </c>
      <c r="K272" t="s">
        <v>1906</v>
      </c>
      <c r="L272" t="s">
        <v>1866</v>
      </c>
    </row>
    <row r="273" spans="10:12" x14ac:dyDescent="0.25">
      <c r="J273" t="str">
        <f>IF(ISNUMBER(SEARCH("Phase",tbl_AllElements[[#This Row],[Element Name]])),"Phase",LEFT(tbl_AllElements[[#This Row],[Element Name]],FIND("_",tbl_AllElements[[#This Row],[Element Name]])-1))</f>
        <v>Phase</v>
      </c>
      <c r="K273" t="s">
        <v>1906</v>
      </c>
      <c r="L273" t="s">
        <v>1867</v>
      </c>
    </row>
    <row r="274" spans="10:12" x14ac:dyDescent="0.25">
      <c r="J274" t="str">
        <f>IF(ISNUMBER(SEARCH("Phase",tbl_AllElements[[#This Row],[Element Name]])),"Phase",LEFT(tbl_AllElements[[#This Row],[Element Name]],FIND("_",tbl_AllElements[[#This Row],[Element Name]])-1))</f>
        <v>Phase</v>
      </c>
      <c r="K274" t="s">
        <v>1906</v>
      </c>
      <c r="L274" t="s">
        <v>1868</v>
      </c>
    </row>
    <row r="275" spans="10:12" x14ac:dyDescent="0.25">
      <c r="J275" t="str">
        <f>IF(ISNUMBER(SEARCH("Phase",tbl_AllElements[[#This Row],[Element Name]])),"Phase",LEFT(tbl_AllElements[[#This Row],[Element Name]],FIND("_",tbl_AllElements[[#This Row],[Element Name]])-1))</f>
        <v>Phase</v>
      </c>
      <c r="K275" t="s">
        <v>1906</v>
      </c>
      <c r="L275" t="s">
        <v>1869</v>
      </c>
    </row>
    <row r="276" spans="10:12" x14ac:dyDescent="0.25">
      <c r="J276" t="str">
        <f>IF(ISNUMBER(SEARCH("Phase",tbl_AllElements[[#This Row],[Element Name]])),"Phase",LEFT(tbl_AllElements[[#This Row],[Element Name]],FIND("_",tbl_AllElements[[#This Row],[Element Name]])-1))</f>
        <v>Phase</v>
      </c>
      <c r="K276" t="s">
        <v>1906</v>
      </c>
      <c r="L276" t="s">
        <v>1870</v>
      </c>
    </row>
    <row r="277" spans="10:12" x14ac:dyDescent="0.25">
      <c r="J277" t="str">
        <f>IF(ISNUMBER(SEARCH("Phase",tbl_AllElements[[#This Row],[Element Name]])),"Phase",LEFT(tbl_AllElements[[#This Row],[Element Name]],FIND("_",tbl_AllElements[[#This Row],[Element Name]])-1))</f>
        <v>Phase</v>
      </c>
      <c r="K277" t="s">
        <v>1906</v>
      </c>
      <c r="L277" t="s">
        <v>1871</v>
      </c>
    </row>
    <row r="278" spans="10:12" x14ac:dyDescent="0.25">
      <c r="J278" t="str">
        <f>IF(ISNUMBER(SEARCH("Phase",tbl_AllElements[[#This Row],[Element Name]])),"Phase",LEFT(tbl_AllElements[[#This Row],[Element Name]],FIND("_",tbl_AllElements[[#This Row],[Element Name]])-1))</f>
        <v>Phase</v>
      </c>
      <c r="K278" t="s">
        <v>1906</v>
      </c>
      <c r="L278" t="s">
        <v>1872</v>
      </c>
    </row>
    <row r="279" spans="10:12" x14ac:dyDescent="0.25">
      <c r="J279" t="str">
        <f>IF(ISNUMBER(SEARCH("Phase",tbl_AllElements[[#This Row],[Element Name]])),"Phase",LEFT(tbl_AllElements[[#This Row],[Element Name]],FIND("_",tbl_AllElements[[#This Row],[Element Name]])-1))</f>
        <v>Phase</v>
      </c>
      <c r="K279" t="s">
        <v>1906</v>
      </c>
      <c r="L279" t="s">
        <v>1873</v>
      </c>
    </row>
    <row r="280" spans="10:12" x14ac:dyDescent="0.25">
      <c r="J280" t="str">
        <f>IF(ISNUMBER(SEARCH("Phase",tbl_AllElements[[#This Row],[Element Name]])),"Phase",LEFT(tbl_AllElements[[#This Row],[Element Name]],FIND("_",tbl_AllElements[[#This Row],[Element Name]])-1))</f>
        <v>Phase</v>
      </c>
      <c r="K280" t="s">
        <v>1906</v>
      </c>
      <c r="L280" t="s">
        <v>1874</v>
      </c>
    </row>
    <row r="281" spans="10:12" x14ac:dyDescent="0.25">
      <c r="J281" t="str">
        <f>IF(ISNUMBER(SEARCH("Phase",tbl_AllElements[[#This Row],[Element Name]])),"Phase",LEFT(tbl_AllElements[[#This Row],[Element Name]],FIND("_",tbl_AllElements[[#This Row],[Element Name]])-1))</f>
        <v>Phase</v>
      </c>
      <c r="K281" t="s">
        <v>1906</v>
      </c>
      <c r="L281" t="s">
        <v>1875</v>
      </c>
    </row>
    <row r="282" spans="10:12" x14ac:dyDescent="0.25">
      <c r="J282" t="str">
        <f>IF(ISNUMBER(SEARCH("Phase",tbl_AllElements[[#This Row],[Element Name]])),"Phase",LEFT(tbl_AllElements[[#This Row],[Element Name]],FIND("_",tbl_AllElements[[#This Row],[Element Name]])-1))</f>
        <v>Phase</v>
      </c>
      <c r="K282" t="s">
        <v>1906</v>
      </c>
      <c r="L282" t="s">
        <v>1876</v>
      </c>
    </row>
    <row r="283" spans="10:12" x14ac:dyDescent="0.25">
      <c r="J283" t="str">
        <f>IF(ISNUMBER(SEARCH("Phase",tbl_AllElements[[#This Row],[Element Name]])),"Phase",LEFT(tbl_AllElements[[#This Row],[Element Name]],FIND("_",tbl_AllElements[[#This Row],[Element Name]])-1))</f>
        <v>Phase</v>
      </c>
      <c r="K283" t="s">
        <v>1906</v>
      </c>
      <c r="L283" t="s">
        <v>1877</v>
      </c>
    </row>
    <row r="284" spans="10:12" x14ac:dyDescent="0.25">
      <c r="J284" t="str">
        <f>IF(ISNUMBER(SEARCH("Phase",tbl_AllElements[[#This Row],[Element Name]])),"Phase",LEFT(tbl_AllElements[[#This Row],[Element Name]],FIND("_",tbl_AllElements[[#This Row],[Element Name]])-1))</f>
        <v>Phase</v>
      </c>
      <c r="K284" t="s">
        <v>1906</v>
      </c>
      <c r="L284" t="s">
        <v>1878</v>
      </c>
    </row>
    <row r="285" spans="10:12" x14ac:dyDescent="0.25">
      <c r="J285" t="str">
        <f>IF(ISNUMBER(SEARCH("Phase",tbl_AllElements[[#This Row],[Element Name]])),"Phase",LEFT(tbl_AllElements[[#This Row],[Element Name]],FIND("_",tbl_AllElements[[#This Row],[Element Name]])-1))</f>
        <v>Phase</v>
      </c>
      <c r="K285" t="s">
        <v>1906</v>
      </c>
      <c r="L285" t="s">
        <v>1879</v>
      </c>
    </row>
    <row r="286" spans="10:12" x14ac:dyDescent="0.25">
      <c r="J286" t="str">
        <f>IF(ISNUMBER(SEARCH("Phase",tbl_AllElements[[#This Row],[Element Name]])),"Phase",LEFT(tbl_AllElements[[#This Row],[Element Name]],FIND("_",tbl_AllElements[[#This Row],[Element Name]])-1))</f>
        <v>Phase</v>
      </c>
      <c r="K286" t="s">
        <v>1906</v>
      </c>
      <c r="L286" t="s">
        <v>1880</v>
      </c>
    </row>
    <row r="287" spans="10:12" x14ac:dyDescent="0.25">
      <c r="J287" t="str">
        <f>IF(ISNUMBER(SEARCH("Phase",tbl_AllElements[[#This Row],[Element Name]])),"Phase",LEFT(tbl_AllElements[[#This Row],[Element Name]],FIND("_",tbl_AllElements[[#This Row],[Element Name]])-1))</f>
        <v>Phase</v>
      </c>
      <c r="K287" t="s">
        <v>1906</v>
      </c>
      <c r="L287" t="s">
        <v>1881</v>
      </c>
    </row>
    <row r="288" spans="10:12" x14ac:dyDescent="0.25">
      <c r="J288" t="str">
        <f>IF(ISNUMBER(SEARCH("Phase",tbl_AllElements[[#This Row],[Element Name]])),"Phase",LEFT(tbl_AllElements[[#This Row],[Element Name]],FIND("_",tbl_AllElements[[#This Row],[Element Name]])-1))</f>
        <v>Phase</v>
      </c>
      <c r="K288" t="s">
        <v>1906</v>
      </c>
      <c r="L288" t="s">
        <v>1907</v>
      </c>
    </row>
    <row r="289" spans="10:12" x14ac:dyDescent="0.25">
      <c r="J289" t="str">
        <f>IF(ISNUMBER(SEARCH("Phase",tbl_AllElements[[#This Row],[Element Name]])),"Phase",LEFT(tbl_AllElements[[#This Row],[Element Name]],FIND("_",tbl_AllElements[[#This Row],[Element Name]])-1))</f>
        <v>Phase</v>
      </c>
      <c r="K289" t="s">
        <v>1906</v>
      </c>
      <c r="L289" t="s">
        <v>1908</v>
      </c>
    </row>
    <row r="290" spans="10:12" x14ac:dyDescent="0.25">
      <c r="J290" t="str">
        <f>IF(ISNUMBER(SEARCH("Phase",tbl_AllElements[[#This Row],[Element Name]])),"Phase",LEFT(tbl_AllElements[[#This Row],[Element Name]],FIND("_",tbl_AllElements[[#This Row],[Element Name]])-1))</f>
        <v>Plate</v>
      </c>
      <c r="K290" t="s">
        <v>1906</v>
      </c>
      <c r="L290" t="s">
        <v>244</v>
      </c>
    </row>
    <row r="291" spans="10:12" x14ac:dyDescent="0.25">
      <c r="J291" t="str">
        <f>IF(ISNUMBER(SEARCH("Phase",tbl_AllElements[[#This Row],[Element Name]])),"Phase",LEFT(tbl_AllElements[[#This Row],[Element Name]],FIND("_",tbl_AllElements[[#This Row],[Element Name]])-1))</f>
        <v>Plate</v>
      </c>
      <c r="K291" t="s">
        <v>1906</v>
      </c>
      <c r="L291" t="s">
        <v>245</v>
      </c>
    </row>
    <row r="292" spans="10:12" x14ac:dyDescent="0.25">
      <c r="J292" t="str">
        <f>IF(ISNUMBER(SEARCH("Phase",tbl_AllElements[[#This Row],[Element Name]])),"Phase",LEFT(tbl_AllElements[[#This Row],[Element Name]],FIND("_",tbl_AllElements[[#This Row],[Element Name]])-1))</f>
        <v>Plate</v>
      </c>
      <c r="K292" t="s">
        <v>1906</v>
      </c>
      <c r="L292" t="s">
        <v>254</v>
      </c>
    </row>
    <row r="293" spans="10:12" x14ac:dyDescent="0.25">
      <c r="J293" t="str">
        <f>IF(ISNUMBER(SEARCH("Phase",tbl_AllElements[[#This Row],[Element Name]])),"Phase",LEFT(tbl_AllElements[[#This Row],[Element Name]],FIND("_",tbl_AllElements[[#This Row],[Element Name]])-1))</f>
        <v>Plate</v>
      </c>
      <c r="K293" t="s">
        <v>1906</v>
      </c>
      <c r="L293" t="s">
        <v>1847</v>
      </c>
    </row>
    <row r="294" spans="10:12" x14ac:dyDescent="0.25">
      <c r="J294" t="str">
        <f>IF(ISNUMBER(SEARCH("Phase",tbl_AllElements[[#This Row],[Element Name]])),"Phase",LEFT(tbl_AllElements[[#This Row],[Element Name]],FIND("_",tbl_AllElements[[#This Row],[Element Name]])-1))</f>
        <v>Plate</v>
      </c>
      <c r="K294" t="s">
        <v>1906</v>
      </c>
      <c r="L294" t="s">
        <v>1848</v>
      </c>
    </row>
    <row r="295" spans="10:12" x14ac:dyDescent="0.25">
      <c r="J295" t="str">
        <f>IF(ISNUMBER(SEARCH("Phase",tbl_AllElements[[#This Row],[Element Name]])),"Phase",LEFT(tbl_AllElements[[#This Row],[Element Name]],FIND("_",tbl_AllElements[[#This Row],[Element Name]])-1))</f>
        <v>Plate</v>
      </c>
      <c r="K295" t="s">
        <v>1906</v>
      </c>
      <c r="L295" t="s">
        <v>1849</v>
      </c>
    </row>
    <row r="296" spans="10:12" x14ac:dyDescent="0.25">
      <c r="J296" t="str">
        <f>IF(ISNUMBER(SEARCH("Phase",tbl_AllElements[[#This Row],[Element Name]])),"Phase",LEFT(tbl_AllElements[[#This Row],[Element Name]],FIND("_",tbl_AllElements[[#This Row],[Element Name]])-1))</f>
        <v>Plate</v>
      </c>
      <c r="K296" t="s">
        <v>1906</v>
      </c>
      <c r="L296" t="s">
        <v>1890</v>
      </c>
    </row>
    <row r="297" spans="10:12" x14ac:dyDescent="0.25">
      <c r="J297" t="str">
        <f>IF(ISNUMBER(SEARCH("Phase",tbl_AllElements[[#This Row],[Element Name]])),"Phase",LEFT(tbl_AllElements[[#This Row],[Element Name]],FIND("_",tbl_AllElements[[#This Row],[Element Name]])-1))</f>
        <v>EmbeddedBeamRow</v>
      </c>
      <c r="K297" t="s">
        <v>1906</v>
      </c>
      <c r="L297" t="s">
        <v>271</v>
      </c>
    </row>
    <row r="298" spans="10:12" x14ac:dyDescent="0.25">
      <c r="J298" t="str">
        <f>IF(ISNUMBER(SEARCH("Phase",tbl_AllElements[[#This Row],[Element Name]])),"Phase",LEFT(tbl_AllElements[[#This Row],[Element Name]],FIND("_",tbl_AllElements[[#This Row],[Element Name]])-1))</f>
        <v>EmbeddedBeamRow</v>
      </c>
      <c r="K298" t="s">
        <v>1906</v>
      </c>
      <c r="L298" t="s">
        <v>261</v>
      </c>
    </row>
    <row r="299" spans="10:12" x14ac:dyDescent="0.25">
      <c r="J299" t="str">
        <f>IF(ISNUMBER(SEARCH("Phase",tbl_AllElements[[#This Row],[Element Name]])),"Phase",LEFT(tbl_AllElements[[#This Row],[Element Name]],FIND("_",tbl_AllElements[[#This Row],[Element Name]])-1))</f>
        <v>EmbeddedBeamRow</v>
      </c>
      <c r="K299" t="s">
        <v>1906</v>
      </c>
      <c r="L299" t="s">
        <v>262</v>
      </c>
    </row>
    <row r="300" spans="10:12" x14ac:dyDescent="0.25">
      <c r="J300" t="str">
        <f>IF(ISNUMBER(SEARCH("Phase",tbl_AllElements[[#This Row],[Element Name]])),"Phase",LEFT(tbl_AllElements[[#This Row],[Element Name]],FIND("_",tbl_AllElements[[#This Row],[Element Name]])-1))</f>
        <v>EmbeddedBeamRow</v>
      </c>
      <c r="K300" t="s">
        <v>1906</v>
      </c>
      <c r="L300" t="s">
        <v>263</v>
      </c>
    </row>
    <row r="301" spans="10:12" x14ac:dyDescent="0.25">
      <c r="J301" t="str">
        <f>IF(ISNUMBER(SEARCH("Phase",tbl_AllElements[[#This Row],[Element Name]])),"Phase",LEFT(tbl_AllElements[[#This Row],[Element Name]],FIND("_",tbl_AllElements[[#This Row],[Element Name]])-1))</f>
        <v>EmbeddedBeamRow</v>
      </c>
      <c r="K301" t="s">
        <v>1906</v>
      </c>
      <c r="L301" t="s">
        <v>264</v>
      </c>
    </row>
    <row r="302" spans="10:12" x14ac:dyDescent="0.25">
      <c r="J302" t="str">
        <f>IF(ISNUMBER(SEARCH("Phase",tbl_AllElements[[#This Row],[Element Name]])),"Phase",LEFT(tbl_AllElements[[#This Row],[Element Name]],FIND("_",tbl_AllElements[[#This Row],[Element Name]])-1))</f>
        <v>EmbeddedBeamRow</v>
      </c>
      <c r="K302" t="s">
        <v>1906</v>
      </c>
      <c r="L302" t="s">
        <v>265</v>
      </c>
    </row>
    <row r="303" spans="10:12" x14ac:dyDescent="0.25">
      <c r="J303" t="str">
        <f>IF(ISNUMBER(SEARCH("Phase",tbl_AllElements[[#This Row],[Element Name]])),"Phase",LEFT(tbl_AllElements[[#This Row],[Element Name]],FIND("_",tbl_AllElements[[#This Row],[Element Name]])-1))</f>
        <v>EmbeddedBeamRow</v>
      </c>
      <c r="K303" t="s">
        <v>1906</v>
      </c>
      <c r="L303" t="s">
        <v>1891</v>
      </c>
    </row>
    <row r="304" spans="10:12" x14ac:dyDescent="0.25">
      <c r="J304" t="str">
        <f>IF(ISNUMBER(SEARCH("Phase",tbl_AllElements[[#This Row],[Element Name]])),"Phase",LEFT(tbl_AllElements[[#This Row],[Element Name]],FIND("_",tbl_AllElements[[#This Row],[Element Name]])-1))</f>
        <v>NodeToNodeAnchor</v>
      </c>
      <c r="K304" t="s">
        <v>1906</v>
      </c>
      <c r="L304" t="s">
        <v>1892</v>
      </c>
    </row>
    <row r="305" spans="10:12" x14ac:dyDescent="0.25">
      <c r="J305" t="str">
        <f>IF(ISNUMBER(SEARCH("Phase",tbl_AllElements[[#This Row],[Element Name]])),"Phase",LEFT(tbl_AllElements[[#This Row],[Element Name]],FIND("_",tbl_AllElements[[#This Row],[Element Name]])-1))</f>
        <v>NodeToNodeAnchor</v>
      </c>
      <c r="K305" t="s">
        <v>1906</v>
      </c>
      <c r="L305" t="s">
        <v>266</v>
      </c>
    </row>
    <row r="306" spans="10:12" x14ac:dyDescent="0.25">
      <c r="J306" t="str">
        <f>IF(ISNUMBER(SEARCH("Phase",tbl_AllElements[[#This Row],[Element Name]])),"Phase",LEFT(tbl_AllElements[[#This Row],[Element Name]],FIND("_",tbl_AllElements[[#This Row],[Element Name]])-1))</f>
        <v>NodeToNodeAnchor</v>
      </c>
      <c r="K306" t="s">
        <v>1906</v>
      </c>
      <c r="L306" t="s">
        <v>1893</v>
      </c>
    </row>
    <row r="307" spans="10:12" x14ac:dyDescent="0.25">
      <c r="J307" t="str">
        <f>IF(ISNUMBER(SEARCH("Phase",tbl_AllElements[[#This Row],[Element Name]])),"Phase",LEFT(tbl_AllElements[[#This Row],[Element Name]],FIND("_",tbl_AllElements[[#This Row],[Element Name]])-1))</f>
        <v>NodeToNodeAnchor</v>
      </c>
      <c r="K307" t="s">
        <v>1906</v>
      </c>
      <c r="L307" t="s">
        <v>1894</v>
      </c>
    </row>
    <row r="308" spans="10:12" x14ac:dyDescent="0.25">
      <c r="J308" t="str">
        <f>IF(ISNUMBER(SEARCH("Phase",tbl_AllElements[[#This Row],[Element Name]])),"Phase",LEFT(tbl_AllElements[[#This Row],[Element Name]],FIND("_",tbl_AllElements[[#This Row],[Element Name]])-1))</f>
        <v>NodeToNodeAnchor</v>
      </c>
      <c r="K308" t="s">
        <v>1906</v>
      </c>
      <c r="L308" t="s">
        <v>1895</v>
      </c>
    </row>
    <row r="309" spans="10:12" x14ac:dyDescent="0.25">
      <c r="J309" t="str">
        <f>IF(ISNUMBER(SEARCH("Phase",tbl_AllElements[[#This Row],[Element Name]])),"Phase",LEFT(tbl_AllElements[[#This Row],[Element Name]],FIND("_",tbl_AllElements[[#This Row],[Element Name]])-1))</f>
        <v>NodeToNodeAnchor</v>
      </c>
      <c r="K309" t="s">
        <v>1906</v>
      </c>
      <c r="L309" t="s">
        <v>1896</v>
      </c>
    </row>
    <row r="310" spans="10:12" x14ac:dyDescent="0.25">
      <c r="J310" t="str">
        <f>IF(ISNUMBER(SEARCH("Phase",tbl_AllElements[[#This Row],[Element Name]])),"Phase",LEFT(tbl_AllElements[[#This Row],[Element Name]],FIND("_",tbl_AllElements[[#This Row],[Element Name]])-1))</f>
        <v>FixedEndAnchor</v>
      </c>
      <c r="K310" t="s">
        <v>1906</v>
      </c>
      <c r="L310" t="s">
        <v>1897</v>
      </c>
    </row>
    <row r="311" spans="10:12" x14ac:dyDescent="0.25">
      <c r="J311" t="str">
        <f>IF(ISNUMBER(SEARCH("Phase",tbl_AllElements[[#This Row],[Element Name]])),"Phase",LEFT(tbl_AllElements[[#This Row],[Element Name]],FIND("_",tbl_AllElements[[#This Row],[Element Name]])-1))</f>
        <v>FixedEndAnchor</v>
      </c>
      <c r="K311" t="s">
        <v>1906</v>
      </c>
      <c r="L311" t="s">
        <v>1898</v>
      </c>
    </row>
    <row r="312" spans="10:12" x14ac:dyDescent="0.25">
      <c r="J312" t="str">
        <f>IF(ISNUMBER(SEARCH("Phase",tbl_AllElements[[#This Row],[Element Name]])),"Phase",LEFT(tbl_AllElements[[#This Row],[Element Name]],FIND("_",tbl_AllElements[[#This Row],[Element Name]])-1))</f>
        <v>FixedEndAnchor</v>
      </c>
      <c r="K312" t="s">
        <v>1906</v>
      </c>
      <c r="L312" t="s">
        <v>1899</v>
      </c>
    </row>
    <row r="313" spans="10:12" x14ac:dyDescent="0.25">
      <c r="J313" t="str">
        <f>IF(ISNUMBER(SEARCH("Phase",tbl_AllElements[[#This Row],[Element Name]])),"Phase",LEFT(tbl_AllElements[[#This Row],[Element Name]],FIND("_",tbl_AllElements[[#This Row],[Element Name]])-1))</f>
        <v>NegativeInterface</v>
      </c>
      <c r="K313" t="s">
        <v>1906</v>
      </c>
      <c r="L313" t="s">
        <v>256</v>
      </c>
    </row>
    <row r="314" spans="10:12" x14ac:dyDescent="0.25">
      <c r="J314" t="str">
        <f>IF(ISNUMBER(SEARCH("Phase",tbl_AllElements[[#This Row],[Element Name]])),"Phase",LEFT(tbl_AllElements[[#This Row],[Element Name]],FIND("_",tbl_AllElements[[#This Row],[Element Name]])-1))</f>
        <v>NegativeInterface</v>
      </c>
      <c r="K314" t="s">
        <v>1906</v>
      </c>
      <c r="L314" t="s">
        <v>257</v>
      </c>
    </row>
    <row r="315" spans="10:12" x14ac:dyDescent="0.25">
      <c r="J315" t="str">
        <f>IF(ISNUMBER(SEARCH("Phase",tbl_AllElements[[#This Row],[Element Name]])),"Phase",LEFT(tbl_AllElements[[#This Row],[Element Name]],FIND("_",tbl_AllElements[[#This Row],[Element Name]])-1))</f>
        <v>NegativeInterface</v>
      </c>
      <c r="K315" t="s">
        <v>1906</v>
      </c>
      <c r="L315" t="s">
        <v>1900</v>
      </c>
    </row>
    <row r="316" spans="10:12" x14ac:dyDescent="0.25">
      <c r="J316" t="str">
        <f>IF(ISNUMBER(SEARCH("Phase",tbl_AllElements[[#This Row],[Element Name]])),"Phase",LEFT(tbl_AllElements[[#This Row],[Element Name]],FIND("_",tbl_AllElements[[#This Row],[Element Name]])-1))</f>
        <v>PositiveInterface</v>
      </c>
      <c r="K316" t="s">
        <v>1906</v>
      </c>
      <c r="L316" t="s">
        <v>258</v>
      </c>
    </row>
    <row r="317" spans="10:12" x14ac:dyDescent="0.25">
      <c r="J317" t="str">
        <f>IF(ISNUMBER(SEARCH("Phase",tbl_AllElements[[#This Row],[Element Name]])),"Phase",LEFT(tbl_AllElements[[#This Row],[Element Name]],FIND("_",tbl_AllElements[[#This Row],[Element Name]])-1))</f>
        <v>PositiveInterface</v>
      </c>
      <c r="K317" t="s">
        <v>1906</v>
      </c>
      <c r="L317" t="s">
        <v>259</v>
      </c>
    </row>
    <row r="318" spans="10:12" x14ac:dyDescent="0.25">
      <c r="J318" t="str">
        <f>IF(ISNUMBER(SEARCH("Phase",tbl_AllElements[[#This Row],[Element Name]])),"Phase",LEFT(tbl_AllElements[[#This Row],[Element Name]],FIND("_",tbl_AllElements[[#This Row],[Element Name]])-1))</f>
        <v>PositiveInterface</v>
      </c>
      <c r="K318" t="s">
        <v>1906</v>
      </c>
      <c r="L318" t="s">
        <v>1901</v>
      </c>
    </row>
    <row r="319" spans="10:12" x14ac:dyDescent="0.25">
      <c r="J319" t="str">
        <f>IF(ISNUMBER(SEARCH("Phase",tbl_AllElements[[#This Row],[Element Name]])),"Phase",LEFT(tbl_AllElements[[#This Row],[Element Name]],FIND("_",tbl_AllElements[[#This Row],[Element Name]])-1))</f>
        <v>Phase</v>
      </c>
      <c r="K319" t="s">
        <v>1909</v>
      </c>
      <c r="L319" t="s">
        <v>260</v>
      </c>
    </row>
    <row r="320" spans="10:12" x14ac:dyDescent="0.25">
      <c r="J320" t="str">
        <f>IF(ISNUMBER(SEARCH("Phase",tbl_AllElements[[#This Row],[Element Name]])),"Phase",LEFT(tbl_AllElements[[#This Row],[Element Name]],FIND("_",tbl_AllElements[[#This Row],[Element Name]])-1))</f>
        <v>Phase</v>
      </c>
      <c r="K320" t="s">
        <v>1909</v>
      </c>
      <c r="L320" t="s">
        <v>1852</v>
      </c>
    </row>
    <row r="321" spans="10:12" x14ac:dyDescent="0.25">
      <c r="J321" t="str">
        <f>IF(ISNUMBER(SEARCH("Phase",tbl_AllElements[[#This Row],[Element Name]])),"Phase",LEFT(tbl_AllElements[[#This Row],[Element Name]],FIND("_",tbl_AllElements[[#This Row],[Element Name]])-1))</f>
        <v>Phase</v>
      </c>
      <c r="K321" t="s">
        <v>1909</v>
      </c>
      <c r="L321" t="s">
        <v>1910</v>
      </c>
    </row>
    <row r="322" spans="10:12" x14ac:dyDescent="0.25">
      <c r="J322" t="str">
        <f>IF(ISNUMBER(SEARCH("Phase",tbl_AllElements[[#This Row],[Element Name]])),"Phase",LEFT(tbl_AllElements[[#This Row],[Element Name]],FIND("_",tbl_AllElements[[#This Row],[Element Name]])-1))</f>
        <v>Phase</v>
      </c>
      <c r="K322" t="s">
        <v>1909</v>
      </c>
      <c r="L322" t="s">
        <v>1854</v>
      </c>
    </row>
    <row r="323" spans="10:12" x14ac:dyDescent="0.25">
      <c r="J323" t="str">
        <f>IF(ISNUMBER(SEARCH("Phase",tbl_AllElements[[#This Row],[Element Name]])),"Phase",LEFT(tbl_AllElements[[#This Row],[Element Name]],FIND("_",tbl_AllElements[[#This Row],[Element Name]])-1))</f>
        <v>Phase</v>
      </c>
      <c r="K323" t="s">
        <v>1909</v>
      </c>
      <c r="L323" t="s">
        <v>1855</v>
      </c>
    </row>
    <row r="324" spans="10:12" x14ac:dyDescent="0.25">
      <c r="J324" t="str">
        <f>IF(ISNUMBER(SEARCH("Phase",tbl_AllElements[[#This Row],[Element Name]])),"Phase",LEFT(tbl_AllElements[[#This Row],[Element Name]],FIND("_",tbl_AllElements[[#This Row],[Element Name]])-1))</f>
        <v>Phase</v>
      </c>
      <c r="K324" t="s">
        <v>1909</v>
      </c>
      <c r="L324" t="s">
        <v>1856</v>
      </c>
    </row>
    <row r="325" spans="10:12" x14ac:dyDescent="0.25">
      <c r="J325" t="str">
        <f>IF(ISNUMBER(SEARCH("Phase",tbl_AllElements[[#This Row],[Element Name]])),"Phase",LEFT(tbl_AllElements[[#This Row],[Element Name]],FIND("_",tbl_AllElements[[#This Row],[Element Name]])-1))</f>
        <v>Phase</v>
      </c>
      <c r="K325" t="s">
        <v>1909</v>
      </c>
      <c r="L325" t="s">
        <v>1857</v>
      </c>
    </row>
    <row r="326" spans="10:12" x14ac:dyDescent="0.25">
      <c r="J326" t="str">
        <f>IF(ISNUMBER(SEARCH("Phase",tbl_AllElements[[#This Row],[Element Name]])),"Phase",LEFT(tbl_AllElements[[#This Row],[Element Name]],FIND("_",tbl_AllElements[[#This Row],[Element Name]])-1))</f>
        <v>Phase</v>
      </c>
      <c r="K326" t="s">
        <v>1909</v>
      </c>
      <c r="L326" t="s">
        <v>1858</v>
      </c>
    </row>
    <row r="327" spans="10:12" x14ac:dyDescent="0.25">
      <c r="J327" t="str">
        <f>IF(ISNUMBER(SEARCH("Phase",tbl_AllElements[[#This Row],[Element Name]])),"Phase",LEFT(tbl_AllElements[[#This Row],[Element Name]],FIND("_",tbl_AllElements[[#This Row],[Element Name]])-1))</f>
        <v>Phase</v>
      </c>
      <c r="K327" t="s">
        <v>1909</v>
      </c>
      <c r="L327" t="s">
        <v>1859</v>
      </c>
    </row>
    <row r="328" spans="10:12" x14ac:dyDescent="0.25">
      <c r="J328" t="str">
        <f>IF(ISNUMBER(SEARCH("Phase",tbl_AllElements[[#This Row],[Element Name]])),"Phase",LEFT(tbl_AllElements[[#This Row],[Element Name]],FIND("_",tbl_AllElements[[#This Row],[Element Name]])-1))</f>
        <v>Phase</v>
      </c>
      <c r="K328" t="s">
        <v>1909</v>
      </c>
      <c r="L328" t="s">
        <v>1860</v>
      </c>
    </row>
    <row r="329" spans="10:12" x14ac:dyDescent="0.25">
      <c r="J329" t="str">
        <f>IF(ISNUMBER(SEARCH("Phase",tbl_AllElements[[#This Row],[Element Name]])),"Phase",LEFT(tbl_AllElements[[#This Row],[Element Name]],FIND("_",tbl_AllElements[[#This Row],[Element Name]])-1))</f>
        <v>Phase</v>
      </c>
      <c r="K329" t="s">
        <v>1909</v>
      </c>
      <c r="L329" t="s">
        <v>1861</v>
      </c>
    </row>
    <row r="330" spans="10:12" x14ac:dyDescent="0.25">
      <c r="J330" t="str">
        <f>IF(ISNUMBER(SEARCH("Phase",tbl_AllElements[[#This Row],[Element Name]])),"Phase",LEFT(tbl_AllElements[[#This Row],[Element Name]],FIND("_",tbl_AllElements[[#This Row],[Element Name]])-1))</f>
        <v>Phase</v>
      </c>
      <c r="K330" t="s">
        <v>1909</v>
      </c>
      <c r="L330" t="s">
        <v>1862</v>
      </c>
    </row>
    <row r="331" spans="10:12" x14ac:dyDescent="0.25">
      <c r="J331" t="str">
        <f>IF(ISNUMBER(SEARCH("Phase",tbl_AllElements[[#This Row],[Element Name]])),"Phase",LEFT(tbl_AllElements[[#This Row],[Element Name]],FIND("_",tbl_AllElements[[#This Row],[Element Name]])-1))</f>
        <v>Phase</v>
      </c>
      <c r="K331" t="s">
        <v>1909</v>
      </c>
      <c r="L331" t="s">
        <v>1863</v>
      </c>
    </row>
    <row r="332" spans="10:12" x14ac:dyDescent="0.25">
      <c r="J332" t="str">
        <f>IF(ISNUMBER(SEARCH("Phase",tbl_AllElements[[#This Row],[Element Name]])),"Phase",LEFT(tbl_AllElements[[#This Row],[Element Name]],FIND("_",tbl_AllElements[[#This Row],[Element Name]])-1))</f>
        <v>Phase</v>
      </c>
      <c r="K332" t="s">
        <v>1909</v>
      </c>
      <c r="L332" t="s">
        <v>1864</v>
      </c>
    </row>
    <row r="333" spans="10:12" x14ac:dyDescent="0.25">
      <c r="J333" t="str">
        <f>IF(ISNUMBER(SEARCH("Phase",tbl_AllElements[[#This Row],[Element Name]])),"Phase",LEFT(tbl_AllElements[[#This Row],[Element Name]],FIND("_",tbl_AllElements[[#This Row],[Element Name]])-1))</f>
        <v>Phase</v>
      </c>
      <c r="K333" t="s">
        <v>1909</v>
      </c>
      <c r="L333" t="s">
        <v>1865</v>
      </c>
    </row>
    <row r="334" spans="10:12" x14ac:dyDescent="0.25">
      <c r="J334" t="str">
        <f>IF(ISNUMBER(SEARCH("Phase",tbl_AllElements[[#This Row],[Element Name]])),"Phase",LEFT(tbl_AllElements[[#This Row],[Element Name]],FIND("_",tbl_AllElements[[#This Row],[Element Name]])-1))</f>
        <v>Phase</v>
      </c>
      <c r="K334" t="s">
        <v>1909</v>
      </c>
      <c r="L334" t="s">
        <v>1866</v>
      </c>
    </row>
    <row r="335" spans="10:12" x14ac:dyDescent="0.25">
      <c r="J335" t="str">
        <f>IF(ISNUMBER(SEARCH("Phase",tbl_AllElements[[#This Row],[Element Name]])),"Phase",LEFT(tbl_AllElements[[#This Row],[Element Name]],FIND("_",tbl_AllElements[[#This Row],[Element Name]])-1))</f>
        <v>Phase</v>
      </c>
      <c r="K335" t="s">
        <v>1909</v>
      </c>
      <c r="L335" t="s">
        <v>1867</v>
      </c>
    </row>
    <row r="336" spans="10:12" x14ac:dyDescent="0.25">
      <c r="J336" t="str">
        <f>IF(ISNUMBER(SEARCH("Phase",tbl_AllElements[[#This Row],[Element Name]])),"Phase",LEFT(tbl_AllElements[[#This Row],[Element Name]],FIND("_",tbl_AllElements[[#This Row],[Element Name]])-1))</f>
        <v>Phase</v>
      </c>
      <c r="K336" t="s">
        <v>1909</v>
      </c>
      <c r="L336" t="s">
        <v>1868</v>
      </c>
    </row>
    <row r="337" spans="10:12" x14ac:dyDescent="0.25">
      <c r="J337" t="str">
        <f>IF(ISNUMBER(SEARCH("Phase",tbl_AllElements[[#This Row],[Element Name]])),"Phase",LEFT(tbl_AllElements[[#This Row],[Element Name]],FIND("_",tbl_AllElements[[#This Row],[Element Name]])-1))</f>
        <v>Phase</v>
      </c>
      <c r="K337" t="s">
        <v>1909</v>
      </c>
      <c r="L337" t="s">
        <v>1869</v>
      </c>
    </row>
    <row r="338" spans="10:12" x14ac:dyDescent="0.25">
      <c r="J338" t="str">
        <f>IF(ISNUMBER(SEARCH("Phase",tbl_AllElements[[#This Row],[Element Name]])),"Phase",LEFT(tbl_AllElements[[#This Row],[Element Name]],FIND("_",tbl_AllElements[[#This Row],[Element Name]])-1))</f>
        <v>Phase</v>
      </c>
      <c r="K338" t="s">
        <v>1909</v>
      </c>
      <c r="L338" t="s">
        <v>1870</v>
      </c>
    </row>
    <row r="339" spans="10:12" x14ac:dyDescent="0.25">
      <c r="J339" t="str">
        <f>IF(ISNUMBER(SEARCH("Phase",tbl_AllElements[[#This Row],[Element Name]])),"Phase",LEFT(tbl_AllElements[[#This Row],[Element Name]],FIND("_",tbl_AllElements[[#This Row],[Element Name]])-1))</f>
        <v>Phase</v>
      </c>
      <c r="K339" t="s">
        <v>1909</v>
      </c>
      <c r="L339" t="s">
        <v>1871</v>
      </c>
    </row>
    <row r="340" spans="10:12" x14ac:dyDescent="0.25">
      <c r="J340" t="str">
        <f>IF(ISNUMBER(SEARCH("Phase",tbl_AllElements[[#This Row],[Element Name]])),"Phase",LEFT(tbl_AllElements[[#This Row],[Element Name]],FIND("_",tbl_AllElements[[#This Row],[Element Name]])-1))</f>
        <v>Phase</v>
      </c>
      <c r="K340" t="s">
        <v>1909</v>
      </c>
      <c r="L340" t="s">
        <v>1872</v>
      </c>
    </row>
    <row r="341" spans="10:12" x14ac:dyDescent="0.25">
      <c r="J341" t="str">
        <f>IF(ISNUMBER(SEARCH("Phase",tbl_AllElements[[#This Row],[Element Name]])),"Phase",LEFT(tbl_AllElements[[#This Row],[Element Name]],FIND("_",tbl_AllElements[[#This Row],[Element Name]])-1))</f>
        <v>Phase</v>
      </c>
      <c r="K341" t="s">
        <v>1909</v>
      </c>
      <c r="L341" t="s">
        <v>1873</v>
      </c>
    </row>
    <row r="342" spans="10:12" x14ac:dyDescent="0.25">
      <c r="J342" t="str">
        <f>IF(ISNUMBER(SEARCH("Phase",tbl_AllElements[[#This Row],[Element Name]])),"Phase",LEFT(tbl_AllElements[[#This Row],[Element Name]],FIND("_",tbl_AllElements[[#This Row],[Element Name]])-1))</f>
        <v>Phase</v>
      </c>
      <c r="K342" t="s">
        <v>1909</v>
      </c>
      <c r="L342" t="s">
        <v>1874</v>
      </c>
    </row>
    <row r="343" spans="10:12" x14ac:dyDescent="0.25">
      <c r="J343" t="str">
        <f>IF(ISNUMBER(SEARCH("Phase",tbl_AllElements[[#This Row],[Element Name]])),"Phase",LEFT(tbl_AllElements[[#This Row],[Element Name]],FIND("_",tbl_AllElements[[#This Row],[Element Name]])-1))</f>
        <v>Phase</v>
      </c>
      <c r="K343" t="s">
        <v>1909</v>
      </c>
      <c r="L343" t="s">
        <v>1875</v>
      </c>
    </row>
    <row r="344" spans="10:12" x14ac:dyDescent="0.25">
      <c r="J344" t="str">
        <f>IF(ISNUMBER(SEARCH("Phase",tbl_AllElements[[#This Row],[Element Name]])),"Phase",LEFT(tbl_AllElements[[#This Row],[Element Name]],FIND("_",tbl_AllElements[[#This Row],[Element Name]])-1))</f>
        <v>Phase</v>
      </c>
      <c r="K344" t="s">
        <v>1909</v>
      </c>
      <c r="L344" t="s">
        <v>1876</v>
      </c>
    </row>
    <row r="345" spans="10:12" x14ac:dyDescent="0.25">
      <c r="J345" t="str">
        <f>IF(ISNUMBER(SEARCH("Phase",tbl_AllElements[[#This Row],[Element Name]])),"Phase",LEFT(tbl_AllElements[[#This Row],[Element Name]],FIND("_",tbl_AllElements[[#This Row],[Element Name]])-1))</f>
        <v>Phase</v>
      </c>
      <c r="K345" t="s">
        <v>1909</v>
      </c>
      <c r="L345" t="s">
        <v>1877</v>
      </c>
    </row>
    <row r="346" spans="10:12" x14ac:dyDescent="0.25">
      <c r="J346" t="str">
        <f>IF(ISNUMBER(SEARCH("Phase",tbl_AllElements[[#This Row],[Element Name]])),"Phase",LEFT(tbl_AllElements[[#This Row],[Element Name]],FIND("_",tbl_AllElements[[#This Row],[Element Name]])-1))</f>
        <v>Phase</v>
      </c>
      <c r="K346" t="s">
        <v>1909</v>
      </c>
      <c r="L346" t="s">
        <v>1878</v>
      </c>
    </row>
    <row r="347" spans="10:12" x14ac:dyDescent="0.25">
      <c r="J347" t="str">
        <f>IF(ISNUMBER(SEARCH("Phase",tbl_AllElements[[#This Row],[Element Name]])),"Phase",LEFT(tbl_AllElements[[#This Row],[Element Name]],FIND("_",tbl_AllElements[[#This Row],[Element Name]])-1))</f>
        <v>Phase</v>
      </c>
      <c r="K347" t="s">
        <v>1909</v>
      </c>
      <c r="L347" t="s">
        <v>1879</v>
      </c>
    </row>
    <row r="348" spans="10:12" x14ac:dyDescent="0.25">
      <c r="J348" t="str">
        <f>IF(ISNUMBER(SEARCH("Phase",tbl_AllElements[[#This Row],[Element Name]])),"Phase",LEFT(tbl_AllElements[[#This Row],[Element Name]],FIND("_",tbl_AllElements[[#This Row],[Element Name]])-1))</f>
        <v>Phase</v>
      </c>
      <c r="K348" t="s">
        <v>1909</v>
      </c>
      <c r="L348" t="s">
        <v>1880</v>
      </c>
    </row>
    <row r="349" spans="10:12" x14ac:dyDescent="0.25">
      <c r="J349" t="str">
        <f>IF(ISNUMBER(SEARCH("Phase",tbl_AllElements[[#This Row],[Element Name]])),"Phase",LEFT(tbl_AllElements[[#This Row],[Element Name]],FIND("_",tbl_AllElements[[#This Row],[Element Name]])-1))</f>
        <v>Phase</v>
      </c>
      <c r="K349" t="s">
        <v>1909</v>
      </c>
      <c r="L349" t="s">
        <v>1911</v>
      </c>
    </row>
    <row r="350" spans="10:12" x14ac:dyDescent="0.25">
      <c r="J350" t="str">
        <f>IF(ISNUMBER(SEARCH("Phase",tbl_AllElements[[#This Row],[Element Name]])),"Phase",LEFT(tbl_AllElements[[#This Row],[Element Name]],FIND("_",tbl_AllElements[[#This Row],[Element Name]])-1))</f>
        <v>Plate</v>
      </c>
      <c r="K350" t="s">
        <v>1909</v>
      </c>
      <c r="L350" t="s">
        <v>244</v>
      </c>
    </row>
    <row r="351" spans="10:12" x14ac:dyDescent="0.25">
      <c r="J351" t="str">
        <f>IF(ISNUMBER(SEARCH("Phase",tbl_AllElements[[#This Row],[Element Name]])),"Phase",LEFT(tbl_AllElements[[#This Row],[Element Name]],FIND("_",tbl_AllElements[[#This Row],[Element Name]])-1))</f>
        <v>Plate</v>
      </c>
      <c r="K351" t="s">
        <v>1909</v>
      </c>
      <c r="L351" t="s">
        <v>245</v>
      </c>
    </row>
    <row r="352" spans="10:12" x14ac:dyDescent="0.25">
      <c r="J352" t="str">
        <f>IF(ISNUMBER(SEARCH("Phase",tbl_AllElements[[#This Row],[Element Name]])),"Phase",LEFT(tbl_AllElements[[#This Row],[Element Name]],FIND("_",tbl_AllElements[[#This Row],[Element Name]])-1))</f>
        <v>Plate</v>
      </c>
      <c r="K352" t="s">
        <v>1909</v>
      </c>
      <c r="L352" t="s">
        <v>254</v>
      </c>
    </row>
    <row r="353" spans="10:12" x14ac:dyDescent="0.25">
      <c r="J353" t="str">
        <f>IF(ISNUMBER(SEARCH("Phase",tbl_AllElements[[#This Row],[Element Name]])),"Phase",LEFT(tbl_AllElements[[#This Row],[Element Name]],FIND("_",tbl_AllElements[[#This Row],[Element Name]])-1))</f>
        <v>Plate</v>
      </c>
      <c r="K353" t="s">
        <v>1909</v>
      </c>
      <c r="L353" t="s">
        <v>1847</v>
      </c>
    </row>
    <row r="354" spans="10:12" x14ac:dyDescent="0.25">
      <c r="J354" t="str">
        <f>IF(ISNUMBER(SEARCH("Phase",tbl_AllElements[[#This Row],[Element Name]])),"Phase",LEFT(tbl_AllElements[[#This Row],[Element Name]],FIND("_",tbl_AllElements[[#This Row],[Element Name]])-1))</f>
        <v>Plate</v>
      </c>
      <c r="K354" t="s">
        <v>1909</v>
      </c>
      <c r="L354" t="s">
        <v>1848</v>
      </c>
    </row>
    <row r="355" spans="10:12" x14ac:dyDescent="0.25">
      <c r="J355" t="str">
        <f>IF(ISNUMBER(SEARCH("Phase",tbl_AllElements[[#This Row],[Element Name]])),"Phase",LEFT(tbl_AllElements[[#This Row],[Element Name]],FIND("_",tbl_AllElements[[#This Row],[Element Name]])-1))</f>
        <v>Plate</v>
      </c>
      <c r="K355" t="s">
        <v>1909</v>
      </c>
      <c r="L355" t="s">
        <v>1849</v>
      </c>
    </row>
    <row r="356" spans="10:12" x14ac:dyDescent="0.25">
      <c r="J356" t="str">
        <f>IF(ISNUMBER(SEARCH("Phase",tbl_AllElements[[#This Row],[Element Name]])),"Phase",LEFT(tbl_AllElements[[#This Row],[Element Name]],FIND("_",tbl_AllElements[[#This Row],[Element Name]])-1))</f>
        <v>Plate</v>
      </c>
      <c r="K356" t="s">
        <v>1909</v>
      </c>
      <c r="L356" t="s">
        <v>1890</v>
      </c>
    </row>
    <row r="357" spans="10:12" x14ac:dyDescent="0.25">
      <c r="J357" t="str">
        <f>IF(ISNUMBER(SEARCH("Phase",tbl_AllElements[[#This Row],[Element Name]])),"Phase",LEFT(tbl_AllElements[[#This Row],[Element Name]],FIND("_",tbl_AllElements[[#This Row],[Element Name]])-1))</f>
        <v>EmbeddedBeamRow</v>
      </c>
      <c r="K357" t="s">
        <v>1909</v>
      </c>
      <c r="L357" t="s">
        <v>271</v>
      </c>
    </row>
    <row r="358" spans="10:12" x14ac:dyDescent="0.25">
      <c r="J358" t="str">
        <f>IF(ISNUMBER(SEARCH("Phase",tbl_AllElements[[#This Row],[Element Name]])),"Phase",LEFT(tbl_AllElements[[#This Row],[Element Name]],FIND("_",tbl_AllElements[[#This Row],[Element Name]])-1))</f>
        <v>EmbeddedBeamRow</v>
      </c>
      <c r="K358" t="s">
        <v>1909</v>
      </c>
      <c r="L358" t="s">
        <v>261</v>
      </c>
    </row>
    <row r="359" spans="10:12" x14ac:dyDescent="0.25">
      <c r="J359" t="str">
        <f>IF(ISNUMBER(SEARCH("Phase",tbl_AllElements[[#This Row],[Element Name]])),"Phase",LEFT(tbl_AllElements[[#This Row],[Element Name]],FIND("_",tbl_AllElements[[#This Row],[Element Name]])-1))</f>
        <v>EmbeddedBeamRow</v>
      </c>
      <c r="K359" t="s">
        <v>1909</v>
      </c>
      <c r="L359" t="s">
        <v>262</v>
      </c>
    </row>
    <row r="360" spans="10:12" x14ac:dyDescent="0.25">
      <c r="J360" t="str">
        <f>IF(ISNUMBER(SEARCH("Phase",tbl_AllElements[[#This Row],[Element Name]])),"Phase",LEFT(tbl_AllElements[[#This Row],[Element Name]],FIND("_",tbl_AllElements[[#This Row],[Element Name]])-1))</f>
        <v>EmbeddedBeamRow</v>
      </c>
      <c r="K360" t="s">
        <v>1909</v>
      </c>
      <c r="L360" t="s">
        <v>263</v>
      </c>
    </row>
    <row r="361" spans="10:12" x14ac:dyDescent="0.25">
      <c r="J361" t="str">
        <f>IF(ISNUMBER(SEARCH("Phase",tbl_AllElements[[#This Row],[Element Name]])),"Phase",LEFT(tbl_AllElements[[#This Row],[Element Name]],FIND("_",tbl_AllElements[[#This Row],[Element Name]])-1))</f>
        <v>EmbeddedBeamRow</v>
      </c>
      <c r="K361" t="s">
        <v>1909</v>
      </c>
      <c r="L361" t="s">
        <v>264</v>
      </c>
    </row>
    <row r="362" spans="10:12" x14ac:dyDescent="0.25">
      <c r="J362" t="str">
        <f>IF(ISNUMBER(SEARCH("Phase",tbl_AllElements[[#This Row],[Element Name]])),"Phase",LEFT(tbl_AllElements[[#This Row],[Element Name]],FIND("_",tbl_AllElements[[#This Row],[Element Name]])-1))</f>
        <v>EmbeddedBeamRow</v>
      </c>
      <c r="K362" t="s">
        <v>1909</v>
      </c>
      <c r="L362" t="s">
        <v>265</v>
      </c>
    </row>
    <row r="363" spans="10:12" x14ac:dyDescent="0.25">
      <c r="J363" t="str">
        <f>IF(ISNUMBER(SEARCH("Phase",tbl_AllElements[[#This Row],[Element Name]])),"Phase",LEFT(tbl_AllElements[[#This Row],[Element Name]],FIND("_",tbl_AllElements[[#This Row],[Element Name]])-1))</f>
        <v>EmbeddedBeamRow</v>
      </c>
      <c r="K363" t="s">
        <v>1909</v>
      </c>
      <c r="L363" t="s">
        <v>1891</v>
      </c>
    </row>
    <row r="364" spans="10:12" x14ac:dyDescent="0.25">
      <c r="J364" t="str">
        <f>IF(ISNUMBER(SEARCH("Phase",tbl_AllElements[[#This Row],[Element Name]])),"Phase",LEFT(tbl_AllElements[[#This Row],[Element Name]],FIND("_",tbl_AllElements[[#This Row],[Element Name]])-1))</f>
        <v>NodeToNodeAnchor</v>
      </c>
      <c r="K364" t="s">
        <v>1909</v>
      </c>
      <c r="L364" t="s">
        <v>1892</v>
      </c>
    </row>
    <row r="365" spans="10:12" x14ac:dyDescent="0.25">
      <c r="J365" t="str">
        <f>IF(ISNUMBER(SEARCH("Phase",tbl_AllElements[[#This Row],[Element Name]])),"Phase",LEFT(tbl_AllElements[[#This Row],[Element Name]],FIND("_",tbl_AllElements[[#This Row],[Element Name]])-1))</f>
        <v>NodeToNodeAnchor</v>
      </c>
      <c r="K365" t="s">
        <v>1909</v>
      </c>
      <c r="L365" t="s">
        <v>266</v>
      </c>
    </row>
    <row r="366" spans="10:12" x14ac:dyDescent="0.25">
      <c r="J366" t="str">
        <f>IF(ISNUMBER(SEARCH("Phase",tbl_AllElements[[#This Row],[Element Name]])),"Phase",LEFT(tbl_AllElements[[#This Row],[Element Name]],FIND("_",tbl_AllElements[[#This Row],[Element Name]])-1))</f>
        <v>NodeToNodeAnchor</v>
      </c>
      <c r="K366" t="s">
        <v>1909</v>
      </c>
      <c r="L366" t="s">
        <v>1893</v>
      </c>
    </row>
    <row r="367" spans="10:12" x14ac:dyDescent="0.25">
      <c r="J367" t="str">
        <f>IF(ISNUMBER(SEARCH("Phase",tbl_AllElements[[#This Row],[Element Name]])),"Phase",LEFT(tbl_AllElements[[#This Row],[Element Name]],FIND("_",tbl_AllElements[[#This Row],[Element Name]])-1))</f>
        <v>NodeToNodeAnchor</v>
      </c>
      <c r="K367" t="s">
        <v>1909</v>
      </c>
      <c r="L367" t="s">
        <v>1894</v>
      </c>
    </row>
    <row r="368" spans="10:12" x14ac:dyDescent="0.25">
      <c r="J368" t="str">
        <f>IF(ISNUMBER(SEARCH("Phase",tbl_AllElements[[#This Row],[Element Name]])),"Phase",LEFT(tbl_AllElements[[#This Row],[Element Name]],FIND("_",tbl_AllElements[[#This Row],[Element Name]])-1))</f>
        <v>NodeToNodeAnchor</v>
      </c>
      <c r="K368" t="s">
        <v>1909</v>
      </c>
      <c r="L368" t="s">
        <v>1895</v>
      </c>
    </row>
    <row r="369" spans="10:12" x14ac:dyDescent="0.25">
      <c r="J369" t="str">
        <f>IF(ISNUMBER(SEARCH("Phase",tbl_AllElements[[#This Row],[Element Name]])),"Phase",LEFT(tbl_AllElements[[#This Row],[Element Name]],FIND("_",tbl_AllElements[[#This Row],[Element Name]])-1))</f>
        <v>NodeToNodeAnchor</v>
      </c>
      <c r="K369" t="s">
        <v>1909</v>
      </c>
      <c r="L369" t="s">
        <v>1896</v>
      </c>
    </row>
    <row r="370" spans="10:12" x14ac:dyDescent="0.25">
      <c r="J370" t="str">
        <f>IF(ISNUMBER(SEARCH("Phase",tbl_AllElements[[#This Row],[Element Name]])),"Phase",LEFT(tbl_AllElements[[#This Row],[Element Name]],FIND("_",tbl_AllElements[[#This Row],[Element Name]])-1))</f>
        <v>FixedEndAnchor</v>
      </c>
      <c r="K370" t="s">
        <v>1909</v>
      </c>
      <c r="L370" t="s">
        <v>1897</v>
      </c>
    </row>
    <row r="371" spans="10:12" x14ac:dyDescent="0.25">
      <c r="J371" t="str">
        <f>IF(ISNUMBER(SEARCH("Phase",tbl_AllElements[[#This Row],[Element Name]])),"Phase",LEFT(tbl_AllElements[[#This Row],[Element Name]],FIND("_",tbl_AllElements[[#This Row],[Element Name]])-1))</f>
        <v>FixedEndAnchor</v>
      </c>
      <c r="K371" t="s">
        <v>1909</v>
      </c>
      <c r="L371" t="s">
        <v>1898</v>
      </c>
    </row>
    <row r="372" spans="10:12" x14ac:dyDescent="0.25">
      <c r="J372" t="str">
        <f>IF(ISNUMBER(SEARCH("Phase",tbl_AllElements[[#This Row],[Element Name]])),"Phase",LEFT(tbl_AllElements[[#This Row],[Element Name]],FIND("_",tbl_AllElements[[#This Row],[Element Name]])-1))</f>
        <v>FixedEndAnchor</v>
      </c>
      <c r="K372" t="s">
        <v>1909</v>
      </c>
      <c r="L372" t="s">
        <v>1899</v>
      </c>
    </row>
    <row r="373" spans="10:12" x14ac:dyDescent="0.25">
      <c r="J373" t="str">
        <f>IF(ISNUMBER(SEARCH("Phase",tbl_AllElements[[#This Row],[Element Name]])),"Phase",LEFT(tbl_AllElements[[#This Row],[Element Name]],FIND("_",tbl_AllElements[[#This Row],[Element Name]])-1))</f>
        <v>NegativeInterface</v>
      </c>
      <c r="K373" t="s">
        <v>1909</v>
      </c>
      <c r="L373" t="s">
        <v>256</v>
      </c>
    </row>
    <row r="374" spans="10:12" x14ac:dyDescent="0.25">
      <c r="J374" t="str">
        <f>IF(ISNUMBER(SEARCH("Phase",tbl_AllElements[[#This Row],[Element Name]])),"Phase",LEFT(tbl_AllElements[[#This Row],[Element Name]],FIND("_",tbl_AllElements[[#This Row],[Element Name]])-1))</f>
        <v>NegativeInterface</v>
      </c>
      <c r="K374" t="s">
        <v>1909</v>
      </c>
      <c r="L374" t="s">
        <v>257</v>
      </c>
    </row>
    <row r="375" spans="10:12" x14ac:dyDescent="0.25">
      <c r="J375" t="str">
        <f>IF(ISNUMBER(SEARCH("Phase",tbl_AllElements[[#This Row],[Element Name]])),"Phase",LEFT(tbl_AllElements[[#This Row],[Element Name]],FIND("_",tbl_AllElements[[#This Row],[Element Name]])-1))</f>
        <v>NegativeInterface</v>
      </c>
      <c r="K375" t="s">
        <v>1909</v>
      </c>
      <c r="L375" t="s">
        <v>1900</v>
      </c>
    </row>
    <row r="376" spans="10:12" x14ac:dyDescent="0.25">
      <c r="J376" t="str">
        <f>IF(ISNUMBER(SEARCH("Phase",tbl_AllElements[[#This Row],[Element Name]])),"Phase",LEFT(tbl_AllElements[[#This Row],[Element Name]],FIND("_",tbl_AllElements[[#This Row],[Element Name]])-1))</f>
        <v>PositiveInterface</v>
      </c>
      <c r="K376" t="s">
        <v>1909</v>
      </c>
      <c r="L376" t="s">
        <v>258</v>
      </c>
    </row>
    <row r="377" spans="10:12" x14ac:dyDescent="0.25">
      <c r="J377" t="str">
        <f>IF(ISNUMBER(SEARCH("Phase",tbl_AllElements[[#This Row],[Element Name]])),"Phase",LEFT(tbl_AllElements[[#This Row],[Element Name]],FIND("_",tbl_AllElements[[#This Row],[Element Name]])-1))</f>
        <v>PositiveInterface</v>
      </c>
      <c r="K377" t="s">
        <v>1909</v>
      </c>
      <c r="L377" t="s">
        <v>259</v>
      </c>
    </row>
    <row r="378" spans="10:12" x14ac:dyDescent="0.25">
      <c r="J378" t="str">
        <f>IF(ISNUMBER(SEARCH("Phase",tbl_AllElements[[#This Row],[Element Name]])),"Phase",LEFT(tbl_AllElements[[#This Row],[Element Name]],FIND("_",tbl_AllElements[[#This Row],[Element Name]])-1))</f>
        <v>PositiveInterface</v>
      </c>
      <c r="K378" t="s">
        <v>1909</v>
      </c>
      <c r="L378" t="s">
        <v>1901</v>
      </c>
    </row>
  </sheetData>
  <pageMargins left="0.7" right="0.7" top="0.75" bottom="0.75" header="0.3" footer="0.3"/>
  <pageSetup orientation="portrait" r:id="rId1"/>
  <tableParts count="9">
    <tablePart r:id="rId2"/>
    <tablePart r:id="rId3"/>
    <tablePart r:id="rId4"/>
    <tablePart r:id="rId5"/>
    <tablePart r:id="rId6"/>
    <tablePart r:id="rId7"/>
    <tablePart r:id="rId8"/>
    <tablePart r:id="rId9"/>
    <tablePart r:id="rId1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59E3D-D775-4120-BFC2-2D7105589595}">
  <sheetPr codeName="Sheet3"/>
  <dimension ref="A1:AR500"/>
  <sheetViews>
    <sheetView topLeftCell="A484" workbookViewId="0">
      <selection activeCell="F200" sqref="F200:F500"/>
    </sheetView>
  </sheetViews>
  <sheetFormatPr defaultRowHeight="15" x14ac:dyDescent="0.25"/>
  <cols>
    <col min="1" max="1" width="14.7109375" customWidth="1"/>
    <col min="4" max="4" width="14.28515625" bestFit="1" customWidth="1"/>
    <col min="5" max="5" width="34.28515625" bestFit="1" customWidth="1"/>
    <col min="6" max="6" width="17.5703125" bestFit="1" customWidth="1"/>
  </cols>
  <sheetData>
    <row r="1" spans="1:44" x14ac:dyDescent="0.25">
      <c r="A1" t="s">
        <v>1</v>
      </c>
      <c r="B1" t="s">
        <v>247</v>
      </c>
      <c r="D1" cm="1">
        <f t="array" ref="D1:D64">tbl_Extraction[No.]</f>
        <v>1</v>
      </c>
      <c r="E1" t="str" cm="1">
        <f t="array" ref="E1:E64">tbl_Extraction[Model]</f>
        <v>CR113_N_Case1,4_SLS_0.7EI_Hyd_a03BP1.0m</v>
      </c>
      <c r="F1" t="str" cm="1">
        <f t="array" ref="F1:AR1">TRANSPOSE(_xlfn._xlws.FILTER(_xlfn.ANCHORARRAY($B$2),_xlfn.ANCHORARRAY($A$2)=$E1))</f>
        <v>Initial phase [InitialPhase]</v>
      </c>
      <c r="G1" t="str">
        <v>1. Cut Slope for L Shape Wall [Phase_1]</v>
      </c>
      <c r="H1" t="str">
        <v>2. Install Kingpost [Phase_2]</v>
      </c>
      <c r="I1" t="str">
        <v>3. Cast L Shape wall, backfill and traffic divert [Phase_3]</v>
      </c>
      <c r="J1" t="str">
        <v>4. Cut down to +20mSHD [Phase_4]</v>
      </c>
      <c r="K1" t="str">
        <v>5. Install RHS DWall [Phase_5]</v>
      </c>
      <c r="L1" t="str">
        <v>6. Cut slope for LHS DWall [Phase_6]</v>
      </c>
      <c r="M1" t="str">
        <v>7. Install LHS DWalls &amp; Backfill behind DWall, Surcharge [Phase_7]</v>
      </c>
      <c r="N1" t="str">
        <v>8. Exc for S1 [Phase_8]</v>
      </c>
      <c r="O1" t="str">
        <v>9. Install S1 (PL=50) [Phase_9]</v>
      </c>
      <c r="P1" t="str">
        <v>10. Exc for S2 [Phase_10]</v>
      </c>
      <c r="Q1" t="str">
        <v>11. Install S2 (PL=100) [Phase_11]</v>
      </c>
      <c r="R1" t="str">
        <v>12. Exc for Roof [Phase_12]</v>
      </c>
      <c r="S1" t="str">
        <v>13. Cast Roof Slab [Phase_13]</v>
      </c>
      <c r="T1" t="str">
        <v>14. Exc for B1 [Phase_14]</v>
      </c>
      <c r="U1" t="str">
        <v>15. Cast B1 Slab [Phase_15]</v>
      </c>
      <c r="V1" t="str">
        <v>16. Exc for B2 [Phase_16]</v>
      </c>
      <c r="W1" t="str">
        <v>17. Cast B2 Slab [Phase_17]</v>
      </c>
      <c r="X1" t="str">
        <v>18. Exc for S3 [Phase_18]</v>
      </c>
      <c r="Y1" t="str">
        <v>19. Install S3 (PL=550) [Phase_19]</v>
      </c>
      <c r="Z1" t="str">
        <v>20. Exc for FEL [Phase_20]</v>
      </c>
      <c r="AA1" t="str">
        <v>21. Cast Base Slab [Phase_21]</v>
      </c>
      <c r="AB1" t="str">
        <v>22. Remove S3 [Phase_22]</v>
      </c>
      <c r="AC1" t="str">
        <v>23. Case RC  Wal [Phase_23]</v>
      </c>
      <c r="AD1" t="str">
        <v>24. Remove Kingpost and Backfill [Phase_24]</v>
      </c>
      <c r="AE1" t="str">
        <v>25. Backfill up to 1m below S2 [Phase_25]</v>
      </c>
      <c r="AF1" t="str">
        <v>26.Remove S2 [Phase_26]</v>
      </c>
      <c r="AG1" t="str">
        <v>27. Backfill upto 1m below S1 [Phase_27]</v>
      </c>
      <c r="AH1" t="str">
        <v>28. Remove S1 [Phase_28]</v>
      </c>
      <c r="AI1" t="str">
        <v>29. Backfill to final level [Phase_29]</v>
      </c>
      <c r="AJ1" t="str">
        <v>30. Divert Traffic and Demolish Temp Structure [Phase_37]</v>
      </c>
      <c r="AK1" t="str">
        <v>31. Locked-in [Phase_38]</v>
      </c>
      <c r="AL1" t="str">
        <v>4.OSF_ S3 Fails [Phase_35]</v>
      </c>
      <c r="AM1" t="str">
        <v>5.OSF_ S2 Fails [Phase_36]</v>
      </c>
      <c r="AN1" t="str">
        <v>2.OSF_ S2 Fails [Phase_33]</v>
      </c>
      <c r="AO1" t="str">
        <v>3.OSF_ S1 Fails [Phase_34]</v>
      </c>
      <c r="AP1" t="str">
        <v>1.OSF _ Install S1 [Phase_30]</v>
      </c>
      <c r="AQ1" t="str">
        <v>1.OSF_ Exc for S2 [Phase_31]</v>
      </c>
      <c r="AR1" t="str">
        <v>1.OSF_ S1 Fails [Phase_32]</v>
      </c>
    </row>
    <row r="2" spans="1:44" x14ac:dyDescent="0.25">
      <c r="A2" t="str" cm="1">
        <f t="array" ref="A2:A204">_xlfn._xlws.FILTER(tbl_AllElements[Model],tbl_AllElements[Element Type]=$B$1)</f>
        <v>CR113_N_Case1,4_SLS_0.7EI_Hyd_a03BP1.0m</v>
      </c>
      <c r="B2" t="str" cm="1">
        <f t="array" ref="B2:B204">_xlfn._xlws.FILTER(tbl_AllElements[Element Name],tbl_AllElements[Element Type]=$B$1)</f>
        <v>Initial phase [InitialPhase]</v>
      </c>
      <c r="D2">
        <v>2</v>
      </c>
      <c r="E2" t="str">
        <v>CR113_N_Case1,4_SLS_0.7EI_Hyd_a03BP1.0m</v>
      </c>
      <c r="F2" t="str" cm="1">
        <f t="array" ref="F2:AR2">TRANSPOSE(_xlfn._xlws.FILTER(_xlfn.ANCHORARRAY($B$2),_xlfn.ANCHORARRAY($A$2)=$E2))</f>
        <v>Initial phase [InitialPhase]</v>
      </c>
      <c r="G2" t="str">
        <v>1. Cut Slope for L Shape Wall [Phase_1]</v>
      </c>
      <c r="H2" t="str">
        <v>2. Install Kingpost [Phase_2]</v>
      </c>
      <c r="I2" t="str">
        <v>3. Cast L Shape wall, backfill and traffic divert [Phase_3]</v>
      </c>
      <c r="J2" t="str">
        <v>4. Cut down to +20mSHD [Phase_4]</v>
      </c>
      <c r="K2" t="str">
        <v>5. Install RHS DWall [Phase_5]</v>
      </c>
      <c r="L2" t="str">
        <v>6. Cut slope for LHS DWall [Phase_6]</v>
      </c>
      <c r="M2" t="str">
        <v>7. Install LHS DWalls &amp; Backfill behind DWall, Surcharge [Phase_7]</v>
      </c>
      <c r="N2" t="str">
        <v>8. Exc for S1 [Phase_8]</v>
      </c>
      <c r="O2" t="str">
        <v>9. Install S1 (PL=50) [Phase_9]</v>
      </c>
      <c r="P2" t="str">
        <v>10. Exc for S2 [Phase_10]</v>
      </c>
      <c r="Q2" t="str">
        <v>11. Install S2 (PL=100) [Phase_11]</v>
      </c>
      <c r="R2" t="str">
        <v>12. Exc for Roof [Phase_12]</v>
      </c>
      <c r="S2" t="str">
        <v>13. Cast Roof Slab [Phase_13]</v>
      </c>
      <c r="T2" t="str">
        <v>14. Exc for B1 [Phase_14]</v>
      </c>
      <c r="U2" t="str">
        <v>15. Cast B1 Slab [Phase_15]</v>
      </c>
      <c r="V2" t="str">
        <v>16. Exc for B2 [Phase_16]</v>
      </c>
      <c r="W2" t="str">
        <v>17. Cast B2 Slab [Phase_17]</v>
      </c>
      <c r="X2" t="str">
        <v>18. Exc for S3 [Phase_18]</v>
      </c>
      <c r="Y2" t="str">
        <v>19. Install S3 (PL=550) [Phase_19]</v>
      </c>
      <c r="Z2" t="str">
        <v>20. Exc for FEL [Phase_20]</v>
      </c>
      <c r="AA2" t="str">
        <v>21. Cast Base Slab [Phase_21]</v>
      </c>
      <c r="AB2" t="str">
        <v>22. Remove S3 [Phase_22]</v>
      </c>
      <c r="AC2" t="str">
        <v>23. Case RC  Wal [Phase_23]</v>
      </c>
      <c r="AD2" t="str">
        <v>24. Remove Kingpost and Backfill [Phase_24]</v>
      </c>
      <c r="AE2" t="str">
        <v>25. Backfill up to 1m below S2 [Phase_25]</v>
      </c>
      <c r="AF2" t="str">
        <v>26.Remove S2 [Phase_26]</v>
      </c>
      <c r="AG2" t="str">
        <v>27. Backfill upto 1m below S1 [Phase_27]</v>
      </c>
      <c r="AH2" t="str">
        <v>28. Remove S1 [Phase_28]</v>
      </c>
      <c r="AI2" t="str">
        <v>29. Backfill to final level [Phase_29]</v>
      </c>
      <c r="AJ2" t="str">
        <v>30. Divert Traffic and Demolish Temp Structure [Phase_37]</v>
      </c>
      <c r="AK2" t="str">
        <v>31. Locked-in [Phase_38]</v>
      </c>
      <c r="AL2" t="str">
        <v>4.OSF_ S3 Fails [Phase_35]</v>
      </c>
      <c r="AM2" t="str">
        <v>5.OSF_ S2 Fails [Phase_36]</v>
      </c>
      <c r="AN2" t="str">
        <v>2.OSF_ S2 Fails [Phase_33]</v>
      </c>
      <c r="AO2" t="str">
        <v>3.OSF_ S1 Fails [Phase_34]</v>
      </c>
      <c r="AP2" t="str">
        <v>1.OSF _ Install S1 [Phase_30]</v>
      </c>
      <c r="AQ2" t="str">
        <v>1.OSF_ Exc for S2 [Phase_31]</v>
      </c>
      <c r="AR2" t="str">
        <v>1.OSF_ S1 Fails [Phase_32]</v>
      </c>
    </row>
    <row r="3" spans="1:44" x14ac:dyDescent="0.25">
      <c r="A3" t="str">
        <v>CR113_N_Case1,4_SLS_0.7EI_Hyd_a03BP1.0m</v>
      </c>
      <c r="B3" t="str">
        <v>1. Cut Slope for L Shape Wall [Phase_1]</v>
      </c>
      <c r="D3">
        <v>3</v>
      </c>
      <c r="E3" t="str">
        <v>CR113_N_Case1,4_SLS_0.7EI_Hyd_a03BP1.0m</v>
      </c>
      <c r="F3" t="str" cm="1">
        <f t="array" ref="F3:AR3">TRANSPOSE(_xlfn._xlws.FILTER(_xlfn.ANCHORARRAY($B$2),_xlfn.ANCHORARRAY($A$2)=$E3))</f>
        <v>Initial phase [InitialPhase]</v>
      </c>
      <c r="G3" t="str">
        <v>1. Cut Slope for L Shape Wall [Phase_1]</v>
      </c>
      <c r="H3" t="str">
        <v>2. Install Kingpost [Phase_2]</v>
      </c>
      <c r="I3" t="str">
        <v>3. Cast L Shape wall, backfill and traffic divert [Phase_3]</v>
      </c>
      <c r="J3" t="str">
        <v>4. Cut down to +20mSHD [Phase_4]</v>
      </c>
      <c r="K3" t="str">
        <v>5. Install RHS DWall [Phase_5]</v>
      </c>
      <c r="L3" t="str">
        <v>6. Cut slope for LHS DWall [Phase_6]</v>
      </c>
      <c r="M3" t="str">
        <v>7. Install LHS DWalls &amp; Backfill behind DWall, Surcharge [Phase_7]</v>
      </c>
      <c r="N3" t="str">
        <v>8. Exc for S1 [Phase_8]</v>
      </c>
      <c r="O3" t="str">
        <v>9. Install S1 (PL=50) [Phase_9]</v>
      </c>
      <c r="P3" t="str">
        <v>10. Exc for S2 [Phase_10]</v>
      </c>
      <c r="Q3" t="str">
        <v>11. Install S2 (PL=100) [Phase_11]</v>
      </c>
      <c r="R3" t="str">
        <v>12. Exc for Roof [Phase_12]</v>
      </c>
      <c r="S3" t="str">
        <v>13. Cast Roof Slab [Phase_13]</v>
      </c>
      <c r="T3" t="str">
        <v>14. Exc for B1 [Phase_14]</v>
      </c>
      <c r="U3" t="str">
        <v>15. Cast B1 Slab [Phase_15]</v>
      </c>
      <c r="V3" t="str">
        <v>16. Exc for B2 [Phase_16]</v>
      </c>
      <c r="W3" t="str">
        <v>17. Cast B2 Slab [Phase_17]</v>
      </c>
      <c r="X3" t="str">
        <v>18. Exc for S3 [Phase_18]</v>
      </c>
      <c r="Y3" t="str">
        <v>19. Install S3 (PL=550) [Phase_19]</v>
      </c>
      <c r="Z3" t="str">
        <v>20. Exc for FEL [Phase_20]</v>
      </c>
      <c r="AA3" t="str">
        <v>21. Cast Base Slab [Phase_21]</v>
      </c>
      <c r="AB3" t="str">
        <v>22. Remove S3 [Phase_22]</v>
      </c>
      <c r="AC3" t="str">
        <v>23. Case RC  Wal [Phase_23]</v>
      </c>
      <c r="AD3" t="str">
        <v>24. Remove Kingpost and Backfill [Phase_24]</v>
      </c>
      <c r="AE3" t="str">
        <v>25. Backfill up to 1m below S2 [Phase_25]</v>
      </c>
      <c r="AF3" t="str">
        <v>26.Remove S2 [Phase_26]</v>
      </c>
      <c r="AG3" t="str">
        <v>27. Backfill upto 1m below S1 [Phase_27]</v>
      </c>
      <c r="AH3" t="str">
        <v>28. Remove S1 [Phase_28]</v>
      </c>
      <c r="AI3" t="str">
        <v>29. Backfill to final level [Phase_29]</v>
      </c>
      <c r="AJ3" t="str">
        <v>30. Divert Traffic and Demolish Temp Structure [Phase_37]</v>
      </c>
      <c r="AK3" t="str">
        <v>31. Locked-in [Phase_38]</v>
      </c>
      <c r="AL3" t="str">
        <v>4.OSF_ S3 Fails [Phase_35]</v>
      </c>
      <c r="AM3" t="str">
        <v>5.OSF_ S2 Fails [Phase_36]</v>
      </c>
      <c r="AN3" t="str">
        <v>2.OSF_ S2 Fails [Phase_33]</v>
      </c>
      <c r="AO3" t="str">
        <v>3.OSF_ S1 Fails [Phase_34]</v>
      </c>
      <c r="AP3" t="str">
        <v>1.OSF _ Install S1 [Phase_30]</v>
      </c>
      <c r="AQ3" t="str">
        <v>1.OSF_ Exc for S2 [Phase_31]</v>
      </c>
      <c r="AR3" t="str">
        <v>1.OSF_ S1 Fails [Phase_32]</v>
      </c>
    </row>
    <row r="4" spans="1:44" x14ac:dyDescent="0.25">
      <c r="A4" t="str">
        <v>CR113_N_Case1,4_SLS_0.7EI_Hyd_a03BP1.0m</v>
      </c>
      <c r="B4" t="str">
        <v>2. Install Kingpost [Phase_2]</v>
      </c>
      <c r="D4">
        <v>4</v>
      </c>
      <c r="E4" t="str">
        <v>CR113_N_Case1,4_SLS_0.7EI_Hyd_a03BP1.0m</v>
      </c>
      <c r="F4" t="str" cm="1">
        <f t="array" ref="F4:AR4">TRANSPOSE(_xlfn._xlws.FILTER(_xlfn.ANCHORARRAY($B$2),_xlfn.ANCHORARRAY($A$2)=$E4))</f>
        <v>Initial phase [InitialPhase]</v>
      </c>
      <c r="G4" t="str">
        <v>1. Cut Slope for L Shape Wall [Phase_1]</v>
      </c>
      <c r="H4" t="str">
        <v>2. Install Kingpost [Phase_2]</v>
      </c>
      <c r="I4" t="str">
        <v>3. Cast L Shape wall, backfill and traffic divert [Phase_3]</v>
      </c>
      <c r="J4" t="str">
        <v>4. Cut down to +20mSHD [Phase_4]</v>
      </c>
      <c r="K4" t="str">
        <v>5. Install RHS DWall [Phase_5]</v>
      </c>
      <c r="L4" t="str">
        <v>6. Cut slope for LHS DWall [Phase_6]</v>
      </c>
      <c r="M4" t="str">
        <v>7. Install LHS DWalls &amp; Backfill behind DWall, Surcharge [Phase_7]</v>
      </c>
      <c r="N4" t="str">
        <v>8. Exc for S1 [Phase_8]</v>
      </c>
      <c r="O4" t="str">
        <v>9. Install S1 (PL=50) [Phase_9]</v>
      </c>
      <c r="P4" t="str">
        <v>10. Exc for S2 [Phase_10]</v>
      </c>
      <c r="Q4" t="str">
        <v>11. Install S2 (PL=100) [Phase_11]</v>
      </c>
      <c r="R4" t="str">
        <v>12. Exc for Roof [Phase_12]</v>
      </c>
      <c r="S4" t="str">
        <v>13. Cast Roof Slab [Phase_13]</v>
      </c>
      <c r="T4" t="str">
        <v>14. Exc for B1 [Phase_14]</v>
      </c>
      <c r="U4" t="str">
        <v>15. Cast B1 Slab [Phase_15]</v>
      </c>
      <c r="V4" t="str">
        <v>16. Exc for B2 [Phase_16]</v>
      </c>
      <c r="W4" t="str">
        <v>17. Cast B2 Slab [Phase_17]</v>
      </c>
      <c r="X4" t="str">
        <v>18. Exc for S3 [Phase_18]</v>
      </c>
      <c r="Y4" t="str">
        <v>19. Install S3 (PL=550) [Phase_19]</v>
      </c>
      <c r="Z4" t="str">
        <v>20. Exc for FEL [Phase_20]</v>
      </c>
      <c r="AA4" t="str">
        <v>21. Cast Base Slab [Phase_21]</v>
      </c>
      <c r="AB4" t="str">
        <v>22. Remove S3 [Phase_22]</v>
      </c>
      <c r="AC4" t="str">
        <v>23. Case RC  Wal [Phase_23]</v>
      </c>
      <c r="AD4" t="str">
        <v>24. Remove Kingpost and Backfill [Phase_24]</v>
      </c>
      <c r="AE4" t="str">
        <v>25. Backfill up to 1m below S2 [Phase_25]</v>
      </c>
      <c r="AF4" t="str">
        <v>26.Remove S2 [Phase_26]</v>
      </c>
      <c r="AG4" t="str">
        <v>27. Backfill upto 1m below S1 [Phase_27]</v>
      </c>
      <c r="AH4" t="str">
        <v>28. Remove S1 [Phase_28]</v>
      </c>
      <c r="AI4" t="str">
        <v>29. Backfill to final level [Phase_29]</v>
      </c>
      <c r="AJ4" t="str">
        <v>30. Divert Traffic and Demolish Temp Structure [Phase_37]</v>
      </c>
      <c r="AK4" t="str">
        <v>31. Locked-in [Phase_38]</v>
      </c>
      <c r="AL4" t="str">
        <v>4.OSF_ S3 Fails [Phase_35]</v>
      </c>
      <c r="AM4" t="str">
        <v>5.OSF_ S2 Fails [Phase_36]</v>
      </c>
      <c r="AN4" t="str">
        <v>2.OSF_ S2 Fails [Phase_33]</v>
      </c>
      <c r="AO4" t="str">
        <v>3.OSF_ S1 Fails [Phase_34]</v>
      </c>
      <c r="AP4" t="str">
        <v>1.OSF _ Install S1 [Phase_30]</v>
      </c>
      <c r="AQ4" t="str">
        <v>1.OSF_ Exc for S2 [Phase_31]</v>
      </c>
      <c r="AR4" t="str">
        <v>1.OSF_ S1 Fails [Phase_32]</v>
      </c>
    </row>
    <row r="5" spans="1:44" x14ac:dyDescent="0.25">
      <c r="A5" t="str">
        <v>CR113_N_Case1,4_SLS_0.7EI_Hyd_a03BP1.0m</v>
      </c>
      <c r="B5" t="str">
        <v>3. Cast L Shape wall, backfill and traffic divert [Phase_3]</v>
      </c>
      <c r="D5">
        <v>5</v>
      </c>
      <c r="E5" t="str">
        <v>CR113_N_Case1,4_SLS_0.7EI_Hyd_a03BP1.0m</v>
      </c>
      <c r="F5" t="str" cm="1">
        <f t="array" ref="F5:AR5">TRANSPOSE(_xlfn._xlws.FILTER(_xlfn.ANCHORARRAY($B$2),_xlfn.ANCHORARRAY($A$2)=$E5))</f>
        <v>Initial phase [InitialPhase]</v>
      </c>
      <c r="G5" t="str">
        <v>1. Cut Slope for L Shape Wall [Phase_1]</v>
      </c>
      <c r="H5" t="str">
        <v>2. Install Kingpost [Phase_2]</v>
      </c>
      <c r="I5" t="str">
        <v>3. Cast L Shape wall, backfill and traffic divert [Phase_3]</v>
      </c>
      <c r="J5" t="str">
        <v>4. Cut down to +20mSHD [Phase_4]</v>
      </c>
      <c r="K5" t="str">
        <v>5. Install RHS DWall [Phase_5]</v>
      </c>
      <c r="L5" t="str">
        <v>6. Cut slope for LHS DWall [Phase_6]</v>
      </c>
      <c r="M5" t="str">
        <v>7. Install LHS DWalls &amp; Backfill behind DWall, Surcharge [Phase_7]</v>
      </c>
      <c r="N5" t="str">
        <v>8. Exc for S1 [Phase_8]</v>
      </c>
      <c r="O5" t="str">
        <v>9. Install S1 (PL=50) [Phase_9]</v>
      </c>
      <c r="P5" t="str">
        <v>10. Exc for S2 [Phase_10]</v>
      </c>
      <c r="Q5" t="str">
        <v>11. Install S2 (PL=100) [Phase_11]</v>
      </c>
      <c r="R5" t="str">
        <v>12. Exc for Roof [Phase_12]</v>
      </c>
      <c r="S5" t="str">
        <v>13. Cast Roof Slab [Phase_13]</v>
      </c>
      <c r="T5" t="str">
        <v>14. Exc for B1 [Phase_14]</v>
      </c>
      <c r="U5" t="str">
        <v>15. Cast B1 Slab [Phase_15]</v>
      </c>
      <c r="V5" t="str">
        <v>16. Exc for B2 [Phase_16]</v>
      </c>
      <c r="W5" t="str">
        <v>17. Cast B2 Slab [Phase_17]</v>
      </c>
      <c r="X5" t="str">
        <v>18. Exc for S3 [Phase_18]</v>
      </c>
      <c r="Y5" t="str">
        <v>19. Install S3 (PL=550) [Phase_19]</v>
      </c>
      <c r="Z5" t="str">
        <v>20. Exc for FEL [Phase_20]</v>
      </c>
      <c r="AA5" t="str">
        <v>21. Cast Base Slab [Phase_21]</v>
      </c>
      <c r="AB5" t="str">
        <v>22. Remove S3 [Phase_22]</v>
      </c>
      <c r="AC5" t="str">
        <v>23. Case RC  Wal [Phase_23]</v>
      </c>
      <c r="AD5" t="str">
        <v>24. Remove Kingpost and Backfill [Phase_24]</v>
      </c>
      <c r="AE5" t="str">
        <v>25. Backfill up to 1m below S2 [Phase_25]</v>
      </c>
      <c r="AF5" t="str">
        <v>26.Remove S2 [Phase_26]</v>
      </c>
      <c r="AG5" t="str">
        <v>27. Backfill upto 1m below S1 [Phase_27]</v>
      </c>
      <c r="AH5" t="str">
        <v>28. Remove S1 [Phase_28]</v>
      </c>
      <c r="AI5" t="str">
        <v>29. Backfill to final level [Phase_29]</v>
      </c>
      <c r="AJ5" t="str">
        <v>30. Divert Traffic and Demolish Temp Structure [Phase_37]</v>
      </c>
      <c r="AK5" t="str">
        <v>31. Locked-in [Phase_38]</v>
      </c>
      <c r="AL5" t="str">
        <v>4.OSF_ S3 Fails [Phase_35]</v>
      </c>
      <c r="AM5" t="str">
        <v>5.OSF_ S2 Fails [Phase_36]</v>
      </c>
      <c r="AN5" t="str">
        <v>2.OSF_ S2 Fails [Phase_33]</v>
      </c>
      <c r="AO5" t="str">
        <v>3.OSF_ S1 Fails [Phase_34]</v>
      </c>
      <c r="AP5" t="str">
        <v>1.OSF _ Install S1 [Phase_30]</v>
      </c>
      <c r="AQ5" t="str">
        <v>1.OSF_ Exc for S2 [Phase_31]</v>
      </c>
      <c r="AR5" t="str">
        <v>1.OSF_ S1 Fails [Phase_32]</v>
      </c>
    </row>
    <row r="6" spans="1:44" x14ac:dyDescent="0.25">
      <c r="A6" t="str">
        <v>CR113_N_Case1,4_SLS_0.7EI_Hyd_a03BP1.0m</v>
      </c>
      <c r="B6" t="str">
        <v>4. Cut down to +20mSHD [Phase_4]</v>
      </c>
      <c r="D6">
        <v>6</v>
      </c>
      <c r="E6" t="str">
        <v>CR113_N_Case1,4_SLS_0.7EI_Hyd_a03BP1.0m</v>
      </c>
      <c r="F6" t="str" cm="1">
        <f t="array" ref="F6:AR6">TRANSPOSE(_xlfn._xlws.FILTER(_xlfn.ANCHORARRAY($B$2),_xlfn.ANCHORARRAY($A$2)=$E6))</f>
        <v>Initial phase [InitialPhase]</v>
      </c>
      <c r="G6" t="str">
        <v>1. Cut Slope for L Shape Wall [Phase_1]</v>
      </c>
      <c r="H6" t="str">
        <v>2. Install Kingpost [Phase_2]</v>
      </c>
      <c r="I6" t="str">
        <v>3. Cast L Shape wall, backfill and traffic divert [Phase_3]</v>
      </c>
      <c r="J6" t="str">
        <v>4. Cut down to +20mSHD [Phase_4]</v>
      </c>
      <c r="K6" t="str">
        <v>5. Install RHS DWall [Phase_5]</v>
      </c>
      <c r="L6" t="str">
        <v>6. Cut slope for LHS DWall [Phase_6]</v>
      </c>
      <c r="M6" t="str">
        <v>7. Install LHS DWalls &amp; Backfill behind DWall, Surcharge [Phase_7]</v>
      </c>
      <c r="N6" t="str">
        <v>8. Exc for S1 [Phase_8]</v>
      </c>
      <c r="O6" t="str">
        <v>9. Install S1 (PL=50) [Phase_9]</v>
      </c>
      <c r="P6" t="str">
        <v>10. Exc for S2 [Phase_10]</v>
      </c>
      <c r="Q6" t="str">
        <v>11. Install S2 (PL=100) [Phase_11]</v>
      </c>
      <c r="R6" t="str">
        <v>12. Exc for Roof [Phase_12]</v>
      </c>
      <c r="S6" t="str">
        <v>13. Cast Roof Slab [Phase_13]</v>
      </c>
      <c r="T6" t="str">
        <v>14. Exc for B1 [Phase_14]</v>
      </c>
      <c r="U6" t="str">
        <v>15. Cast B1 Slab [Phase_15]</v>
      </c>
      <c r="V6" t="str">
        <v>16. Exc for B2 [Phase_16]</v>
      </c>
      <c r="W6" t="str">
        <v>17. Cast B2 Slab [Phase_17]</v>
      </c>
      <c r="X6" t="str">
        <v>18. Exc for S3 [Phase_18]</v>
      </c>
      <c r="Y6" t="str">
        <v>19. Install S3 (PL=550) [Phase_19]</v>
      </c>
      <c r="Z6" t="str">
        <v>20. Exc for FEL [Phase_20]</v>
      </c>
      <c r="AA6" t="str">
        <v>21. Cast Base Slab [Phase_21]</v>
      </c>
      <c r="AB6" t="str">
        <v>22. Remove S3 [Phase_22]</v>
      </c>
      <c r="AC6" t="str">
        <v>23. Case RC  Wal [Phase_23]</v>
      </c>
      <c r="AD6" t="str">
        <v>24. Remove Kingpost and Backfill [Phase_24]</v>
      </c>
      <c r="AE6" t="str">
        <v>25. Backfill up to 1m below S2 [Phase_25]</v>
      </c>
      <c r="AF6" t="str">
        <v>26.Remove S2 [Phase_26]</v>
      </c>
      <c r="AG6" t="str">
        <v>27. Backfill upto 1m below S1 [Phase_27]</v>
      </c>
      <c r="AH6" t="str">
        <v>28. Remove S1 [Phase_28]</v>
      </c>
      <c r="AI6" t="str">
        <v>29. Backfill to final level [Phase_29]</v>
      </c>
      <c r="AJ6" t="str">
        <v>30. Divert Traffic and Demolish Temp Structure [Phase_37]</v>
      </c>
      <c r="AK6" t="str">
        <v>31. Locked-in [Phase_38]</v>
      </c>
      <c r="AL6" t="str">
        <v>4.OSF_ S3 Fails [Phase_35]</v>
      </c>
      <c r="AM6" t="str">
        <v>5.OSF_ S2 Fails [Phase_36]</v>
      </c>
      <c r="AN6" t="str">
        <v>2.OSF_ S2 Fails [Phase_33]</v>
      </c>
      <c r="AO6" t="str">
        <v>3.OSF_ S1 Fails [Phase_34]</v>
      </c>
      <c r="AP6" t="str">
        <v>1.OSF _ Install S1 [Phase_30]</v>
      </c>
      <c r="AQ6" t="str">
        <v>1.OSF_ Exc for S2 [Phase_31]</v>
      </c>
      <c r="AR6" t="str">
        <v>1.OSF_ S1 Fails [Phase_32]</v>
      </c>
    </row>
    <row r="7" spans="1:44" x14ac:dyDescent="0.25">
      <c r="A7" t="str">
        <v>CR113_N_Case1,4_SLS_0.7EI_Hyd_a03BP1.0m</v>
      </c>
      <c r="B7" t="str">
        <v>5. Install RHS DWall [Phase_5]</v>
      </c>
      <c r="D7">
        <v>7</v>
      </c>
      <c r="E7" t="str">
        <v>CR113_N_Case1,4_SLS_0.7EI_Hyd_a03BP1.0m</v>
      </c>
      <c r="F7" t="str" cm="1">
        <f t="array" ref="F7:AR7">TRANSPOSE(_xlfn._xlws.FILTER(_xlfn.ANCHORARRAY($B$2),_xlfn.ANCHORARRAY($A$2)=$E7))</f>
        <v>Initial phase [InitialPhase]</v>
      </c>
      <c r="G7" t="str">
        <v>1. Cut Slope for L Shape Wall [Phase_1]</v>
      </c>
      <c r="H7" t="str">
        <v>2. Install Kingpost [Phase_2]</v>
      </c>
      <c r="I7" t="str">
        <v>3. Cast L Shape wall, backfill and traffic divert [Phase_3]</v>
      </c>
      <c r="J7" t="str">
        <v>4. Cut down to +20mSHD [Phase_4]</v>
      </c>
      <c r="K7" t="str">
        <v>5. Install RHS DWall [Phase_5]</v>
      </c>
      <c r="L7" t="str">
        <v>6. Cut slope for LHS DWall [Phase_6]</v>
      </c>
      <c r="M7" t="str">
        <v>7. Install LHS DWalls &amp; Backfill behind DWall, Surcharge [Phase_7]</v>
      </c>
      <c r="N7" t="str">
        <v>8. Exc for S1 [Phase_8]</v>
      </c>
      <c r="O7" t="str">
        <v>9. Install S1 (PL=50) [Phase_9]</v>
      </c>
      <c r="P7" t="str">
        <v>10. Exc for S2 [Phase_10]</v>
      </c>
      <c r="Q7" t="str">
        <v>11. Install S2 (PL=100) [Phase_11]</v>
      </c>
      <c r="R7" t="str">
        <v>12. Exc for Roof [Phase_12]</v>
      </c>
      <c r="S7" t="str">
        <v>13. Cast Roof Slab [Phase_13]</v>
      </c>
      <c r="T7" t="str">
        <v>14. Exc for B1 [Phase_14]</v>
      </c>
      <c r="U7" t="str">
        <v>15. Cast B1 Slab [Phase_15]</v>
      </c>
      <c r="V7" t="str">
        <v>16. Exc for B2 [Phase_16]</v>
      </c>
      <c r="W7" t="str">
        <v>17. Cast B2 Slab [Phase_17]</v>
      </c>
      <c r="X7" t="str">
        <v>18. Exc for S3 [Phase_18]</v>
      </c>
      <c r="Y7" t="str">
        <v>19. Install S3 (PL=550) [Phase_19]</v>
      </c>
      <c r="Z7" t="str">
        <v>20. Exc for FEL [Phase_20]</v>
      </c>
      <c r="AA7" t="str">
        <v>21. Cast Base Slab [Phase_21]</v>
      </c>
      <c r="AB7" t="str">
        <v>22. Remove S3 [Phase_22]</v>
      </c>
      <c r="AC7" t="str">
        <v>23. Case RC  Wal [Phase_23]</v>
      </c>
      <c r="AD7" t="str">
        <v>24. Remove Kingpost and Backfill [Phase_24]</v>
      </c>
      <c r="AE7" t="str">
        <v>25. Backfill up to 1m below S2 [Phase_25]</v>
      </c>
      <c r="AF7" t="str">
        <v>26.Remove S2 [Phase_26]</v>
      </c>
      <c r="AG7" t="str">
        <v>27. Backfill upto 1m below S1 [Phase_27]</v>
      </c>
      <c r="AH7" t="str">
        <v>28. Remove S1 [Phase_28]</v>
      </c>
      <c r="AI7" t="str">
        <v>29. Backfill to final level [Phase_29]</v>
      </c>
      <c r="AJ7" t="str">
        <v>30. Divert Traffic and Demolish Temp Structure [Phase_37]</v>
      </c>
      <c r="AK7" t="str">
        <v>31. Locked-in [Phase_38]</v>
      </c>
      <c r="AL7" t="str">
        <v>4.OSF_ S3 Fails [Phase_35]</v>
      </c>
      <c r="AM7" t="str">
        <v>5.OSF_ S2 Fails [Phase_36]</v>
      </c>
      <c r="AN7" t="str">
        <v>2.OSF_ S2 Fails [Phase_33]</v>
      </c>
      <c r="AO7" t="str">
        <v>3.OSF_ S1 Fails [Phase_34]</v>
      </c>
      <c r="AP7" t="str">
        <v>1.OSF _ Install S1 [Phase_30]</v>
      </c>
      <c r="AQ7" t="str">
        <v>1.OSF_ Exc for S2 [Phase_31]</v>
      </c>
      <c r="AR7" t="str">
        <v>1.OSF_ S1 Fails [Phase_32]</v>
      </c>
    </row>
    <row r="8" spans="1:44" x14ac:dyDescent="0.25">
      <c r="A8" t="str">
        <v>CR113_N_Case1,4_SLS_0.7EI_Hyd_a03BP1.0m</v>
      </c>
      <c r="B8" t="str">
        <v>6. Cut slope for LHS DWall [Phase_6]</v>
      </c>
      <c r="D8">
        <v>8</v>
      </c>
      <c r="E8" t="str">
        <v>CR113_N_Case1,4_SLS_0.7EI_Hyd_a03BP1.0m</v>
      </c>
      <c r="F8" t="str" cm="1">
        <f t="array" ref="F8:AR8">TRANSPOSE(_xlfn._xlws.FILTER(_xlfn.ANCHORARRAY($B$2),_xlfn.ANCHORARRAY($A$2)=$E8))</f>
        <v>Initial phase [InitialPhase]</v>
      </c>
      <c r="G8" t="str">
        <v>1. Cut Slope for L Shape Wall [Phase_1]</v>
      </c>
      <c r="H8" t="str">
        <v>2. Install Kingpost [Phase_2]</v>
      </c>
      <c r="I8" t="str">
        <v>3. Cast L Shape wall, backfill and traffic divert [Phase_3]</v>
      </c>
      <c r="J8" t="str">
        <v>4. Cut down to +20mSHD [Phase_4]</v>
      </c>
      <c r="K8" t="str">
        <v>5. Install RHS DWall [Phase_5]</v>
      </c>
      <c r="L8" t="str">
        <v>6. Cut slope for LHS DWall [Phase_6]</v>
      </c>
      <c r="M8" t="str">
        <v>7. Install LHS DWalls &amp; Backfill behind DWall, Surcharge [Phase_7]</v>
      </c>
      <c r="N8" t="str">
        <v>8. Exc for S1 [Phase_8]</v>
      </c>
      <c r="O8" t="str">
        <v>9. Install S1 (PL=50) [Phase_9]</v>
      </c>
      <c r="P8" t="str">
        <v>10. Exc for S2 [Phase_10]</v>
      </c>
      <c r="Q8" t="str">
        <v>11. Install S2 (PL=100) [Phase_11]</v>
      </c>
      <c r="R8" t="str">
        <v>12. Exc for Roof [Phase_12]</v>
      </c>
      <c r="S8" t="str">
        <v>13. Cast Roof Slab [Phase_13]</v>
      </c>
      <c r="T8" t="str">
        <v>14. Exc for B1 [Phase_14]</v>
      </c>
      <c r="U8" t="str">
        <v>15. Cast B1 Slab [Phase_15]</v>
      </c>
      <c r="V8" t="str">
        <v>16. Exc for B2 [Phase_16]</v>
      </c>
      <c r="W8" t="str">
        <v>17. Cast B2 Slab [Phase_17]</v>
      </c>
      <c r="X8" t="str">
        <v>18. Exc for S3 [Phase_18]</v>
      </c>
      <c r="Y8" t="str">
        <v>19. Install S3 (PL=550) [Phase_19]</v>
      </c>
      <c r="Z8" t="str">
        <v>20. Exc for FEL [Phase_20]</v>
      </c>
      <c r="AA8" t="str">
        <v>21. Cast Base Slab [Phase_21]</v>
      </c>
      <c r="AB8" t="str">
        <v>22. Remove S3 [Phase_22]</v>
      </c>
      <c r="AC8" t="str">
        <v>23. Case RC  Wal [Phase_23]</v>
      </c>
      <c r="AD8" t="str">
        <v>24. Remove Kingpost and Backfill [Phase_24]</v>
      </c>
      <c r="AE8" t="str">
        <v>25. Backfill up to 1m below S2 [Phase_25]</v>
      </c>
      <c r="AF8" t="str">
        <v>26.Remove S2 [Phase_26]</v>
      </c>
      <c r="AG8" t="str">
        <v>27. Backfill upto 1m below S1 [Phase_27]</v>
      </c>
      <c r="AH8" t="str">
        <v>28. Remove S1 [Phase_28]</v>
      </c>
      <c r="AI8" t="str">
        <v>29. Backfill to final level [Phase_29]</v>
      </c>
      <c r="AJ8" t="str">
        <v>30. Divert Traffic and Demolish Temp Structure [Phase_37]</v>
      </c>
      <c r="AK8" t="str">
        <v>31. Locked-in [Phase_38]</v>
      </c>
      <c r="AL8" t="str">
        <v>4.OSF_ S3 Fails [Phase_35]</v>
      </c>
      <c r="AM8" t="str">
        <v>5.OSF_ S2 Fails [Phase_36]</v>
      </c>
      <c r="AN8" t="str">
        <v>2.OSF_ S2 Fails [Phase_33]</v>
      </c>
      <c r="AO8" t="str">
        <v>3.OSF_ S1 Fails [Phase_34]</v>
      </c>
      <c r="AP8" t="str">
        <v>1.OSF _ Install S1 [Phase_30]</v>
      </c>
      <c r="AQ8" t="str">
        <v>1.OSF_ Exc for S2 [Phase_31]</v>
      </c>
      <c r="AR8" t="str">
        <v>1.OSF_ S1 Fails [Phase_32]</v>
      </c>
    </row>
    <row r="9" spans="1:44" x14ac:dyDescent="0.25">
      <c r="A9" t="str">
        <v>CR113_N_Case1,4_SLS_0.7EI_Hyd_a03BP1.0m</v>
      </c>
      <c r="B9" t="str">
        <v>7. Install LHS DWalls &amp; Backfill behind DWall, Surcharge [Phase_7]</v>
      </c>
      <c r="D9">
        <v>9</v>
      </c>
      <c r="E9" t="str">
        <v>CR113_N_Case1,4_SLS_0.7EI_Hyd_a03BP1.0m</v>
      </c>
      <c r="F9" t="str" cm="1">
        <f t="array" ref="F9:AR9">TRANSPOSE(_xlfn._xlws.FILTER(_xlfn.ANCHORARRAY($B$2),_xlfn.ANCHORARRAY($A$2)=$E9))</f>
        <v>Initial phase [InitialPhase]</v>
      </c>
      <c r="G9" t="str">
        <v>1. Cut Slope for L Shape Wall [Phase_1]</v>
      </c>
      <c r="H9" t="str">
        <v>2. Install Kingpost [Phase_2]</v>
      </c>
      <c r="I9" t="str">
        <v>3. Cast L Shape wall, backfill and traffic divert [Phase_3]</v>
      </c>
      <c r="J9" t="str">
        <v>4. Cut down to +20mSHD [Phase_4]</v>
      </c>
      <c r="K9" t="str">
        <v>5. Install RHS DWall [Phase_5]</v>
      </c>
      <c r="L9" t="str">
        <v>6. Cut slope for LHS DWall [Phase_6]</v>
      </c>
      <c r="M9" t="str">
        <v>7. Install LHS DWalls &amp; Backfill behind DWall, Surcharge [Phase_7]</v>
      </c>
      <c r="N9" t="str">
        <v>8. Exc for S1 [Phase_8]</v>
      </c>
      <c r="O9" t="str">
        <v>9. Install S1 (PL=50) [Phase_9]</v>
      </c>
      <c r="P9" t="str">
        <v>10. Exc for S2 [Phase_10]</v>
      </c>
      <c r="Q9" t="str">
        <v>11. Install S2 (PL=100) [Phase_11]</v>
      </c>
      <c r="R9" t="str">
        <v>12. Exc for Roof [Phase_12]</v>
      </c>
      <c r="S9" t="str">
        <v>13. Cast Roof Slab [Phase_13]</v>
      </c>
      <c r="T9" t="str">
        <v>14. Exc for B1 [Phase_14]</v>
      </c>
      <c r="U9" t="str">
        <v>15. Cast B1 Slab [Phase_15]</v>
      </c>
      <c r="V9" t="str">
        <v>16. Exc for B2 [Phase_16]</v>
      </c>
      <c r="W9" t="str">
        <v>17. Cast B2 Slab [Phase_17]</v>
      </c>
      <c r="X9" t="str">
        <v>18. Exc for S3 [Phase_18]</v>
      </c>
      <c r="Y9" t="str">
        <v>19. Install S3 (PL=550) [Phase_19]</v>
      </c>
      <c r="Z9" t="str">
        <v>20. Exc for FEL [Phase_20]</v>
      </c>
      <c r="AA9" t="str">
        <v>21. Cast Base Slab [Phase_21]</v>
      </c>
      <c r="AB9" t="str">
        <v>22. Remove S3 [Phase_22]</v>
      </c>
      <c r="AC9" t="str">
        <v>23. Case RC  Wal [Phase_23]</v>
      </c>
      <c r="AD9" t="str">
        <v>24. Remove Kingpost and Backfill [Phase_24]</v>
      </c>
      <c r="AE9" t="str">
        <v>25. Backfill up to 1m below S2 [Phase_25]</v>
      </c>
      <c r="AF9" t="str">
        <v>26.Remove S2 [Phase_26]</v>
      </c>
      <c r="AG9" t="str">
        <v>27. Backfill upto 1m below S1 [Phase_27]</v>
      </c>
      <c r="AH9" t="str">
        <v>28. Remove S1 [Phase_28]</v>
      </c>
      <c r="AI9" t="str">
        <v>29. Backfill to final level [Phase_29]</v>
      </c>
      <c r="AJ9" t="str">
        <v>30. Divert Traffic and Demolish Temp Structure [Phase_37]</v>
      </c>
      <c r="AK9" t="str">
        <v>31. Locked-in [Phase_38]</v>
      </c>
      <c r="AL9" t="str">
        <v>4.OSF_ S3 Fails [Phase_35]</v>
      </c>
      <c r="AM9" t="str">
        <v>5.OSF_ S2 Fails [Phase_36]</v>
      </c>
      <c r="AN9" t="str">
        <v>2.OSF_ S2 Fails [Phase_33]</v>
      </c>
      <c r="AO9" t="str">
        <v>3.OSF_ S1 Fails [Phase_34]</v>
      </c>
      <c r="AP9" t="str">
        <v>1.OSF _ Install S1 [Phase_30]</v>
      </c>
      <c r="AQ9" t="str">
        <v>1.OSF_ Exc for S2 [Phase_31]</v>
      </c>
      <c r="AR9" t="str">
        <v>1.OSF_ S1 Fails [Phase_32]</v>
      </c>
    </row>
    <row r="10" spans="1:44" x14ac:dyDescent="0.25">
      <c r="A10" t="str">
        <v>CR113_N_Case1,4_SLS_0.7EI_Hyd_a03BP1.0m</v>
      </c>
      <c r="B10" t="str">
        <v>8. Exc for S1 [Phase_8]</v>
      </c>
      <c r="D10">
        <v>10</v>
      </c>
      <c r="E10" t="str">
        <v>CR113_N_Case1,4_SLS_0.7EI_Hyd_a03BP1.0m</v>
      </c>
      <c r="F10" t="str" cm="1">
        <f t="array" ref="F10:AR10">TRANSPOSE(_xlfn._xlws.FILTER(_xlfn.ANCHORARRAY($B$2),_xlfn.ANCHORARRAY($A$2)=$E10))</f>
        <v>Initial phase [InitialPhase]</v>
      </c>
      <c r="G10" t="str">
        <v>1. Cut Slope for L Shape Wall [Phase_1]</v>
      </c>
      <c r="H10" t="str">
        <v>2. Install Kingpost [Phase_2]</v>
      </c>
      <c r="I10" t="str">
        <v>3. Cast L Shape wall, backfill and traffic divert [Phase_3]</v>
      </c>
      <c r="J10" t="str">
        <v>4. Cut down to +20mSHD [Phase_4]</v>
      </c>
      <c r="K10" t="str">
        <v>5. Install RHS DWall [Phase_5]</v>
      </c>
      <c r="L10" t="str">
        <v>6. Cut slope for LHS DWall [Phase_6]</v>
      </c>
      <c r="M10" t="str">
        <v>7. Install LHS DWalls &amp; Backfill behind DWall, Surcharge [Phase_7]</v>
      </c>
      <c r="N10" t="str">
        <v>8. Exc for S1 [Phase_8]</v>
      </c>
      <c r="O10" t="str">
        <v>9. Install S1 (PL=50) [Phase_9]</v>
      </c>
      <c r="P10" t="str">
        <v>10. Exc for S2 [Phase_10]</v>
      </c>
      <c r="Q10" t="str">
        <v>11. Install S2 (PL=100) [Phase_11]</v>
      </c>
      <c r="R10" t="str">
        <v>12. Exc for Roof [Phase_12]</v>
      </c>
      <c r="S10" t="str">
        <v>13. Cast Roof Slab [Phase_13]</v>
      </c>
      <c r="T10" t="str">
        <v>14. Exc for B1 [Phase_14]</v>
      </c>
      <c r="U10" t="str">
        <v>15. Cast B1 Slab [Phase_15]</v>
      </c>
      <c r="V10" t="str">
        <v>16. Exc for B2 [Phase_16]</v>
      </c>
      <c r="W10" t="str">
        <v>17. Cast B2 Slab [Phase_17]</v>
      </c>
      <c r="X10" t="str">
        <v>18. Exc for S3 [Phase_18]</v>
      </c>
      <c r="Y10" t="str">
        <v>19. Install S3 (PL=550) [Phase_19]</v>
      </c>
      <c r="Z10" t="str">
        <v>20. Exc for FEL [Phase_20]</v>
      </c>
      <c r="AA10" t="str">
        <v>21. Cast Base Slab [Phase_21]</v>
      </c>
      <c r="AB10" t="str">
        <v>22. Remove S3 [Phase_22]</v>
      </c>
      <c r="AC10" t="str">
        <v>23. Case RC  Wal [Phase_23]</v>
      </c>
      <c r="AD10" t="str">
        <v>24. Remove Kingpost and Backfill [Phase_24]</v>
      </c>
      <c r="AE10" t="str">
        <v>25. Backfill up to 1m below S2 [Phase_25]</v>
      </c>
      <c r="AF10" t="str">
        <v>26.Remove S2 [Phase_26]</v>
      </c>
      <c r="AG10" t="str">
        <v>27. Backfill upto 1m below S1 [Phase_27]</v>
      </c>
      <c r="AH10" t="str">
        <v>28. Remove S1 [Phase_28]</v>
      </c>
      <c r="AI10" t="str">
        <v>29. Backfill to final level [Phase_29]</v>
      </c>
      <c r="AJ10" t="str">
        <v>30. Divert Traffic and Demolish Temp Structure [Phase_37]</v>
      </c>
      <c r="AK10" t="str">
        <v>31. Locked-in [Phase_38]</v>
      </c>
      <c r="AL10" t="str">
        <v>4.OSF_ S3 Fails [Phase_35]</v>
      </c>
      <c r="AM10" t="str">
        <v>5.OSF_ S2 Fails [Phase_36]</v>
      </c>
      <c r="AN10" t="str">
        <v>2.OSF_ S2 Fails [Phase_33]</v>
      </c>
      <c r="AO10" t="str">
        <v>3.OSF_ S1 Fails [Phase_34]</v>
      </c>
      <c r="AP10" t="str">
        <v>1.OSF _ Install S1 [Phase_30]</v>
      </c>
      <c r="AQ10" t="str">
        <v>1.OSF_ Exc for S2 [Phase_31]</v>
      </c>
      <c r="AR10" t="str">
        <v>1.OSF_ S1 Fails [Phase_32]</v>
      </c>
    </row>
    <row r="11" spans="1:44" x14ac:dyDescent="0.25">
      <c r="A11" t="str">
        <v>CR113_N_Case1,4_SLS_0.7EI_Hyd_a03BP1.0m</v>
      </c>
      <c r="B11" t="str">
        <v>9. Install S1 (PL=50) [Phase_9]</v>
      </c>
      <c r="D11">
        <v>11</v>
      </c>
      <c r="E11" t="str">
        <v>CR113_N_Case1,4_SLS_0.7EI_Hyd_a03BP1.0m</v>
      </c>
      <c r="F11" t="str" cm="1">
        <f t="array" ref="F11:AR11">TRANSPOSE(_xlfn._xlws.FILTER(_xlfn.ANCHORARRAY($B$2),_xlfn.ANCHORARRAY($A$2)=$E11))</f>
        <v>Initial phase [InitialPhase]</v>
      </c>
      <c r="G11" t="str">
        <v>1. Cut Slope for L Shape Wall [Phase_1]</v>
      </c>
      <c r="H11" t="str">
        <v>2. Install Kingpost [Phase_2]</v>
      </c>
      <c r="I11" t="str">
        <v>3. Cast L Shape wall, backfill and traffic divert [Phase_3]</v>
      </c>
      <c r="J11" t="str">
        <v>4. Cut down to +20mSHD [Phase_4]</v>
      </c>
      <c r="K11" t="str">
        <v>5. Install RHS DWall [Phase_5]</v>
      </c>
      <c r="L11" t="str">
        <v>6. Cut slope for LHS DWall [Phase_6]</v>
      </c>
      <c r="M11" t="str">
        <v>7. Install LHS DWalls &amp; Backfill behind DWall, Surcharge [Phase_7]</v>
      </c>
      <c r="N11" t="str">
        <v>8. Exc for S1 [Phase_8]</v>
      </c>
      <c r="O11" t="str">
        <v>9. Install S1 (PL=50) [Phase_9]</v>
      </c>
      <c r="P11" t="str">
        <v>10. Exc for S2 [Phase_10]</v>
      </c>
      <c r="Q11" t="str">
        <v>11. Install S2 (PL=100) [Phase_11]</v>
      </c>
      <c r="R11" t="str">
        <v>12. Exc for Roof [Phase_12]</v>
      </c>
      <c r="S11" t="str">
        <v>13. Cast Roof Slab [Phase_13]</v>
      </c>
      <c r="T11" t="str">
        <v>14. Exc for B1 [Phase_14]</v>
      </c>
      <c r="U11" t="str">
        <v>15. Cast B1 Slab [Phase_15]</v>
      </c>
      <c r="V11" t="str">
        <v>16. Exc for B2 [Phase_16]</v>
      </c>
      <c r="W11" t="str">
        <v>17. Cast B2 Slab [Phase_17]</v>
      </c>
      <c r="X11" t="str">
        <v>18. Exc for S3 [Phase_18]</v>
      </c>
      <c r="Y11" t="str">
        <v>19. Install S3 (PL=550) [Phase_19]</v>
      </c>
      <c r="Z11" t="str">
        <v>20. Exc for FEL [Phase_20]</v>
      </c>
      <c r="AA11" t="str">
        <v>21. Cast Base Slab [Phase_21]</v>
      </c>
      <c r="AB11" t="str">
        <v>22. Remove S3 [Phase_22]</v>
      </c>
      <c r="AC11" t="str">
        <v>23. Case RC  Wal [Phase_23]</v>
      </c>
      <c r="AD11" t="str">
        <v>24. Remove Kingpost and Backfill [Phase_24]</v>
      </c>
      <c r="AE11" t="str">
        <v>25. Backfill up to 1m below S2 [Phase_25]</v>
      </c>
      <c r="AF11" t="str">
        <v>26.Remove S2 [Phase_26]</v>
      </c>
      <c r="AG11" t="str">
        <v>27. Backfill upto 1m below S1 [Phase_27]</v>
      </c>
      <c r="AH11" t="str">
        <v>28. Remove S1 [Phase_28]</v>
      </c>
      <c r="AI11" t="str">
        <v>29. Backfill to final level [Phase_29]</v>
      </c>
      <c r="AJ11" t="str">
        <v>30. Divert Traffic and Demolish Temp Structure [Phase_37]</v>
      </c>
      <c r="AK11" t="str">
        <v>31. Locked-in [Phase_38]</v>
      </c>
      <c r="AL11" t="str">
        <v>4.OSF_ S3 Fails [Phase_35]</v>
      </c>
      <c r="AM11" t="str">
        <v>5.OSF_ S2 Fails [Phase_36]</v>
      </c>
      <c r="AN11" t="str">
        <v>2.OSF_ S2 Fails [Phase_33]</v>
      </c>
      <c r="AO11" t="str">
        <v>3.OSF_ S1 Fails [Phase_34]</v>
      </c>
      <c r="AP11" t="str">
        <v>1.OSF _ Install S1 [Phase_30]</v>
      </c>
      <c r="AQ11" t="str">
        <v>1.OSF_ Exc for S2 [Phase_31]</v>
      </c>
      <c r="AR11" t="str">
        <v>1.OSF_ S1 Fails [Phase_32]</v>
      </c>
    </row>
    <row r="12" spans="1:44" x14ac:dyDescent="0.25">
      <c r="A12" t="str">
        <v>CR113_N_Case1,4_SLS_0.7EI_Hyd_a03BP1.0m</v>
      </c>
      <c r="B12" t="str">
        <v>10. Exc for S2 [Phase_10]</v>
      </c>
      <c r="D12">
        <v>12</v>
      </c>
      <c r="E12" t="str">
        <v>CR113_N_Case1,4_SLS_0.7EI_Hyd_a03BP1.0m</v>
      </c>
      <c r="F12" t="str" cm="1">
        <f t="array" ref="F12:AR12">TRANSPOSE(_xlfn._xlws.FILTER(_xlfn.ANCHORARRAY($B$2),_xlfn.ANCHORARRAY($A$2)=$E12))</f>
        <v>Initial phase [InitialPhase]</v>
      </c>
      <c r="G12" t="str">
        <v>1. Cut Slope for L Shape Wall [Phase_1]</v>
      </c>
      <c r="H12" t="str">
        <v>2. Install Kingpost [Phase_2]</v>
      </c>
      <c r="I12" t="str">
        <v>3. Cast L Shape wall, backfill and traffic divert [Phase_3]</v>
      </c>
      <c r="J12" t="str">
        <v>4. Cut down to +20mSHD [Phase_4]</v>
      </c>
      <c r="K12" t="str">
        <v>5. Install RHS DWall [Phase_5]</v>
      </c>
      <c r="L12" t="str">
        <v>6. Cut slope for LHS DWall [Phase_6]</v>
      </c>
      <c r="M12" t="str">
        <v>7. Install LHS DWalls &amp; Backfill behind DWall, Surcharge [Phase_7]</v>
      </c>
      <c r="N12" t="str">
        <v>8. Exc for S1 [Phase_8]</v>
      </c>
      <c r="O12" t="str">
        <v>9. Install S1 (PL=50) [Phase_9]</v>
      </c>
      <c r="P12" t="str">
        <v>10. Exc for S2 [Phase_10]</v>
      </c>
      <c r="Q12" t="str">
        <v>11. Install S2 (PL=100) [Phase_11]</v>
      </c>
      <c r="R12" t="str">
        <v>12. Exc for Roof [Phase_12]</v>
      </c>
      <c r="S12" t="str">
        <v>13. Cast Roof Slab [Phase_13]</v>
      </c>
      <c r="T12" t="str">
        <v>14. Exc for B1 [Phase_14]</v>
      </c>
      <c r="U12" t="str">
        <v>15. Cast B1 Slab [Phase_15]</v>
      </c>
      <c r="V12" t="str">
        <v>16. Exc for B2 [Phase_16]</v>
      </c>
      <c r="W12" t="str">
        <v>17. Cast B2 Slab [Phase_17]</v>
      </c>
      <c r="X12" t="str">
        <v>18. Exc for S3 [Phase_18]</v>
      </c>
      <c r="Y12" t="str">
        <v>19. Install S3 (PL=550) [Phase_19]</v>
      </c>
      <c r="Z12" t="str">
        <v>20. Exc for FEL [Phase_20]</v>
      </c>
      <c r="AA12" t="str">
        <v>21. Cast Base Slab [Phase_21]</v>
      </c>
      <c r="AB12" t="str">
        <v>22. Remove S3 [Phase_22]</v>
      </c>
      <c r="AC12" t="str">
        <v>23. Case RC  Wal [Phase_23]</v>
      </c>
      <c r="AD12" t="str">
        <v>24. Remove Kingpost and Backfill [Phase_24]</v>
      </c>
      <c r="AE12" t="str">
        <v>25. Backfill up to 1m below S2 [Phase_25]</v>
      </c>
      <c r="AF12" t="str">
        <v>26.Remove S2 [Phase_26]</v>
      </c>
      <c r="AG12" t="str">
        <v>27. Backfill upto 1m below S1 [Phase_27]</v>
      </c>
      <c r="AH12" t="str">
        <v>28. Remove S1 [Phase_28]</v>
      </c>
      <c r="AI12" t="str">
        <v>29. Backfill to final level [Phase_29]</v>
      </c>
      <c r="AJ12" t="str">
        <v>30. Divert Traffic and Demolish Temp Structure [Phase_37]</v>
      </c>
      <c r="AK12" t="str">
        <v>31. Locked-in [Phase_38]</v>
      </c>
      <c r="AL12" t="str">
        <v>4.OSF_ S3 Fails [Phase_35]</v>
      </c>
      <c r="AM12" t="str">
        <v>5.OSF_ S2 Fails [Phase_36]</v>
      </c>
      <c r="AN12" t="str">
        <v>2.OSF_ S2 Fails [Phase_33]</v>
      </c>
      <c r="AO12" t="str">
        <v>3.OSF_ S1 Fails [Phase_34]</v>
      </c>
      <c r="AP12" t="str">
        <v>1.OSF _ Install S1 [Phase_30]</v>
      </c>
      <c r="AQ12" t="str">
        <v>1.OSF_ Exc for S2 [Phase_31]</v>
      </c>
      <c r="AR12" t="str">
        <v>1.OSF_ S1 Fails [Phase_32]</v>
      </c>
    </row>
    <row r="13" spans="1:44" x14ac:dyDescent="0.25">
      <c r="A13" t="str">
        <v>CR113_N_Case1,4_SLS_0.7EI_Hyd_a03BP1.0m</v>
      </c>
      <c r="B13" t="str">
        <v>11. Install S2 (PL=100) [Phase_11]</v>
      </c>
      <c r="D13">
        <v>13</v>
      </c>
      <c r="E13" t="str">
        <v>CR113_N_Case1,4_SLS_0.7EI_Hyd_a03BP1.0m</v>
      </c>
      <c r="F13" t="str" cm="1">
        <f t="array" ref="F13:AR13">TRANSPOSE(_xlfn._xlws.FILTER(_xlfn.ANCHORARRAY($B$2),_xlfn.ANCHORARRAY($A$2)=$E13))</f>
        <v>Initial phase [InitialPhase]</v>
      </c>
      <c r="G13" t="str">
        <v>1. Cut Slope for L Shape Wall [Phase_1]</v>
      </c>
      <c r="H13" t="str">
        <v>2. Install Kingpost [Phase_2]</v>
      </c>
      <c r="I13" t="str">
        <v>3. Cast L Shape wall, backfill and traffic divert [Phase_3]</v>
      </c>
      <c r="J13" t="str">
        <v>4. Cut down to +20mSHD [Phase_4]</v>
      </c>
      <c r="K13" t="str">
        <v>5. Install RHS DWall [Phase_5]</v>
      </c>
      <c r="L13" t="str">
        <v>6. Cut slope for LHS DWall [Phase_6]</v>
      </c>
      <c r="M13" t="str">
        <v>7. Install LHS DWalls &amp; Backfill behind DWall, Surcharge [Phase_7]</v>
      </c>
      <c r="N13" t="str">
        <v>8. Exc for S1 [Phase_8]</v>
      </c>
      <c r="O13" t="str">
        <v>9. Install S1 (PL=50) [Phase_9]</v>
      </c>
      <c r="P13" t="str">
        <v>10. Exc for S2 [Phase_10]</v>
      </c>
      <c r="Q13" t="str">
        <v>11. Install S2 (PL=100) [Phase_11]</v>
      </c>
      <c r="R13" t="str">
        <v>12. Exc for Roof [Phase_12]</v>
      </c>
      <c r="S13" t="str">
        <v>13. Cast Roof Slab [Phase_13]</v>
      </c>
      <c r="T13" t="str">
        <v>14. Exc for B1 [Phase_14]</v>
      </c>
      <c r="U13" t="str">
        <v>15. Cast B1 Slab [Phase_15]</v>
      </c>
      <c r="V13" t="str">
        <v>16. Exc for B2 [Phase_16]</v>
      </c>
      <c r="W13" t="str">
        <v>17. Cast B2 Slab [Phase_17]</v>
      </c>
      <c r="X13" t="str">
        <v>18. Exc for S3 [Phase_18]</v>
      </c>
      <c r="Y13" t="str">
        <v>19. Install S3 (PL=550) [Phase_19]</v>
      </c>
      <c r="Z13" t="str">
        <v>20. Exc for FEL [Phase_20]</v>
      </c>
      <c r="AA13" t="str">
        <v>21. Cast Base Slab [Phase_21]</v>
      </c>
      <c r="AB13" t="str">
        <v>22. Remove S3 [Phase_22]</v>
      </c>
      <c r="AC13" t="str">
        <v>23. Case RC  Wal [Phase_23]</v>
      </c>
      <c r="AD13" t="str">
        <v>24. Remove Kingpost and Backfill [Phase_24]</v>
      </c>
      <c r="AE13" t="str">
        <v>25. Backfill up to 1m below S2 [Phase_25]</v>
      </c>
      <c r="AF13" t="str">
        <v>26.Remove S2 [Phase_26]</v>
      </c>
      <c r="AG13" t="str">
        <v>27. Backfill upto 1m below S1 [Phase_27]</v>
      </c>
      <c r="AH13" t="str">
        <v>28. Remove S1 [Phase_28]</v>
      </c>
      <c r="AI13" t="str">
        <v>29. Backfill to final level [Phase_29]</v>
      </c>
      <c r="AJ13" t="str">
        <v>30. Divert Traffic and Demolish Temp Structure [Phase_37]</v>
      </c>
      <c r="AK13" t="str">
        <v>31. Locked-in [Phase_38]</v>
      </c>
      <c r="AL13" t="str">
        <v>4.OSF_ S3 Fails [Phase_35]</v>
      </c>
      <c r="AM13" t="str">
        <v>5.OSF_ S2 Fails [Phase_36]</v>
      </c>
      <c r="AN13" t="str">
        <v>2.OSF_ S2 Fails [Phase_33]</v>
      </c>
      <c r="AO13" t="str">
        <v>3.OSF_ S1 Fails [Phase_34]</v>
      </c>
      <c r="AP13" t="str">
        <v>1.OSF _ Install S1 [Phase_30]</v>
      </c>
      <c r="AQ13" t="str">
        <v>1.OSF_ Exc for S2 [Phase_31]</v>
      </c>
      <c r="AR13" t="str">
        <v>1.OSF_ S1 Fails [Phase_32]</v>
      </c>
    </row>
    <row r="14" spans="1:44" x14ac:dyDescent="0.25">
      <c r="A14" t="str">
        <v>CR113_N_Case1,4_SLS_0.7EI_Hyd_a03BP1.0m</v>
      </c>
      <c r="B14" t="str">
        <v>12. Exc for Roof [Phase_12]</v>
      </c>
      <c r="D14">
        <v>14</v>
      </c>
      <c r="E14" t="str">
        <v>CR113_N_Case1,4_SLS_0.7EI_Hyd_a03BP1.0m</v>
      </c>
      <c r="F14" t="str" cm="1">
        <f t="array" ref="F14:AR14">TRANSPOSE(_xlfn._xlws.FILTER(_xlfn.ANCHORARRAY($B$2),_xlfn.ANCHORARRAY($A$2)=$E14))</f>
        <v>Initial phase [InitialPhase]</v>
      </c>
      <c r="G14" t="str">
        <v>1. Cut Slope for L Shape Wall [Phase_1]</v>
      </c>
      <c r="H14" t="str">
        <v>2. Install Kingpost [Phase_2]</v>
      </c>
      <c r="I14" t="str">
        <v>3. Cast L Shape wall, backfill and traffic divert [Phase_3]</v>
      </c>
      <c r="J14" t="str">
        <v>4. Cut down to +20mSHD [Phase_4]</v>
      </c>
      <c r="K14" t="str">
        <v>5. Install RHS DWall [Phase_5]</v>
      </c>
      <c r="L14" t="str">
        <v>6. Cut slope for LHS DWall [Phase_6]</v>
      </c>
      <c r="M14" t="str">
        <v>7. Install LHS DWalls &amp; Backfill behind DWall, Surcharge [Phase_7]</v>
      </c>
      <c r="N14" t="str">
        <v>8. Exc for S1 [Phase_8]</v>
      </c>
      <c r="O14" t="str">
        <v>9. Install S1 (PL=50) [Phase_9]</v>
      </c>
      <c r="P14" t="str">
        <v>10. Exc for S2 [Phase_10]</v>
      </c>
      <c r="Q14" t="str">
        <v>11. Install S2 (PL=100) [Phase_11]</v>
      </c>
      <c r="R14" t="str">
        <v>12. Exc for Roof [Phase_12]</v>
      </c>
      <c r="S14" t="str">
        <v>13. Cast Roof Slab [Phase_13]</v>
      </c>
      <c r="T14" t="str">
        <v>14. Exc for B1 [Phase_14]</v>
      </c>
      <c r="U14" t="str">
        <v>15. Cast B1 Slab [Phase_15]</v>
      </c>
      <c r="V14" t="str">
        <v>16. Exc for B2 [Phase_16]</v>
      </c>
      <c r="W14" t="str">
        <v>17. Cast B2 Slab [Phase_17]</v>
      </c>
      <c r="X14" t="str">
        <v>18. Exc for S3 [Phase_18]</v>
      </c>
      <c r="Y14" t="str">
        <v>19. Install S3 (PL=550) [Phase_19]</v>
      </c>
      <c r="Z14" t="str">
        <v>20. Exc for FEL [Phase_20]</v>
      </c>
      <c r="AA14" t="str">
        <v>21. Cast Base Slab [Phase_21]</v>
      </c>
      <c r="AB14" t="str">
        <v>22. Remove S3 [Phase_22]</v>
      </c>
      <c r="AC14" t="str">
        <v>23. Case RC  Wal [Phase_23]</v>
      </c>
      <c r="AD14" t="str">
        <v>24. Remove Kingpost and Backfill [Phase_24]</v>
      </c>
      <c r="AE14" t="str">
        <v>25. Backfill up to 1m below S2 [Phase_25]</v>
      </c>
      <c r="AF14" t="str">
        <v>26.Remove S2 [Phase_26]</v>
      </c>
      <c r="AG14" t="str">
        <v>27. Backfill upto 1m below S1 [Phase_27]</v>
      </c>
      <c r="AH14" t="str">
        <v>28. Remove S1 [Phase_28]</v>
      </c>
      <c r="AI14" t="str">
        <v>29. Backfill to final level [Phase_29]</v>
      </c>
      <c r="AJ14" t="str">
        <v>30. Divert Traffic and Demolish Temp Structure [Phase_37]</v>
      </c>
      <c r="AK14" t="str">
        <v>31. Locked-in [Phase_38]</v>
      </c>
      <c r="AL14" t="str">
        <v>4.OSF_ S3 Fails [Phase_35]</v>
      </c>
      <c r="AM14" t="str">
        <v>5.OSF_ S2 Fails [Phase_36]</v>
      </c>
      <c r="AN14" t="str">
        <v>2.OSF_ S2 Fails [Phase_33]</v>
      </c>
      <c r="AO14" t="str">
        <v>3.OSF_ S1 Fails [Phase_34]</v>
      </c>
      <c r="AP14" t="str">
        <v>1.OSF _ Install S1 [Phase_30]</v>
      </c>
      <c r="AQ14" t="str">
        <v>1.OSF_ Exc for S2 [Phase_31]</v>
      </c>
      <c r="AR14" t="str">
        <v>1.OSF_ S1 Fails [Phase_32]</v>
      </c>
    </row>
    <row r="15" spans="1:44" x14ac:dyDescent="0.25">
      <c r="A15" t="str">
        <v>CR113_N_Case1,4_SLS_0.7EI_Hyd_a03BP1.0m</v>
      </c>
      <c r="B15" t="str">
        <v>13. Cast Roof Slab [Phase_13]</v>
      </c>
      <c r="D15">
        <v>15</v>
      </c>
      <c r="E15" t="str">
        <v>CR113_N_Case1,4_SLS_0.7EI_Hyd_a03BP1.0m</v>
      </c>
      <c r="F15" t="str" cm="1">
        <f t="array" ref="F15:AR15">TRANSPOSE(_xlfn._xlws.FILTER(_xlfn.ANCHORARRAY($B$2),_xlfn.ANCHORARRAY($A$2)=$E15))</f>
        <v>Initial phase [InitialPhase]</v>
      </c>
      <c r="G15" t="str">
        <v>1. Cut Slope for L Shape Wall [Phase_1]</v>
      </c>
      <c r="H15" t="str">
        <v>2. Install Kingpost [Phase_2]</v>
      </c>
      <c r="I15" t="str">
        <v>3. Cast L Shape wall, backfill and traffic divert [Phase_3]</v>
      </c>
      <c r="J15" t="str">
        <v>4. Cut down to +20mSHD [Phase_4]</v>
      </c>
      <c r="K15" t="str">
        <v>5. Install RHS DWall [Phase_5]</v>
      </c>
      <c r="L15" t="str">
        <v>6. Cut slope for LHS DWall [Phase_6]</v>
      </c>
      <c r="M15" t="str">
        <v>7. Install LHS DWalls &amp; Backfill behind DWall, Surcharge [Phase_7]</v>
      </c>
      <c r="N15" t="str">
        <v>8. Exc for S1 [Phase_8]</v>
      </c>
      <c r="O15" t="str">
        <v>9. Install S1 (PL=50) [Phase_9]</v>
      </c>
      <c r="P15" t="str">
        <v>10. Exc for S2 [Phase_10]</v>
      </c>
      <c r="Q15" t="str">
        <v>11. Install S2 (PL=100) [Phase_11]</v>
      </c>
      <c r="R15" t="str">
        <v>12. Exc for Roof [Phase_12]</v>
      </c>
      <c r="S15" t="str">
        <v>13. Cast Roof Slab [Phase_13]</v>
      </c>
      <c r="T15" t="str">
        <v>14. Exc for B1 [Phase_14]</v>
      </c>
      <c r="U15" t="str">
        <v>15. Cast B1 Slab [Phase_15]</v>
      </c>
      <c r="V15" t="str">
        <v>16. Exc for B2 [Phase_16]</v>
      </c>
      <c r="W15" t="str">
        <v>17. Cast B2 Slab [Phase_17]</v>
      </c>
      <c r="X15" t="str">
        <v>18. Exc for S3 [Phase_18]</v>
      </c>
      <c r="Y15" t="str">
        <v>19. Install S3 (PL=550) [Phase_19]</v>
      </c>
      <c r="Z15" t="str">
        <v>20. Exc for FEL [Phase_20]</v>
      </c>
      <c r="AA15" t="str">
        <v>21. Cast Base Slab [Phase_21]</v>
      </c>
      <c r="AB15" t="str">
        <v>22. Remove S3 [Phase_22]</v>
      </c>
      <c r="AC15" t="str">
        <v>23. Case RC  Wal [Phase_23]</v>
      </c>
      <c r="AD15" t="str">
        <v>24. Remove Kingpost and Backfill [Phase_24]</v>
      </c>
      <c r="AE15" t="str">
        <v>25. Backfill up to 1m below S2 [Phase_25]</v>
      </c>
      <c r="AF15" t="str">
        <v>26.Remove S2 [Phase_26]</v>
      </c>
      <c r="AG15" t="str">
        <v>27. Backfill upto 1m below S1 [Phase_27]</v>
      </c>
      <c r="AH15" t="str">
        <v>28. Remove S1 [Phase_28]</v>
      </c>
      <c r="AI15" t="str">
        <v>29. Backfill to final level [Phase_29]</v>
      </c>
      <c r="AJ15" t="str">
        <v>30. Divert Traffic and Demolish Temp Structure [Phase_37]</v>
      </c>
      <c r="AK15" t="str">
        <v>31. Locked-in [Phase_38]</v>
      </c>
      <c r="AL15" t="str">
        <v>4.OSF_ S3 Fails [Phase_35]</v>
      </c>
      <c r="AM15" t="str">
        <v>5.OSF_ S2 Fails [Phase_36]</v>
      </c>
      <c r="AN15" t="str">
        <v>2.OSF_ S2 Fails [Phase_33]</v>
      </c>
      <c r="AO15" t="str">
        <v>3.OSF_ S1 Fails [Phase_34]</v>
      </c>
      <c r="AP15" t="str">
        <v>1.OSF _ Install S1 [Phase_30]</v>
      </c>
      <c r="AQ15" t="str">
        <v>1.OSF_ Exc for S2 [Phase_31]</v>
      </c>
      <c r="AR15" t="str">
        <v>1.OSF_ S1 Fails [Phase_32]</v>
      </c>
    </row>
    <row r="16" spans="1:44" x14ac:dyDescent="0.25">
      <c r="A16" t="str">
        <v>CR113_N_Case1,4_SLS_0.7EI_Hyd_a03BP1.0m</v>
      </c>
      <c r="B16" t="str">
        <v>14. Exc for B1 [Phase_14]</v>
      </c>
      <c r="D16">
        <v>16</v>
      </c>
      <c r="E16" t="str">
        <v>CR113_N_Case1,4_SLS_0.7EI_Hyd_a03BP1.0m</v>
      </c>
      <c r="F16" t="str" cm="1">
        <f t="array" ref="F16:AR16">TRANSPOSE(_xlfn._xlws.FILTER(_xlfn.ANCHORARRAY($B$2),_xlfn.ANCHORARRAY($A$2)=$E16))</f>
        <v>Initial phase [InitialPhase]</v>
      </c>
      <c r="G16" t="str">
        <v>1. Cut Slope for L Shape Wall [Phase_1]</v>
      </c>
      <c r="H16" t="str">
        <v>2. Install Kingpost [Phase_2]</v>
      </c>
      <c r="I16" t="str">
        <v>3. Cast L Shape wall, backfill and traffic divert [Phase_3]</v>
      </c>
      <c r="J16" t="str">
        <v>4. Cut down to +20mSHD [Phase_4]</v>
      </c>
      <c r="K16" t="str">
        <v>5. Install RHS DWall [Phase_5]</v>
      </c>
      <c r="L16" t="str">
        <v>6. Cut slope for LHS DWall [Phase_6]</v>
      </c>
      <c r="M16" t="str">
        <v>7. Install LHS DWalls &amp; Backfill behind DWall, Surcharge [Phase_7]</v>
      </c>
      <c r="N16" t="str">
        <v>8. Exc for S1 [Phase_8]</v>
      </c>
      <c r="O16" t="str">
        <v>9. Install S1 (PL=50) [Phase_9]</v>
      </c>
      <c r="P16" t="str">
        <v>10. Exc for S2 [Phase_10]</v>
      </c>
      <c r="Q16" t="str">
        <v>11. Install S2 (PL=100) [Phase_11]</v>
      </c>
      <c r="R16" t="str">
        <v>12. Exc for Roof [Phase_12]</v>
      </c>
      <c r="S16" t="str">
        <v>13. Cast Roof Slab [Phase_13]</v>
      </c>
      <c r="T16" t="str">
        <v>14. Exc for B1 [Phase_14]</v>
      </c>
      <c r="U16" t="str">
        <v>15. Cast B1 Slab [Phase_15]</v>
      </c>
      <c r="V16" t="str">
        <v>16. Exc for B2 [Phase_16]</v>
      </c>
      <c r="W16" t="str">
        <v>17. Cast B2 Slab [Phase_17]</v>
      </c>
      <c r="X16" t="str">
        <v>18. Exc for S3 [Phase_18]</v>
      </c>
      <c r="Y16" t="str">
        <v>19. Install S3 (PL=550) [Phase_19]</v>
      </c>
      <c r="Z16" t="str">
        <v>20. Exc for FEL [Phase_20]</v>
      </c>
      <c r="AA16" t="str">
        <v>21. Cast Base Slab [Phase_21]</v>
      </c>
      <c r="AB16" t="str">
        <v>22. Remove S3 [Phase_22]</v>
      </c>
      <c r="AC16" t="str">
        <v>23. Case RC  Wal [Phase_23]</v>
      </c>
      <c r="AD16" t="str">
        <v>24. Remove Kingpost and Backfill [Phase_24]</v>
      </c>
      <c r="AE16" t="str">
        <v>25. Backfill up to 1m below S2 [Phase_25]</v>
      </c>
      <c r="AF16" t="str">
        <v>26.Remove S2 [Phase_26]</v>
      </c>
      <c r="AG16" t="str">
        <v>27. Backfill upto 1m below S1 [Phase_27]</v>
      </c>
      <c r="AH16" t="str">
        <v>28. Remove S1 [Phase_28]</v>
      </c>
      <c r="AI16" t="str">
        <v>29. Backfill to final level [Phase_29]</v>
      </c>
      <c r="AJ16" t="str">
        <v>30. Divert Traffic and Demolish Temp Structure [Phase_37]</v>
      </c>
      <c r="AK16" t="str">
        <v>31. Locked-in [Phase_38]</v>
      </c>
      <c r="AL16" t="str">
        <v>4.OSF_ S3 Fails [Phase_35]</v>
      </c>
      <c r="AM16" t="str">
        <v>5.OSF_ S2 Fails [Phase_36]</v>
      </c>
      <c r="AN16" t="str">
        <v>2.OSF_ S2 Fails [Phase_33]</v>
      </c>
      <c r="AO16" t="str">
        <v>3.OSF_ S1 Fails [Phase_34]</v>
      </c>
      <c r="AP16" t="str">
        <v>1.OSF _ Install S1 [Phase_30]</v>
      </c>
      <c r="AQ16" t="str">
        <v>1.OSF_ Exc for S2 [Phase_31]</v>
      </c>
      <c r="AR16" t="str">
        <v>1.OSF_ S1 Fails [Phase_32]</v>
      </c>
    </row>
    <row r="17" spans="1:44" x14ac:dyDescent="0.25">
      <c r="A17" t="str">
        <v>CR113_N_Case1,4_SLS_0.7EI_Hyd_a03BP1.0m</v>
      </c>
      <c r="B17" t="str">
        <v>15. Cast B1 Slab [Phase_15]</v>
      </c>
      <c r="D17">
        <v>17</v>
      </c>
      <c r="E17" t="str">
        <v>CR113_N_Case1,4_SLS_0.7EI_Hyd_a03BP1.0m</v>
      </c>
      <c r="F17" t="str" cm="1">
        <f t="array" ref="F17:AR17">TRANSPOSE(_xlfn._xlws.FILTER(_xlfn.ANCHORARRAY($B$2),_xlfn.ANCHORARRAY($A$2)=$E17))</f>
        <v>Initial phase [InitialPhase]</v>
      </c>
      <c r="G17" t="str">
        <v>1. Cut Slope for L Shape Wall [Phase_1]</v>
      </c>
      <c r="H17" t="str">
        <v>2. Install Kingpost [Phase_2]</v>
      </c>
      <c r="I17" t="str">
        <v>3. Cast L Shape wall, backfill and traffic divert [Phase_3]</v>
      </c>
      <c r="J17" t="str">
        <v>4. Cut down to +20mSHD [Phase_4]</v>
      </c>
      <c r="K17" t="str">
        <v>5. Install RHS DWall [Phase_5]</v>
      </c>
      <c r="L17" t="str">
        <v>6. Cut slope for LHS DWall [Phase_6]</v>
      </c>
      <c r="M17" t="str">
        <v>7. Install LHS DWalls &amp; Backfill behind DWall, Surcharge [Phase_7]</v>
      </c>
      <c r="N17" t="str">
        <v>8. Exc for S1 [Phase_8]</v>
      </c>
      <c r="O17" t="str">
        <v>9. Install S1 (PL=50) [Phase_9]</v>
      </c>
      <c r="P17" t="str">
        <v>10. Exc for S2 [Phase_10]</v>
      </c>
      <c r="Q17" t="str">
        <v>11. Install S2 (PL=100) [Phase_11]</v>
      </c>
      <c r="R17" t="str">
        <v>12. Exc for Roof [Phase_12]</v>
      </c>
      <c r="S17" t="str">
        <v>13. Cast Roof Slab [Phase_13]</v>
      </c>
      <c r="T17" t="str">
        <v>14. Exc for B1 [Phase_14]</v>
      </c>
      <c r="U17" t="str">
        <v>15. Cast B1 Slab [Phase_15]</v>
      </c>
      <c r="V17" t="str">
        <v>16. Exc for B2 [Phase_16]</v>
      </c>
      <c r="W17" t="str">
        <v>17. Cast B2 Slab [Phase_17]</v>
      </c>
      <c r="X17" t="str">
        <v>18. Exc for S3 [Phase_18]</v>
      </c>
      <c r="Y17" t="str">
        <v>19. Install S3 (PL=550) [Phase_19]</v>
      </c>
      <c r="Z17" t="str">
        <v>20. Exc for FEL [Phase_20]</v>
      </c>
      <c r="AA17" t="str">
        <v>21. Cast Base Slab [Phase_21]</v>
      </c>
      <c r="AB17" t="str">
        <v>22. Remove S3 [Phase_22]</v>
      </c>
      <c r="AC17" t="str">
        <v>23. Case RC  Wal [Phase_23]</v>
      </c>
      <c r="AD17" t="str">
        <v>24. Remove Kingpost and Backfill [Phase_24]</v>
      </c>
      <c r="AE17" t="str">
        <v>25. Backfill up to 1m below S2 [Phase_25]</v>
      </c>
      <c r="AF17" t="str">
        <v>26.Remove S2 [Phase_26]</v>
      </c>
      <c r="AG17" t="str">
        <v>27. Backfill upto 1m below S1 [Phase_27]</v>
      </c>
      <c r="AH17" t="str">
        <v>28. Remove S1 [Phase_28]</v>
      </c>
      <c r="AI17" t="str">
        <v>29. Backfill to final level [Phase_29]</v>
      </c>
      <c r="AJ17" t="str">
        <v>30. Divert Traffic and Demolish Temp Structure [Phase_37]</v>
      </c>
      <c r="AK17" t="str">
        <v>31. Locked-in [Phase_38]</v>
      </c>
      <c r="AL17" t="str">
        <v>4.OSF_ S3 Fails [Phase_35]</v>
      </c>
      <c r="AM17" t="str">
        <v>5.OSF_ S2 Fails [Phase_36]</v>
      </c>
      <c r="AN17" t="str">
        <v>2.OSF_ S2 Fails [Phase_33]</v>
      </c>
      <c r="AO17" t="str">
        <v>3.OSF_ S1 Fails [Phase_34]</v>
      </c>
      <c r="AP17" t="str">
        <v>1.OSF _ Install S1 [Phase_30]</v>
      </c>
      <c r="AQ17" t="str">
        <v>1.OSF_ Exc for S2 [Phase_31]</v>
      </c>
      <c r="AR17" t="str">
        <v>1.OSF_ S1 Fails [Phase_32]</v>
      </c>
    </row>
    <row r="18" spans="1:44" x14ac:dyDescent="0.25">
      <c r="A18" t="str">
        <v>CR113_N_Case1,4_SLS_0.7EI_Hyd_a03BP1.0m</v>
      </c>
      <c r="B18" t="str">
        <v>16. Exc for B2 [Phase_16]</v>
      </c>
      <c r="D18">
        <v>18</v>
      </c>
      <c r="E18" t="str">
        <v>CR113_N_Case1,4_SLS_0.7EI_Hyd_a03BP1.0m</v>
      </c>
      <c r="F18" t="str" cm="1">
        <f t="array" ref="F18:AR18">TRANSPOSE(_xlfn._xlws.FILTER(_xlfn.ANCHORARRAY($B$2),_xlfn.ANCHORARRAY($A$2)=$E18))</f>
        <v>Initial phase [InitialPhase]</v>
      </c>
      <c r="G18" t="str">
        <v>1. Cut Slope for L Shape Wall [Phase_1]</v>
      </c>
      <c r="H18" t="str">
        <v>2. Install Kingpost [Phase_2]</v>
      </c>
      <c r="I18" t="str">
        <v>3. Cast L Shape wall, backfill and traffic divert [Phase_3]</v>
      </c>
      <c r="J18" t="str">
        <v>4. Cut down to +20mSHD [Phase_4]</v>
      </c>
      <c r="K18" t="str">
        <v>5. Install RHS DWall [Phase_5]</v>
      </c>
      <c r="L18" t="str">
        <v>6. Cut slope for LHS DWall [Phase_6]</v>
      </c>
      <c r="M18" t="str">
        <v>7. Install LHS DWalls &amp; Backfill behind DWall, Surcharge [Phase_7]</v>
      </c>
      <c r="N18" t="str">
        <v>8. Exc for S1 [Phase_8]</v>
      </c>
      <c r="O18" t="str">
        <v>9. Install S1 (PL=50) [Phase_9]</v>
      </c>
      <c r="P18" t="str">
        <v>10. Exc for S2 [Phase_10]</v>
      </c>
      <c r="Q18" t="str">
        <v>11. Install S2 (PL=100) [Phase_11]</v>
      </c>
      <c r="R18" t="str">
        <v>12. Exc for Roof [Phase_12]</v>
      </c>
      <c r="S18" t="str">
        <v>13. Cast Roof Slab [Phase_13]</v>
      </c>
      <c r="T18" t="str">
        <v>14. Exc for B1 [Phase_14]</v>
      </c>
      <c r="U18" t="str">
        <v>15. Cast B1 Slab [Phase_15]</v>
      </c>
      <c r="V18" t="str">
        <v>16. Exc for B2 [Phase_16]</v>
      </c>
      <c r="W18" t="str">
        <v>17. Cast B2 Slab [Phase_17]</v>
      </c>
      <c r="X18" t="str">
        <v>18. Exc for S3 [Phase_18]</v>
      </c>
      <c r="Y18" t="str">
        <v>19. Install S3 (PL=550) [Phase_19]</v>
      </c>
      <c r="Z18" t="str">
        <v>20. Exc for FEL [Phase_20]</v>
      </c>
      <c r="AA18" t="str">
        <v>21. Cast Base Slab [Phase_21]</v>
      </c>
      <c r="AB18" t="str">
        <v>22. Remove S3 [Phase_22]</v>
      </c>
      <c r="AC18" t="str">
        <v>23. Case RC  Wal [Phase_23]</v>
      </c>
      <c r="AD18" t="str">
        <v>24. Remove Kingpost and Backfill [Phase_24]</v>
      </c>
      <c r="AE18" t="str">
        <v>25. Backfill up to 1m below S2 [Phase_25]</v>
      </c>
      <c r="AF18" t="str">
        <v>26.Remove S2 [Phase_26]</v>
      </c>
      <c r="AG18" t="str">
        <v>27. Backfill upto 1m below S1 [Phase_27]</v>
      </c>
      <c r="AH18" t="str">
        <v>28. Remove S1 [Phase_28]</v>
      </c>
      <c r="AI18" t="str">
        <v>29. Backfill to final level [Phase_29]</v>
      </c>
      <c r="AJ18" t="str">
        <v>30. Divert Traffic and Demolish Temp Structure [Phase_37]</v>
      </c>
      <c r="AK18" t="str">
        <v>31. Locked-in [Phase_38]</v>
      </c>
      <c r="AL18" t="str">
        <v>4.OSF_ S3 Fails [Phase_35]</v>
      </c>
      <c r="AM18" t="str">
        <v>5.OSF_ S2 Fails [Phase_36]</v>
      </c>
      <c r="AN18" t="str">
        <v>2.OSF_ S2 Fails [Phase_33]</v>
      </c>
      <c r="AO18" t="str">
        <v>3.OSF_ S1 Fails [Phase_34]</v>
      </c>
      <c r="AP18" t="str">
        <v>1.OSF _ Install S1 [Phase_30]</v>
      </c>
      <c r="AQ18" t="str">
        <v>1.OSF_ Exc for S2 [Phase_31]</v>
      </c>
      <c r="AR18" t="str">
        <v>1.OSF_ S1 Fails [Phase_32]</v>
      </c>
    </row>
    <row r="19" spans="1:44" x14ac:dyDescent="0.25">
      <c r="A19" t="str">
        <v>CR113_N_Case1,4_SLS_0.7EI_Hyd_a03BP1.0m</v>
      </c>
      <c r="B19" t="str">
        <v>17. Cast B2 Slab [Phase_17]</v>
      </c>
      <c r="D19">
        <v>19</v>
      </c>
      <c r="E19" t="str">
        <v>CR113_N_Case1,4_SLS_0.7EI_Hyd_a03BP1.0m</v>
      </c>
      <c r="F19" t="str" cm="1">
        <f t="array" ref="F19:AR19">TRANSPOSE(_xlfn._xlws.FILTER(_xlfn.ANCHORARRAY($B$2),_xlfn.ANCHORARRAY($A$2)=$E19))</f>
        <v>Initial phase [InitialPhase]</v>
      </c>
      <c r="G19" t="str">
        <v>1. Cut Slope for L Shape Wall [Phase_1]</v>
      </c>
      <c r="H19" t="str">
        <v>2. Install Kingpost [Phase_2]</v>
      </c>
      <c r="I19" t="str">
        <v>3. Cast L Shape wall, backfill and traffic divert [Phase_3]</v>
      </c>
      <c r="J19" t="str">
        <v>4. Cut down to +20mSHD [Phase_4]</v>
      </c>
      <c r="K19" t="str">
        <v>5. Install RHS DWall [Phase_5]</v>
      </c>
      <c r="L19" t="str">
        <v>6. Cut slope for LHS DWall [Phase_6]</v>
      </c>
      <c r="M19" t="str">
        <v>7. Install LHS DWalls &amp; Backfill behind DWall, Surcharge [Phase_7]</v>
      </c>
      <c r="N19" t="str">
        <v>8. Exc for S1 [Phase_8]</v>
      </c>
      <c r="O19" t="str">
        <v>9. Install S1 (PL=50) [Phase_9]</v>
      </c>
      <c r="P19" t="str">
        <v>10. Exc for S2 [Phase_10]</v>
      </c>
      <c r="Q19" t="str">
        <v>11. Install S2 (PL=100) [Phase_11]</v>
      </c>
      <c r="R19" t="str">
        <v>12. Exc for Roof [Phase_12]</v>
      </c>
      <c r="S19" t="str">
        <v>13. Cast Roof Slab [Phase_13]</v>
      </c>
      <c r="T19" t="str">
        <v>14. Exc for B1 [Phase_14]</v>
      </c>
      <c r="U19" t="str">
        <v>15. Cast B1 Slab [Phase_15]</v>
      </c>
      <c r="V19" t="str">
        <v>16. Exc for B2 [Phase_16]</v>
      </c>
      <c r="W19" t="str">
        <v>17. Cast B2 Slab [Phase_17]</v>
      </c>
      <c r="X19" t="str">
        <v>18. Exc for S3 [Phase_18]</v>
      </c>
      <c r="Y19" t="str">
        <v>19. Install S3 (PL=550) [Phase_19]</v>
      </c>
      <c r="Z19" t="str">
        <v>20. Exc for FEL [Phase_20]</v>
      </c>
      <c r="AA19" t="str">
        <v>21. Cast Base Slab [Phase_21]</v>
      </c>
      <c r="AB19" t="str">
        <v>22. Remove S3 [Phase_22]</v>
      </c>
      <c r="AC19" t="str">
        <v>23. Case RC  Wal [Phase_23]</v>
      </c>
      <c r="AD19" t="str">
        <v>24. Remove Kingpost and Backfill [Phase_24]</v>
      </c>
      <c r="AE19" t="str">
        <v>25. Backfill up to 1m below S2 [Phase_25]</v>
      </c>
      <c r="AF19" t="str">
        <v>26.Remove S2 [Phase_26]</v>
      </c>
      <c r="AG19" t="str">
        <v>27. Backfill upto 1m below S1 [Phase_27]</v>
      </c>
      <c r="AH19" t="str">
        <v>28. Remove S1 [Phase_28]</v>
      </c>
      <c r="AI19" t="str">
        <v>29. Backfill to final level [Phase_29]</v>
      </c>
      <c r="AJ19" t="str">
        <v>30. Divert Traffic and Demolish Temp Structure [Phase_37]</v>
      </c>
      <c r="AK19" t="str">
        <v>31. Locked-in [Phase_38]</v>
      </c>
      <c r="AL19" t="str">
        <v>4.OSF_ S3 Fails [Phase_35]</v>
      </c>
      <c r="AM19" t="str">
        <v>5.OSF_ S2 Fails [Phase_36]</v>
      </c>
      <c r="AN19" t="str">
        <v>2.OSF_ S2 Fails [Phase_33]</v>
      </c>
      <c r="AO19" t="str">
        <v>3.OSF_ S1 Fails [Phase_34]</v>
      </c>
      <c r="AP19" t="str">
        <v>1.OSF _ Install S1 [Phase_30]</v>
      </c>
      <c r="AQ19" t="str">
        <v>1.OSF_ Exc for S2 [Phase_31]</v>
      </c>
      <c r="AR19" t="str">
        <v>1.OSF_ S1 Fails [Phase_32]</v>
      </c>
    </row>
    <row r="20" spans="1:44" x14ac:dyDescent="0.25">
      <c r="A20" t="str">
        <v>CR113_N_Case1,4_SLS_0.7EI_Hyd_a03BP1.0m</v>
      </c>
      <c r="B20" t="str">
        <v>18. Exc for S3 [Phase_18]</v>
      </c>
      <c r="D20">
        <v>20</v>
      </c>
      <c r="E20" t="str">
        <v>CR113_N_Case1,4_SLS_0.7EI_Hyd_a03BP1.0m</v>
      </c>
      <c r="F20" t="str" cm="1">
        <f t="array" ref="F20:AR20">TRANSPOSE(_xlfn._xlws.FILTER(_xlfn.ANCHORARRAY($B$2),_xlfn.ANCHORARRAY($A$2)=$E20))</f>
        <v>Initial phase [InitialPhase]</v>
      </c>
      <c r="G20" t="str">
        <v>1. Cut Slope for L Shape Wall [Phase_1]</v>
      </c>
      <c r="H20" t="str">
        <v>2. Install Kingpost [Phase_2]</v>
      </c>
      <c r="I20" t="str">
        <v>3. Cast L Shape wall, backfill and traffic divert [Phase_3]</v>
      </c>
      <c r="J20" t="str">
        <v>4. Cut down to +20mSHD [Phase_4]</v>
      </c>
      <c r="K20" t="str">
        <v>5. Install RHS DWall [Phase_5]</v>
      </c>
      <c r="L20" t="str">
        <v>6. Cut slope for LHS DWall [Phase_6]</v>
      </c>
      <c r="M20" t="str">
        <v>7. Install LHS DWalls &amp; Backfill behind DWall, Surcharge [Phase_7]</v>
      </c>
      <c r="N20" t="str">
        <v>8. Exc for S1 [Phase_8]</v>
      </c>
      <c r="O20" t="str">
        <v>9. Install S1 (PL=50) [Phase_9]</v>
      </c>
      <c r="P20" t="str">
        <v>10. Exc for S2 [Phase_10]</v>
      </c>
      <c r="Q20" t="str">
        <v>11. Install S2 (PL=100) [Phase_11]</v>
      </c>
      <c r="R20" t="str">
        <v>12. Exc for Roof [Phase_12]</v>
      </c>
      <c r="S20" t="str">
        <v>13. Cast Roof Slab [Phase_13]</v>
      </c>
      <c r="T20" t="str">
        <v>14. Exc for B1 [Phase_14]</v>
      </c>
      <c r="U20" t="str">
        <v>15. Cast B1 Slab [Phase_15]</v>
      </c>
      <c r="V20" t="str">
        <v>16. Exc for B2 [Phase_16]</v>
      </c>
      <c r="W20" t="str">
        <v>17. Cast B2 Slab [Phase_17]</v>
      </c>
      <c r="X20" t="str">
        <v>18. Exc for S3 [Phase_18]</v>
      </c>
      <c r="Y20" t="str">
        <v>19. Install S3 (PL=550) [Phase_19]</v>
      </c>
      <c r="Z20" t="str">
        <v>20. Exc for FEL [Phase_20]</v>
      </c>
      <c r="AA20" t="str">
        <v>21. Cast Base Slab [Phase_21]</v>
      </c>
      <c r="AB20" t="str">
        <v>22. Remove S3 [Phase_22]</v>
      </c>
      <c r="AC20" t="str">
        <v>23. Case RC  Wal [Phase_23]</v>
      </c>
      <c r="AD20" t="str">
        <v>24. Remove Kingpost and Backfill [Phase_24]</v>
      </c>
      <c r="AE20" t="str">
        <v>25. Backfill up to 1m below S2 [Phase_25]</v>
      </c>
      <c r="AF20" t="str">
        <v>26.Remove S2 [Phase_26]</v>
      </c>
      <c r="AG20" t="str">
        <v>27. Backfill upto 1m below S1 [Phase_27]</v>
      </c>
      <c r="AH20" t="str">
        <v>28. Remove S1 [Phase_28]</v>
      </c>
      <c r="AI20" t="str">
        <v>29. Backfill to final level [Phase_29]</v>
      </c>
      <c r="AJ20" t="str">
        <v>30. Divert Traffic and Demolish Temp Structure [Phase_37]</v>
      </c>
      <c r="AK20" t="str">
        <v>31. Locked-in [Phase_38]</v>
      </c>
      <c r="AL20" t="str">
        <v>4.OSF_ S3 Fails [Phase_35]</v>
      </c>
      <c r="AM20" t="str">
        <v>5.OSF_ S2 Fails [Phase_36]</v>
      </c>
      <c r="AN20" t="str">
        <v>2.OSF_ S2 Fails [Phase_33]</v>
      </c>
      <c r="AO20" t="str">
        <v>3.OSF_ S1 Fails [Phase_34]</v>
      </c>
      <c r="AP20" t="str">
        <v>1.OSF _ Install S1 [Phase_30]</v>
      </c>
      <c r="AQ20" t="str">
        <v>1.OSF_ Exc for S2 [Phase_31]</v>
      </c>
      <c r="AR20" t="str">
        <v>1.OSF_ S1 Fails [Phase_32]</v>
      </c>
    </row>
    <row r="21" spans="1:44" x14ac:dyDescent="0.25">
      <c r="A21" t="str">
        <v>CR113_N_Case1,4_SLS_0.7EI_Hyd_a03BP1.0m</v>
      </c>
      <c r="B21" t="str">
        <v>19. Install S3 (PL=550) [Phase_19]</v>
      </c>
      <c r="D21">
        <v>21</v>
      </c>
      <c r="E21" t="str">
        <v>CR113_N_Case1,4_SLS_0.7EI_Hyd_a03BP1.0m</v>
      </c>
      <c r="F21" t="str" cm="1">
        <f t="array" ref="F21:AR21">TRANSPOSE(_xlfn._xlws.FILTER(_xlfn.ANCHORARRAY($B$2),_xlfn.ANCHORARRAY($A$2)=$E21))</f>
        <v>Initial phase [InitialPhase]</v>
      </c>
      <c r="G21" t="str">
        <v>1. Cut Slope for L Shape Wall [Phase_1]</v>
      </c>
      <c r="H21" t="str">
        <v>2. Install Kingpost [Phase_2]</v>
      </c>
      <c r="I21" t="str">
        <v>3. Cast L Shape wall, backfill and traffic divert [Phase_3]</v>
      </c>
      <c r="J21" t="str">
        <v>4. Cut down to +20mSHD [Phase_4]</v>
      </c>
      <c r="K21" t="str">
        <v>5. Install RHS DWall [Phase_5]</v>
      </c>
      <c r="L21" t="str">
        <v>6. Cut slope for LHS DWall [Phase_6]</v>
      </c>
      <c r="M21" t="str">
        <v>7. Install LHS DWalls &amp; Backfill behind DWall, Surcharge [Phase_7]</v>
      </c>
      <c r="N21" t="str">
        <v>8. Exc for S1 [Phase_8]</v>
      </c>
      <c r="O21" t="str">
        <v>9. Install S1 (PL=50) [Phase_9]</v>
      </c>
      <c r="P21" t="str">
        <v>10. Exc for S2 [Phase_10]</v>
      </c>
      <c r="Q21" t="str">
        <v>11. Install S2 (PL=100) [Phase_11]</v>
      </c>
      <c r="R21" t="str">
        <v>12. Exc for Roof [Phase_12]</v>
      </c>
      <c r="S21" t="str">
        <v>13. Cast Roof Slab [Phase_13]</v>
      </c>
      <c r="T21" t="str">
        <v>14. Exc for B1 [Phase_14]</v>
      </c>
      <c r="U21" t="str">
        <v>15. Cast B1 Slab [Phase_15]</v>
      </c>
      <c r="V21" t="str">
        <v>16. Exc for B2 [Phase_16]</v>
      </c>
      <c r="W21" t="str">
        <v>17. Cast B2 Slab [Phase_17]</v>
      </c>
      <c r="X21" t="str">
        <v>18. Exc for S3 [Phase_18]</v>
      </c>
      <c r="Y21" t="str">
        <v>19. Install S3 (PL=550) [Phase_19]</v>
      </c>
      <c r="Z21" t="str">
        <v>20. Exc for FEL [Phase_20]</v>
      </c>
      <c r="AA21" t="str">
        <v>21. Cast Base Slab [Phase_21]</v>
      </c>
      <c r="AB21" t="str">
        <v>22. Remove S3 [Phase_22]</v>
      </c>
      <c r="AC21" t="str">
        <v>23. Case RC  Wal [Phase_23]</v>
      </c>
      <c r="AD21" t="str">
        <v>24. Remove Kingpost and Backfill [Phase_24]</v>
      </c>
      <c r="AE21" t="str">
        <v>25. Backfill up to 1m below S2 [Phase_25]</v>
      </c>
      <c r="AF21" t="str">
        <v>26.Remove S2 [Phase_26]</v>
      </c>
      <c r="AG21" t="str">
        <v>27. Backfill upto 1m below S1 [Phase_27]</v>
      </c>
      <c r="AH21" t="str">
        <v>28. Remove S1 [Phase_28]</v>
      </c>
      <c r="AI21" t="str">
        <v>29. Backfill to final level [Phase_29]</v>
      </c>
      <c r="AJ21" t="str">
        <v>30. Divert Traffic and Demolish Temp Structure [Phase_37]</v>
      </c>
      <c r="AK21" t="str">
        <v>31. Locked-in [Phase_38]</v>
      </c>
      <c r="AL21" t="str">
        <v>4.OSF_ S3 Fails [Phase_35]</v>
      </c>
      <c r="AM21" t="str">
        <v>5.OSF_ S2 Fails [Phase_36]</v>
      </c>
      <c r="AN21" t="str">
        <v>2.OSF_ S2 Fails [Phase_33]</v>
      </c>
      <c r="AO21" t="str">
        <v>3.OSF_ S1 Fails [Phase_34]</v>
      </c>
      <c r="AP21" t="str">
        <v>1.OSF _ Install S1 [Phase_30]</v>
      </c>
      <c r="AQ21" t="str">
        <v>1.OSF_ Exc for S2 [Phase_31]</v>
      </c>
      <c r="AR21" t="str">
        <v>1.OSF_ S1 Fails [Phase_32]</v>
      </c>
    </row>
    <row r="22" spans="1:44" x14ac:dyDescent="0.25">
      <c r="A22" t="str">
        <v>CR113_N_Case1,4_SLS_0.7EI_Hyd_a03BP1.0m</v>
      </c>
      <c r="B22" t="str">
        <v>20. Exc for FEL [Phase_20]</v>
      </c>
      <c r="D22">
        <v>22</v>
      </c>
      <c r="E22" t="str">
        <v>CR113_N_Case1,4_SLS_0.7EI_Hyd_a03BP1.0m</v>
      </c>
      <c r="F22" t="str" cm="1">
        <f t="array" ref="F22:AR22">TRANSPOSE(_xlfn._xlws.FILTER(_xlfn.ANCHORARRAY($B$2),_xlfn.ANCHORARRAY($A$2)=$E22))</f>
        <v>Initial phase [InitialPhase]</v>
      </c>
      <c r="G22" t="str">
        <v>1. Cut Slope for L Shape Wall [Phase_1]</v>
      </c>
      <c r="H22" t="str">
        <v>2. Install Kingpost [Phase_2]</v>
      </c>
      <c r="I22" t="str">
        <v>3. Cast L Shape wall, backfill and traffic divert [Phase_3]</v>
      </c>
      <c r="J22" t="str">
        <v>4. Cut down to +20mSHD [Phase_4]</v>
      </c>
      <c r="K22" t="str">
        <v>5. Install RHS DWall [Phase_5]</v>
      </c>
      <c r="L22" t="str">
        <v>6. Cut slope for LHS DWall [Phase_6]</v>
      </c>
      <c r="M22" t="str">
        <v>7. Install LHS DWalls &amp; Backfill behind DWall, Surcharge [Phase_7]</v>
      </c>
      <c r="N22" t="str">
        <v>8. Exc for S1 [Phase_8]</v>
      </c>
      <c r="O22" t="str">
        <v>9. Install S1 (PL=50) [Phase_9]</v>
      </c>
      <c r="P22" t="str">
        <v>10. Exc for S2 [Phase_10]</v>
      </c>
      <c r="Q22" t="str">
        <v>11. Install S2 (PL=100) [Phase_11]</v>
      </c>
      <c r="R22" t="str">
        <v>12. Exc for Roof [Phase_12]</v>
      </c>
      <c r="S22" t="str">
        <v>13. Cast Roof Slab [Phase_13]</v>
      </c>
      <c r="T22" t="str">
        <v>14. Exc for B1 [Phase_14]</v>
      </c>
      <c r="U22" t="str">
        <v>15. Cast B1 Slab [Phase_15]</v>
      </c>
      <c r="V22" t="str">
        <v>16. Exc for B2 [Phase_16]</v>
      </c>
      <c r="W22" t="str">
        <v>17. Cast B2 Slab [Phase_17]</v>
      </c>
      <c r="X22" t="str">
        <v>18. Exc for S3 [Phase_18]</v>
      </c>
      <c r="Y22" t="str">
        <v>19. Install S3 (PL=550) [Phase_19]</v>
      </c>
      <c r="Z22" t="str">
        <v>20. Exc for FEL [Phase_20]</v>
      </c>
      <c r="AA22" t="str">
        <v>21. Cast Base Slab [Phase_21]</v>
      </c>
      <c r="AB22" t="str">
        <v>22. Remove S3 [Phase_22]</v>
      </c>
      <c r="AC22" t="str">
        <v>23. Case RC  Wal [Phase_23]</v>
      </c>
      <c r="AD22" t="str">
        <v>24. Remove Kingpost and Backfill [Phase_24]</v>
      </c>
      <c r="AE22" t="str">
        <v>25. Backfill up to 1m below S2 [Phase_25]</v>
      </c>
      <c r="AF22" t="str">
        <v>26.Remove S2 [Phase_26]</v>
      </c>
      <c r="AG22" t="str">
        <v>27. Backfill upto 1m below S1 [Phase_27]</v>
      </c>
      <c r="AH22" t="str">
        <v>28. Remove S1 [Phase_28]</v>
      </c>
      <c r="AI22" t="str">
        <v>29. Backfill to final level [Phase_29]</v>
      </c>
      <c r="AJ22" t="str">
        <v>30. Divert Traffic and Demolish Temp Structure [Phase_37]</v>
      </c>
      <c r="AK22" t="str">
        <v>31. Locked-in [Phase_38]</v>
      </c>
      <c r="AL22" t="str">
        <v>4.OSF_ S3 Fails [Phase_35]</v>
      </c>
      <c r="AM22" t="str">
        <v>5.OSF_ S2 Fails [Phase_36]</v>
      </c>
      <c r="AN22" t="str">
        <v>2.OSF_ S2 Fails [Phase_33]</v>
      </c>
      <c r="AO22" t="str">
        <v>3.OSF_ S1 Fails [Phase_34]</v>
      </c>
      <c r="AP22" t="str">
        <v>1.OSF _ Install S1 [Phase_30]</v>
      </c>
      <c r="AQ22" t="str">
        <v>1.OSF_ Exc for S2 [Phase_31]</v>
      </c>
      <c r="AR22" t="str">
        <v>1.OSF_ S1 Fails [Phase_32]</v>
      </c>
    </row>
    <row r="23" spans="1:44" x14ac:dyDescent="0.25">
      <c r="A23" t="str">
        <v>CR113_N_Case1,4_SLS_0.7EI_Hyd_a03BP1.0m</v>
      </c>
      <c r="B23" t="str">
        <v>21. Cast Base Slab [Phase_21]</v>
      </c>
      <c r="D23">
        <v>23</v>
      </c>
      <c r="E23" t="str">
        <v>CR113_N_Case1,4_SLS_0.7EI_Hyd_a03BP1.0m</v>
      </c>
      <c r="F23" t="str" cm="1">
        <f t="array" ref="F23:AR23">TRANSPOSE(_xlfn._xlws.FILTER(_xlfn.ANCHORARRAY($B$2),_xlfn.ANCHORARRAY($A$2)=$E23))</f>
        <v>Initial phase [InitialPhase]</v>
      </c>
      <c r="G23" t="str">
        <v>1. Cut Slope for L Shape Wall [Phase_1]</v>
      </c>
      <c r="H23" t="str">
        <v>2. Install Kingpost [Phase_2]</v>
      </c>
      <c r="I23" t="str">
        <v>3. Cast L Shape wall, backfill and traffic divert [Phase_3]</v>
      </c>
      <c r="J23" t="str">
        <v>4. Cut down to +20mSHD [Phase_4]</v>
      </c>
      <c r="K23" t="str">
        <v>5. Install RHS DWall [Phase_5]</v>
      </c>
      <c r="L23" t="str">
        <v>6. Cut slope for LHS DWall [Phase_6]</v>
      </c>
      <c r="M23" t="str">
        <v>7. Install LHS DWalls &amp; Backfill behind DWall, Surcharge [Phase_7]</v>
      </c>
      <c r="N23" t="str">
        <v>8. Exc for S1 [Phase_8]</v>
      </c>
      <c r="O23" t="str">
        <v>9. Install S1 (PL=50) [Phase_9]</v>
      </c>
      <c r="P23" t="str">
        <v>10. Exc for S2 [Phase_10]</v>
      </c>
      <c r="Q23" t="str">
        <v>11. Install S2 (PL=100) [Phase_11]</v>
      </c>
      <c r="R23" t="str">
        <v>12. Exc for Roof [Phase_12]</v>
      </c>
      <c r="S23" t="str">
        <v>13. Cast Roof Slab [Phase_13]</v>
      </c>
      <c r="T23" t="str">
        <v>14. Exc for B1 [Phase_14]</v>
      </c>
      <c r="U23" t="str">
        <v>15. Cast B1 Slab [Phase_15]</v>
      </c>
      <c r="V23" t="str">
        <v>16. Exc for B2 [Phase_16]</v>
      </c>
      <c r="W23" t="str">
        <v>17. Cast B2 Slab [Phase_17]</v>
      </c>
      <c r="X23" t="str">
        <v>18. Exc for S3 [Phase_18]</v>
      </c>
      <c r="Y23" t="str">
        <v>19. Install S3 (PL=550) [Phase_19]</v>
      </c>
      <c r="Z23" t="str">
        <v>20. Exc for FEL [Phase_20]</v>
      </c>
      <c r="AA23" t="str">
        <v>21. Cast Base Slab [Phase_21]</v>
      </c>
      <c r="AB23" t="str">
        <v>22. Remove S3 [Phase_22]</v>
      </c>
      <c r="AC23" t="str">
        <v>23. Case RC  Wal [Phase_23]</v>
      </c>
      <c r="AD23" t="str">
        <v>24. Remove Kingpost and Backfill [Phase_24]</v>
      </c>
      <c r="AE23" t="str">
        <v>25. Backfill up to 1m below S2 [Phase_25]</v>
      </c>
      <c r="AF23" t="str">
        <v>26.Remove S2 [Phase_26]</v>
      </c>
      <c r="AG23" t="str">
        <v>27. Backfill upto 1m below S1 [Phase_27]</v>
      </c>
      <c r="AH23" t="str">
        <v>28. Remove S1 [Phase_28]</v>
      </c>
      <c r="AI23" t="str">
        <v>29. Backfill to final level [Phase_29]</v>
      </c>
      <c r="AJ23" t="str">
        <v>30. Divert Traffic and Demolish Temp Structure [Phase_37]</v>
      </c>
      <c r="AK23" t="str">
        <v>31. Locked-in [Phase_38]</v>
      </c>
      <c r="AL23" t="str">
        <v>4.OSF_ S3 Fails [Phase_35]</v>
      </c>
      <c r="AM23" t="str">
        <v>5.OSF_ S2 Fails [Phase_36]</v>
      </c>
      <c r="AN23" t="str">
        <v>2.OSF_ S2 Fails [Phase_33]</v>
      </c>
      <c r="AO23" t="str">
        <v>3.OSF_ S1 Fails [Phase_34]</v>
      </c>
      <c r="AP23" t="str">
        <v>1.OSF _ Install S1 [Phase_30]</v>
      </c>
      <c r="AQ23" t="str">
        <v>1.OSF_ Exc for S2 [Phase_31]</v>
      </c>
      <c r="AR23" t="str">
        <v>1.OSF_ S1 Fails [Phase_32]</v>
      </c>
    </row>
    <row r="24" spans="1:44" x14ac:dyDescent="0.25">
      <c r="A24" t="str">
        <v>CR113_N_Case1,4_SLS_0.7EI_Hyd_a03BP1.0m</v>
      </c>
      <c r="B24" t="str">
        <v>22. Remove S3 [Phase_22]</v>
      </c>
      <c r="D24">
        <v>24</v>
      </c>
      <c r="E24" t="str">
        <v>CR113_N_Case1,4_SLS_0.7EI_Hyd_a03BP1.0m</v>
      </c>
      <c r="F24" t="str" cm="1">
        <f t="array" ref="F24:AR24">TRANSPOSE(_xlfn._xlws.FILTER(_xlfn.ANCHORARRAY($B$2),_xlfn.ANCHORARRAY($A$2)=$E24))</f>
        <v>Initial phase [InitialPhase]</v>
      </c>
      <c r="G24" t="str">
        <v>1. Cut Slope for L Shape Wall [Phase_1]</v>
      </c>
      <c r="H24" t="str">
        <v>2. Install Kingpost [Phase_2]</v>
      </c>
      <c r="I24" t="str">
        <v>3. Cast L Shape wall, backfill and traffic divert [Phase_3]</v>
      </c>
      <c r="J24" t="str">
        <v>4. Cut down to +20mSHD [Phase_4]</v>
      </c>
      <c r="K24" t="str">
        <v>5. Install RHS DWall [Phase_5]</v>
      </c>
      <c r="L24" t="str">
        <v>6. Cut slope for LHS DWall [Phase_6]</v>
      </c>
      <c r="M24" t="str">
        <v>7. Install LHS DWalls &amp; Backfill behind DWall, Surcharge [Phase_7]</v>
      </c>
      <c r="N24" t="str">
        <v>8. Exc for S1 [Phase_8]</v>
      </c>
      <c r="O24" t="str">
        <v>9. Install S1 (PL=50) [Phase_9]</v>
      </c>
      <c r="P24" t="str">
        <v>10. Exc for S2 [Phase_10]</v>
      </c>
      <c r="Q24" t="str">
        <v>11. Install S2 (PL=100) [Phase_11]</v>
      </c>
      <c r="R24" t="str">
        <v>12. Exc for Roof [Phase_12]</v>
      </c>
      <c r="S24" t="str">
        <v>13. Cast Roof Slab [Phase_13]</v>
      </c>
      <c r="T24" t="str">
        <v>14. Exc for B1 [Phase_14]</v>
      </c>
      <c r="U24" t="str">
        <v>15. Cast B1 Slab [Phase_15]</v>
      </c>
      <c r="V24" t="str">
        <v>16. Exc for B2 [Phase_16]</v>
      </c>
      <c r="W24" t="str">
        <v>17. Cast B2 Slab [Phase_17]</v>
      </c>
      <c r="X24" t="str">
        <v>18. Exc for S3 [Phase_18]</v>
      </c>
      <c r="Y24" t="str">
        <v>19. Install S3 (PL=550) [Phase_19]</v>
      </c>
      <c r="Z24" t="str">
        <v>20. Exc for FEL [Phase_20]</v>
      </c>
      <c r="AA24" t="str">
        <v>21. Cast Base Slab [Phase_21]</v>
      </c>
      <c r="AB24" t="str">
        <v>22. Remove S3 [Phase_22]</v>
      </c>
      <c r="AC24" t="str">
        <v>23. Case RC  Wal [Phase_23]</v>
      </c>
      <c r="AD24" t="str">
        <v>24. Remove Kingpost and Backfill [Phase_24]</v>
      </c>
      <c r="AE24" t="str">
        <v>25. Backfill up to 1m below S2 [Phase_25]</v>
      </c>
      <c r="AF24" t="str">
        <v>26.Remove S2 [Phase_26]</v>
      </c>
      <c r="AG24" t="str">
        <v>27. Backfill upto 1m below S1 [Phase_27]</v>
      </c>
      <c r="AH24" t="str">
        <v>28. Remove S1 [Phase_28]</v>
      </c>
      <c r="AI24" t="str">
        <v>29. Backfill to final level [Phase_29]</v>
      </c>
      <c r="AJ24" t="str">
        <v>30. Divert Traffic and Demolish Temp Structure [Phase_37]</v>
      </c>
      <c r="AK24" t="str">
        <v>31. Locked-in [Phase_38]</v>
      </c>
      <c r="AL24" t="str">
        <v>4.OSF_ S3 Fails [Phase_35]</v>
      </c>
      <c r="AM24" t="str">
        <v>5.OSF_ S2 Fails [Phase_36]</v>
      </c>
      <c r="AN24" t="str">
        <v>2.OSF_ S2 Fails [Phase_33]</v>
      </c>
      <c r="AO24" t="str">
        <v>3.OSF_ S1 Fails [Phase_34]</v>
      </c>
      <c r="AP24" t="str">
        <v>1.OSF _ Install S1 [Phase_30]</v>
      </c>
      <c r="AQ24" t="str">
        <v>1.OSF_ Exc for S2 [Phase_31]</v>
      </c>
      <c r="AR24" t="str">
        <v>1.OSF_ S1 Fails [Phase_32]</v>
      </c>
    </row>
    <row r="25" spans="1:44" x14ac:dyDescent="0.25">
      <c r="A25" t="str">
        <v>CR113_N_Case1,4_SLS_0.7EI_Hyd_a03BP1.0m</v>
      </c>
      <c r="B25" t="str">
        <v>23. Case RC  Wal [Phase_23]</v>
      </c>
      <c r="D25">
        <v>25</v>
      </c>
      <c r="E25" t="str">
        <v>CR113_N_Case1,4_SLS_0.7EI_Hyd_a03BP1.0m</v>
      </c>
      <c r="F25" t="str" cm="1">
        <f t="array" ref="F25:AR25">TRANSPOSE(_xlfn._xlws.FILTER(_xlfn.ANCHORARRAY($B$2),_xlfn.ANCHORARRAY($A$2)=$E25))</f>
        <v>Initial phase [InitialPhase]</v>
      </c>
      <c r="G25" t="str">
        <v>1. Cut Slope for L Shape Wall [Phase_1]</v>
      </c>
      <c r="H25" t="str">
        <v>2. Install Kingpost [Phase_2]</v>
      </c>
      <c r="I25" t="str">
        <v>3. Cast L Shape wall, backfill and traffic divert [Phase_3]</v>
      </c>
      <c r="J25" t="str">
        <v>4. Cut down to +20mSHD [Phase_4]</v>
      </c>
      <c r="K25" t="str">
        <v>5. Install RHS DWall [Phase_5]</v>
      </c>
      <c r="L25" t="str">
        <v>6. Cut slope for LHS DWall [Phase_6]</v>
      </c>
      <c r="M25" t="str">
        <v>7. Install LHS DWalls &amp; Backfill behind DWall, Surcharge [Phase_7]</v>
      </c>
      <c r="N25" t="str">
        <v>8. Exc for S1 [Phase_8]</v>
      </c>
      <c r="O25" t="str">
        <v>9. Install S1 (PL=50) [Phase_9]</v>
      </c>
      <c r="P25" t="str">
        <v>10. Exc for S2 [Phase_10]</v>
      </c>
      <c r="Q25" t="str">
        <v>11. Install S2 (PL=100) [Phase_11]</v>
      </c>
      <c r="R25" t="str">
        <v>12. Exc for Roof [Phase_12]</v>
      </c>
      <c r="S25" t="str">
        <v>13. Cast Roof Slab [Phase_13]</v>
      </c>
      <c r="T25" t="str">
        <v>14. Exc for B1 [Phase_14]</v>
      </c>
      <c r="U25" t="str">
        <v>15. Cast B1 Slab [Phase_15]</v>
      </c>
      <c r="V25" t="str">
        <v>16. Exc for B2 [Phase_16]</v>
      </c>
      <c r="W25" t="str">
        <v>17. Cast B2 Slab [Phase_17]</v>
      </c>
      <c r="X25" t="str">
        <v>18. Exc for S3 [Phase_18]</v>
      </c>
      <c r="Y25" t="str">
        <v>19. Install S3 (PL=550) [Phase_19]</v>
      </c>
      <c r="Z25" t="str">
        <v>20. Exc for FEL [Phase_20]</v>
      </c>
      <c r="AA25" t="str">
        <v>21. Cast Base Slab [Phase_21]</v>
      </c>
      <c r="AB25" t="str">
        <v>22. Remove S3 [Phase_22]</v>
      </c>
      <c r="AC25" t="str">
        <v>23. Case RC  Wal [Phase_23]</v>
      </c>
      <c r="AD25" t="str">
        <v>24. Remove Kingpost and Backfill [Phase_24]</v>
      </c>
      <c r="AE25" t="str">
        <v>25. Backfill up to 1m below S2 [Phase_25]</v>
      </c>
      <c r="AF25" t="str">
        <v>26.Remove S2 [Phase_26]</v>
      </c>
      <c r="AG25" t="str">
        <v>27. Backfill upto 1m below S1 [Phase_27]</v>
      </c>
      <c r="AH25" t="str">
        <v>28. Remove S1 [Phase_28]</v>
      </c>
      <c r="AI25" t="str">
        <v>29. Backfill to final level [Phase_29]</v>
      </c>
      <c r="AJ25" t="str">
        <v>30. Divert Traffic and Demolish Temp Structure [Phase_37]</v>
      </c>
      <c r="AK25" t="str">
        <v>31. Locked-in [Phase_38]</v>
      </c>
      <c r="AL25" t="str">
        <v>4.OSF_ S3 Fails [Phase_35]</v>
      </c>
      <c r="AM25" t="str">
        <v>5.OSF_ S2 Fails [Phase_36]</v>
      </c>
      <c r="AN25" t="str">
        <v>2.OSF_ S2 Fails [Phase_33]</v>
      </c>
      <c r="AO25" t="str">
        <v>3.OSF_ S1 Fails [Phase_34]</v>
      </c>
      <c r="AP25" t="str">
        <v>1.OSF _ Install S1 [Phase_30]</v>
      </c>
      <c r="AQ25" t="str">
        <v>1.OSF_ Exc for S2 [Phase_31]</v>
      </c>
      <c r="AR25" t="str">
        <v>1.OSF_ S1 Fails [Phase_32]</v>
      </c>
    </row>
    <row r="26" spans="1:44" x14ac:dyDescent="0.25">
      <c r="A26" t="str">
        <v>CR113_N_Case1,4_SLS_0.7EI_Hyd_a03BP1.0m</v>
      </c>
      <c r="B26" t="str">
        <v>24. Remove Kingpost and Backfill [Phase_24]</v>
      </c>
      <c r="D26">
        <v>26</v>
      </c>
      <c r="E26" t="str">
        <v>CR113_N_Case2_ULS1_1.0EI_Hyd_a03BP1.0m</v>
      </c>
      <c r="F26" t="str" cm="1">
        <f t="array" ref="F26:AJ26">TRANSPOSE(_xlfn._xlws.FILTER(_xlfn.ANCHORARRAY($B$2),_xlfn.ANCHORARRAY($A$2)=$E26))</f>
        <v>Initial phase [InitialPhase]</v>
      </c>
      <c r="G26" t="str">
        <v>1. Cut Slope for L Shape Wall [Phase_1]</v>
      </c>
      <c r="H26" t="str">
        <v>2. Install Bored Pile for Traffic [Phase_2]</v>
      </c>
      <c r="I26" t="str">
        <v>3. Cast L Shape wall, backfill and traffic divert [Phase_3]</v>
      </c>
      <c r="J26" t="str">
        <v>4. Cut down to +20mSHD [Phase_4]</v>
      </c>
      <c r="K26" t="str">
        <v>5. Install RHS DWall [Phase_5]</v>
      </c>
      <c r="L26" t="str">
        <v>6. Cut slope for LHS DWall [Phase_6]</v>
      </c>
      <c r="M26" t="str">
        <v>7. Install LHS DWalls &amp; Backfill behind DWall, Surcharge [Phase_7]</v>
      </c>
      <c r="N26" t="str">
        <v>8. Exc for S1 [Phase_8]</v>
      </c>
      <c r="O26" t="str">
        <v>9. Install S1 (PL=50) [Phase_9]</v>
      </c>
      <c r="P26" t="str">
        <v>10. Exc for S2 [Phase_10]</v>
      </c>
      <c r="Q26" t="str">
        <v>11. Install S2 (PL=100) [Phase_11]</v>
      </c>
      <c r="R26" t="str">
        <v>12. Exc for Roof [Phase_12]</v>
      </c>
      <c r="S26" t="str">
        <v>13. Cast Roof Slab [Phase_13]</v>
      </c>
      <c r="T26" t="str">
        <v>14. Exc for B1 [Phase_14]</v>
      </c>
      <c r="U26" t="str">
        <v>15. Cast B1 Slab [Phase_15]</v>
      </c>
      <c r="V26" t="str">
        <v>16. Exc for B2 [Phase_16]</v>
      </c>
      <c r="W26" t="str">
        <v>17. Cast B2 Slab [Phase_17]</v>
      </c>
      <c r="X26" t="str">
        <v>18. Exc for S3 [Phase_18]</v>
      </c>
      <c r="Y26" t="str">
        <v>19. Install S3 (PL=550) [Phase_19]</v>
      </c>
      <c r="Z26" t="str">
        <v>20. Exc for FEL [Phase_20]</v>
      </c>
      <c r="AA26" t="str">
        <v>21. Cast Base Slab [Phase_21]</v>
      </c>
      <c r="AB26" t="str">
        <v>22. Remove S3 [Phase_22]</v>
      </c>
      <c r="AC26" t="str">
        <v>23. Case RC  Wal [Phase_23]</v>
      </c>
      <c r="AD26" t="str">
        <v>24. Remove Kingpost and Backfill [Phase_24]</v>
      </c>
      <c r="AE26" t="str">
        <v>25. Backfill up to 1m below S2 [Phase_25]</v>
      </c>
      <c r="AF26" t="str">
        <v>26.Remove S2 [Phase_26]</v>
      </c>
      <c r="AG26" t="str">
        <v>27. Backfill upto 1m below S1 [Phase_27]</v>
      </c>
      <c r="AH26" t="str">
        <v>28. Remove S1 [Phase_28]</v>
      </c>
      <c r="AI26" t="str">
        <v>29. Backfill to final level [Phase_29]</v>
      </c>
      <c r="AJ26" t="str">
        <v>30. Divert Traffic and Demolish Temp Structure [Phase_37]</v>
      </c>
    </row>
    <row r="27" spans="1:44" x14ac:dyDescent="0.25">
      <c r="A27" t="str">
        <v>CR113_N_Case1,4_SLS_0.7EI_Hyd_a03BP1.0m</v>
      </c>
      <c r="B27" t="str">
        <v>25. Backfill up to 1m below S2 [Phase_25]</v>
      </c>
      <c r="D27">
        <v>27</v>
      </c>
      <c r="E27" t="str">
        <v>CR113_N_Case2_ULS1_1.0EI_Hyd_a03BP1.0m</v>
      </c>
      <c r="F27" t="str" cm="1">
        <f t="array" ref="F27:AJ27">TRANSPOSE(_xlfn._xlws.FILTER(_xlfn.ANCHORARRAY($B$2),_xlfn.ANCHORARRAY($A$2)=$E27))</f>
        <v>Initial phase [InitialPhase]</v>
      </c>
      <c r="G27" t="str">
        <v>1. Cut Slope for L Shape Wall [Phase_1]</v>
      </c>
      <c r="H27" t="str">
        <v>2. Install Bored Pile for Traffic [Phase_2]</v>
      </c>
      <c r="I27" t="str">
        <v>3. Cast L Shape wall, backfill and traffic divert [Phase_3]</v>
      </c>
      <c r="J27" t="str">
        <v>4. Cut down to +20mSHD [Phase_4]</v>
      </c>
      <c r="K27" t="str">
        <v>5. Install RHS DWall [Phase_5]</v>
      </c>
      <c r="L27" t="str">
        <v>6. Cut slope for LHS DWall [Phase_6]</v>
      </c>
      <c r="M27" t="str">
        <v>7. Install LHS DWalls &amp; Backfill behind DWall, Surcharge [Phase_7]</v>
      </c>
      <c r="N27" t="str">
        <v>8. Exc for S1 [Phase_8]</v>
      </c>
      <c r="O27" t="str">
        <v>9. Install S1 (PL=50) [Phase_9]</v>
      </c>
      <c r="P27" t="str">
        <v>10. Exc for S2 [Phase_10]</v>
      </c>
      <c r="Q27" t="str">
        <v>11. Install S2 (PL=100) [Phase_11]</v>
      </c>
      <c r="R27" t="str">
        <v>12. Exc for Roof [Phase_12]</v>
      </c>
      <c r="S27" t="str">
        <v>13. Cast Roof Slab [Phase_13]</v>
      </c>
      <c r="T27" t="str">
        <v>14. Exc for B1 [Phase_14]</v>
      </c>
      <c r="U27" t="str">
        <v>15. Cast B1 Slab [Phase_15]</v>
      </c>
      <c r="V27" t="str">
        <v>16. Exc for B2 [Phase_16]</v>
      </c>
      <c r="W27" t="str">
        <v>17. Cast B2 Slab [Phase_17]</v>
      </c>
      <c r="X27" t="str">
        <v>18. Exc for S3 [Phase_18]</v>
      </c>
      <c r="Y27" t="str">
        <v>19. Install S3 (PL=550) [Phase_19]</v>
      </c>
      <c r="Z27" t="str">
        <v>20. Exc for FEL [Phase_20]</v>
      </c>
      <c r="AA27" t="str">
        <v>21. Cast Base Slab [Phase_21]</v>
      </c>
      <c r="AB27" t="str">
        <v>22. Remove S3 [Phase_22]</v>
      </c>
      <c r="AC27" t="str">
        <v>23. Case RC  Wal [Phase_23]</v>
      </c>
      <c r="AD27" t="str">
        <v>24. Remove Kingpost and Backfill [Phase_24]</v>
      </c>
      <c r="AE27" t="str">
        <v>25. Backfill up to 1m below S2 [Phase_25]</v>
      </c>
      <c r="AF27" t="str">
        <v>26.Remove S2 [Phase_26]</v>
      </c>
      <c r="AG27" t="str">
        <v>27. Backfill upto 1m below S1 [Phase_27]</v>
      </c>
      <c r="AH27" t="str">
        <v>28. Remove S1 [Phase_28]</v>
      </c>
      <c r="AI27" t="str">
        <v>29. Backfill to final level [Phase_29]</v>
      </c>
      <c r="AJ27" t="str">
        <v>30. Divert Traffic and Demolish Temp Structure [Phase_37]</v>
      </c>
    </row>
    <row r="28" spans="1:44" x14ac:dyDescent="0.25">
      <c r="A28" t="str">
        <v>CR113_N_Case1,4_SLS_0.7EI_Hyd_a03BP1.0m</v>
      </c>
      <c r="B28" t="str">
        <v>26.Remove S2 [Phase_26]</v>
      </c>
      <c r="D28">
        <v>28</v>
      </c>
      <c r="E28" t="str">
        <v>CR113_N_Case2_ULS1_1.0EI_Hyd_a03BP1.0m</v>
      </c>
      <c r="F28" t="str" cm="1">
        <f t="array" ref="F28:AJ28">TRANSPOSE(_xlfn._xlws.FILTER(_xlfn.ANCHORARRAY($B$2),_xlfn.ANCHORARRAY($A$2)=$E28))</f>
        <v>Initial phase [InitialPhase]</v>
      </c>
      <c r="G28" t="str">
        <v>1. Cut Slope for L Shape Wall [Phase_1]</v>
      </c>
      <c r="H28" t="str">
        <v>2. Install Bored Pile for Traffic [Phase_2]</v>
      </c>
      <c r="I28" t="str">
        <v>3. Cast L Shape wall, backfill and traffic divert [Phase_3]</v>
      </c>
      <c r="J28" t="str">
        <v>4. Cut down to +20mSHD [Phase_4]</v>
      </c>
      <c r="K28" t="str">
        <v>5. Install RHS DWall [Phase_5]</v>
      </c>
      <c r="L28" t="str">
        <v>6. Cut slope for LHS DWall [Phase_6]</v>
      </c>
      <c r="M28" t="str">
        <v>7. Install LHS DWalls &amp; Backfill behind DWall, Surcharge [Phase_7]</v>
      </c>
      <c r="N28" t="str">
        <v>8. Exc for S1 [Phase_8]</v>
      </c>
      <c r="O28" t="str">
        <v>9. Install S1 (PL=50) [Phase_9]</v>
      </c>
      <c r="P28" t="str">
        <v>10. Exc for S2 [Phase_10]</v>
      </c>
      <c r="Q28" t="str">
        <v>11. Install S2 (PL=100) [Phase_11]</v>
      </c>
      <c r="R28" t="str">
        <v>12. Exc for Roof [Phase_12]</v>
      </c>
      <c r="S28" t="str">
        <v>13. Cast Roof Slab [Phase_13]</v>
      </c>
      <c r="T28" t="str">
        <v>14. Exc for B1 [Phase_14]</v>
      </c>
      <c r="U28" t="str">
        <v>15. Cast B1 Slab [Phase_15]</v>
      </c>
      <c r="V28" t="str">
        <v>16. Exc for B2 [Phase_16]</v>
      </c>
      <c r="W28" t="str">
        <v>17. Cast B2 Slab [Phase_17]</v>
      </c>
      <c r="X28" t="str">
        <v>18. Exc for S3 [Phase_18]</v>
      </c>
      <c r="Y28" t="str">
        <v>19. Install S3 (PL=550) [Phase_19]</v>
      </c>
      <c r="Z28" t="str">
        <v>20. Exc for FEL [Phase_20]</v>
      </c>
      <c r="AA28" t="str">
        <v>21. Cast Base Slab [Phase_21]</v>
      </c>
      <c r="AB28" t="str">
        <v>22. Remove S3 [Phase_22]</v>
      </c>
      <c r="AC28" t="str">
        <v>23. Case RC  Wal [Phase_23]</v>
      </c>
      <c r="AD28" t="str">
        <v>24. Remove Kingpost and Backfill [Phase_24]</v>
      </c>
      <c r="AE28" t="str">
        <v>25. Backfill up to 1m below S2 [Phase_25]</v>
      </c>
      <c r="AF28" t="str">
        <v>26.Remove S2 [Phase_26]</v>
      </c>
      <c r="AG28" t="str">
        <v>27. Backfill upto 1m below S1 [Phase_27]</v>
      </c>
      <c r="AH28" t="str">
        <v>28. Remove S1 [Phase_28]</v>
      </c>
      <c r="AI28" t="str">
        <v>29. Backfill to final level [Phase_29]</v>
      </c>
      <c r="AJ28" t="str">
        <v>30. Divert Traffic and Demolish Temp Structure [Phase_37]</v>
      </c>
    </row>
    <row r="29" spans="1:44" x14ac:dyDescent="0.25">
      <c r="A29" t="str">
        <v>CR113_N_Case1,4_SLS_0.7EI_Hyd_a03BP1.0m</v>
      </c>
      <c r="B29" t="str">
        <v>27. Backfill upto 1m below S1 [Phase_27]</v>
      </c>
      <c r="D29">
        <v>29</v>
      </c>
      <c r="E29" t="str">
        <v>CR113_N_Case2_ULS1_1.0EI_Hyd_a03BP1.0m</v>
      </c>
      <c r="F29" t="str" cm="1">
        <f t="array" ref="F29:AJ29">TRANSPOSE(_xlfn._xlws.FILTER(_xlfn.ANCHORARRAY($B$2),_xlfn.ANCHORARRAY($A$2)=$E29))</f>
        <v>Initial phase [InitialPhase]</v>
      </c>
      <c r="G29" t="str">
        <v>1. Cut Slope for L Shape Wall [Phase_1]</v>
      </c>
      <c r="H29" t="str">
        <v>2. Install Bored Pile for Traffic [Phase_2]</v>
      </c>
      <c r="I29" t="str">
        <v>3. Cast L Shape wall, backfill and traffic divert [Phase_3]</v>
      </c>
      <c r="J29" t="str">
        <v>4. Cut down to +20mSHD [Phase_4]</v>
      </c>
      <c r="K29" t="str">
        <v>5. Install RHS DWall [Phase_5]</v>
      </c>
      <c r="L29" t="str">
        <v>6. Cut slope for LHS DWall [Phase_6]</v>
      </c>
      <c r="M29" t="str">
        <v>7. Install LHS DWalls &amp; Backfill behind DWall, Surcharge [Phase_7]</v>
      </c>
      <c r="N29" t="str">
        <v>8. Exc for S1 [Phase_8]</v>
      </c>
      <c r="O29" t="str">
        <v>9. Install S1 (PL=50) [Phase_9]</v>
      </c>
      <c r="P29" t="str">
        <v>10. Exc for S2 [Phase_10]</v>
      </c>
      <c r="Q29" t="str">
        <v>11. Install S2 (PL=100) [Phase_11]</v>
      </c>
      <c r="R29" t="str">
        <v>12. Exc for Roof [Phase_12]</v>
      </c>
      <c r="S29" t="str">
        <v>13. Cast Roof Slab [Phase_13]</v>
      </c>
      <c r="T29" t="str">
        <v>14. Exc for B1 [Phase_14]</v>
      </c>
      <c r="U29" t="str">
        <v>15. Cast B1 Slab [Phase_15]</v>
      </c>
      <c r="V29" t="str">
        <v>16. Exc for B2 [Phase_16]</v>
      </c>
      <c r="W29" t="str">
        <v>17. Cast B2 Slab [Phase_17]</v>
      </c>
      <c r="X29" t="str">
        <v>18. Exc for S3 [Phase_18]</v>
      </c>
      <c r="Y29" t="str">
        <v>19. Install S3 (PL=550) [Phase_19]</v>
      </c>
      <c r="Z29" t="str">
        <v>20. Exc for FEL [Phase_20]</v>
      </c>
      <c r="AA29" t="str">
        <v>21. Cast Base Slab [Phase_21]</v>
      </c>
      <c r="AB29" t="str">
        <v>22. Remove S3 [Phase_22]</v>
      </c>
      <c r="AC29" t="str">
        <v>23. Case RC  Wal [Phase_23]</v>
      </c>
      <c r="AD29" t="str">
        <v>24. Remove Kingpost and Backfill [Phase_24]</v>
      </c>
      <c r="AE29" t="str">
        <v>25. Backfill up to 1m below S2 [Phase_25]</v>
      </c>
      <c r="AF29" t="str">
        <v>26.Remove S2 [Phase_26]</v>
      </c>
      <c r="AG29" t="str">
        <v>27. Backfill upto 1m below S1 [Phase_27]</v>
      </c>
      <c r="AH29" t="str">
        <v>28. Remove S1 [Phase_28]</v>
      </c>
      <c r="AI29" t="str">
        <v>29. Backfill to final level [Phase_29]</v>
      </c>
      <c r="AJ29" t="str">
        <v>30. Divert Traffic and Demolish Temp Structure [Phase_37]</v>
      </c>
    </row>
    <row r="30" spans="1:44" x14ac:dyDescent="0.25">
      <c r="A30" t="str">
        <v>CR113_N_Case1,4_SLS_0.7EI_Hyd_a03BP1.0m</v>
      </c>
      <c r="B30" t="str">
        <v>28. Remove S1 [Phase_28]</v>
      </c>
      <c r="D30">
        <v>30</v>
      </c>
      <c r="E30" t="str">
        <v>CR113_N_Case3_ULS2_1.0EI_Hyd_a03BP1.0m</v>
      </c>
      <c r="F30" t="str" cm="1">
        <f t="array" ref="F30:AJ30">TRANSPOSE(_xlfn._xlws.FILTER(_xlfn.ANCHORARRAY($B$2),_xlfn.ANCHORARRAY($A$2)=$E30))</f>
        <v>Initial phase [InitialPhase]</v>
      </c>
      <c r="G30" t="str">
        <v>1. Cut Slope for L Shape Wall [Phase_1]</v>
      </c>
      <c r="H30" t="str">
        <v>2. Install Bored Pile for Traffic [Phase_2]</v>
      </c>
      <c r="I30" t="str">
        <v>3. Cast L Shape wall, backfill and traffic divert [Phase_3]</v>
      </c>
      <c r="J30" t="str">
        <v>4. Cut down to +20mSHD [Phase_4]</v>
      </c>
      <c r="K30" t="str">
        <v>5. Install RHS DWall [Phase_5]</v>
      </c>
      <c r="L30" t="str">
        <v>6. Cut slope for LHS DWall [Phase_6]</v>
      </c>
      <c r="M30" t="str">
        <v>7. Install LHS DWalls &amp; Backfill behind DWall, Surcharge [Phase_7]</v>
      </c>
      <c r="N30" t="str">
        <v>8. Exc for S1 [Phase_8]</v>
      </c>
      <c r="O30" t="str">
        <v>9. Install S1 (PL=50) [Phase_9]</v>
      </c>
      <c r="P30" t="str">
        <v>10. Exc for S2 [Phase_10]</v>
      </c>
      <c r="Q30" t="str">
        <v>11. Install S2 (PL=100) [Phase_11]</v>
      </c>
      <c r="R30" t="str">
        <v>12. Exc for Roof [Phase_12]</v>
      </c>
      <c r="S30" t="str">
        <v>13. Cast Roof Slab [Phase_13]</v>
      </c>
      <c r="T30" t="str">
        <v>14. Exc for B1 [Phase_14]</v>
      </c>
      <c r="U30" t="str">
        <v>15. Cast B1 Slab [Phase_15]</v>
      </c>
      <c r="V30" t="str">
        <v>16. Exc for B2 [Phase_16]</v>
      </c>
      <c r="W30" t="str">
        <v>17. Cast B2 Slab [Phase_17]</v>
      </c>
      <c r="X30" t="str">
        <v>18. Exc for S3 [Phase_18]</v>
      </c>
      <c r="Y30" t="str">
        <v>19. Install S3 (PL=550) [Phase_19]</v>
      </c>
      <c r="Z30" t="str">
        <v>20. Exc for FEL [Phase_20]</v>
      </c>
      <c r="AA30" t="str">
        <v>21. Cast Base Slab [Phase_21]</v>
      </c>
      <c r="AB30" t="str">
        <v>22. Remove S3 [Phase_22]</v>
      </c>
      <c r="AC30" t="str">
        <v>23. Case RC  Wal [Phase_23]</v>
      </c>
      <c r="AD30" t="str">
        <v>24. Remove Kingpost and Backfill [Phase_24]</v>
      </c>
      <c r="AE30" t="str">
        <v>25. Backfill up to 1m below S2 [Phase_25]</v>
      </c>
      <c r="AF30" t="str">
        <v>26.Remove S2 [Phase_26]</v>
      </c>
      <c r="AG30" t="str">
        <v>27. Backfill upto 1m below S1 [Phase_27]</v>
      </c>
      <c r="AH30" t="str">
        <v>28. Remove S1 [Phase_28]</v>
      </c>
      <c r="AI30" t="str">
        <v>29. Backfill to final level [Phase_29]</v>
      </c>
      <c r="AJ30" t="str">
        <v>30. Divert Traffic and Demolish Temp Structure [Phase_37]</v>
      </c>
    </row>
    <row r="31" spans="1:44" x14ac:dyDescent="0.25">
      <c r="A31" t="str">
        <v>CR113_N_Case1,4_SLS_0.7EI_Hyd_a03BP1.0m</v>
      </c>
      <c r="B31" t="str">
        <v>29. Backfill to final level [Phase_29]</v>
      </c>
      <c r="D31">
        <v>31</v>
      </c>
      <c r="E31" t="str">
        <v>CR113_N_Case3_ULS2_1.0EI_Hyd_a03BP1.0m</v>
      </c>
      <c r="F31" t="str" cm="1">
        <f t="array" ref="F31:AJ31">TRANSPOSE(_xlfn._xlws.FILTER(_xlfn.ANCHORARRAY($B$2),_xlfn.ANCHORARRAY($A$2)=$E31))</f>
        <v>Initial phase [InitialPhase]</v>
      </c>
      <c r="G31" t="str">
        <v>1. Cut Slope for L Shape Wall [Phase_1]</v>
      </c>
      <c r="H31" t="str">
        <v>2. Install Bored Pile for Traffic [Phase_2]</v>
      </c>
      <c r="I31" t="str">
        <v>3. Cast L Shape wall, backfill and traffic divert [Phase_3]</v>
      </c>
      <c r="J31" t="str">
        <v>4. Cut down to +20mSHD [Phase_4]</v>
      </c>
      <c r="K31" t="str">
        <v>5. Install RHS DWall [Phase_5]</v>
      </c>
      <c r="L31" t="str">
        <v>6. Cut slope for LHS DWall [Phase_6]</v>
      </c>
      <c r="M31" t="str">
        <v>7. Install LHS DWalls &amp; Backfill behind DWall, Surcharge [Phase_7]</v>
      </c>
      <c r="N31" t="str">
        <v>8. Exc for S1 [Phase_8]</v>
      </c>
      <c r="O31" t="str">
        <v>9. Install S1 (PL=50) [Phase_9]</v>
      </c>
      <c r="P31" t="str">
        <v>10. Exc for S2 [Phase_10]</v>
      </c>
      <c r="Q31" t="str">
        <v>11. Install S2 (PL=100) [Phase_11]</v>
      </c>
      <c r="R31" t="str">
        <v>12. Exc for Roof [Phase_12]</v>
      </c>
      <c r="S31" t="str">
        <v>13. Cast Roof Slab [Phase_13]</v>
      </c>
      <c r="T31" t="str">
        <v>14. Exc for B1 [Phase_14]</v>
      </c>
      <c r="U31" t="str">
        <v>15. Cast B1 Slab [Phase_15]</v>
      </c>
      <c r="V31" t="str">
        <v>16. Exc for B2 [Phase_16]</v>
      </c>
      <c r="W31" t="str">
        <v>17. Cast B2 Slab [Phase_17]</v>
      </c>
      <c r="X31" t="str">
        <v>18. Exc for S3 [Phase_18]</v>
      </c>
      <c r="Y31" t="str">
        <v>19. Install S3 (PL=550) [Phase_19]</v>
      </c>
      <c r="Z31" t="str">
        <v>20. Exc for FEL [Phase_20]</v>
      </c>
      <c r="AA31" t="str">
        <v>21. Cast Base Slab [Phase_21]</v>
      </c>
      <c r="AB31" t="str">
        <v>22. Remove S3 [Phase_22]</v>
      </c>
      <c r="AC31" t="str">
        <v>23. Case RC  Wal [Phase_23]</v>
      </c>
      <c r="AD31" t="str">
        <v>24. Remove Kingpost and Backfill [Phase_24]</v>
      </c>
      <c r="AE31" t="str">
        <v>25. Backfill up to 1m below S2 [Phase_25]</v>
      </c>
      <c r="AF31" t="str">
        <v>26.Remove S2 [Phase_26]</v>
      </c>
      <c r="AG31" t="str">
        <v>27. Backfill upto 1m below S1 [Phase_27]</v>
      </c>
      <c r="AH31" t="str">
        <v>28. Remove S1 [Phase_28]</v>
      </c>
      <c r="AI31" t="str">
        <v>29. Backfill to final level [Phase_29]</v>
      </c>
      <c r="AJ31" t="str">
        <v>30. Divert Traffic and Demolish Temp Structure [Phase_37]</v>
      </c>
    </row>
    <row r="32" spans="1:44" x14ac:dyDescent="0.25">
      <c r="A32" t="str">
        <v>CR113_N_Case1,4_SLS_0.7EI_Hyd_a03BP1.0m</v>
      </c>
      <c r="B32" t="str">
        <v>30. Divert Traffic and Demolish Temp Structure [Phase_37]</v>
      </c>
      <c r="D32">
        <v>32</v>
      </c>
      <c r="E32" t="str">
        <v>CR113_N_Case3_ULS2_1.0EI_Hyd_a03BP1.0m</v>
      </c>
      <c r="F32" t="str" cm="1">
        <f t="array" ref="F32:AJ32">TRANSPOSE(_xlfn._xlws.FILTER(_xlfn.ANCHORARRAY($B$2),_xlfn.ANCHORARRAY($A$2)=$E32))</f>
        <v>Initial phase [InitialPhase]</v>
      </c>
      <c r="G32" t="str">
        <v>1. Cut Slope for L Shape Wall [Phase_1]</v>
      </c>
      <c r="H32" t="str">
        <v>2. Install Bored Pile for Traffic [Phase_2]</v>
      </c>
      <c r="I32" t="str">
        <v>3. Cast L Shape wall, backfill and traffic divert [Phase_3]</v>
      </c>
      <c r="J32" t="str">
        <v>4. Cut down to +20mSHD [Phase_4]</v>
      </c>
      <c r="K32" t="str">
        <v>5. Install RHS DWall [Phase_5]</v>
      </c>
      <c r="L32" t="str">
        <v>6. Cut slope for LHS DWall [Phase_6]</v>
      </c>
      <c r="M32" t="str">
        <v>7. Install LHS DWalls &amp; Backfill behind DWall, Surcharge [Phase_7]</v>
      </c>
      <c r="N32" t="str">
        <v>8. Exc for S1 [Phase_8]</v>
      </c>
      <c r="O32" t="str">
        <v>9. Install S1 (PL=50) [Phase_9]</v>
      </c>
      <c r="P32" t="str">
        <v>10. Exc for S2 [Phase_10]</v>
      </c>
      <c r="Q32" t="str">
        <v>11. Install S2 (PL=100) [Phase_11]</v>
      </c>
      <c r="R32" t="str">
        <v>12. Exc for Roof [Phase_12]</v>
      </c>
      <c r="S32" t="str">
        <v>13. Cast Roof Slab [Phase_13]</v>
      </c>
      <c r="T32" t="str">
        <v>14. Exc for B1 [Phase_14]</v>
      </c>
      <c r="U32" t="str">
        <v>15. Cast B1 Slab [Phase_15]</v>
      </c>
      <c r="V32" t="str">
        <v>16. Exc for B2 [Phase_16]</v>
      </c>
      <c r="W32" t="str">
        <v>17. Cast B2 Slab [Phase_17]</v>
      </c>
      <c r="X32" t="str">
        <v>18. Exc for S3 [Phase_18]</v>
      </c>
      <c r="Y32" t="str">
        <v>19. Install S3 (PL=550) [Phase_19]</v>
      </c>
      <c r="Z32" t="str">
        <v>20. Exc for FEL [Phase_20]</v>
      </c>
      <c r="AA32" t="str">
        <v>21. Cast Base Slab [Phase_21]</v>
      </c>
      <c r="AB32" t="str">
        <v>22. Remove S3 [Phase_22]</v>
      </c>
      <c r="AC32" t="str">
        <v>23. Case RC  Wal [Phase_23]</v>
      </c>
      <c r="AD32" t="str">
        <v>24. Remove Kingpost and Backfill [Phase_24]</v>
      </c>
      <c r="AE32" t="str">
        <v>25. Backfill up to 1m below S2 [Phase_25]</v>
      </c>
      <c r="AF32" t="str">
        <v>26.Remove S2 [Phase_26]</v>
      </c>
      <c r="AG32" t="str">
        <v>27. Backfill upto 1m below S1 [Phase_27]</v>
      </c>
      <c r="AH32" t="str">
        <v>28. Remove S1 [Phase_28]</v>
      </c>
      <c r="AI32" t="str">
        <v>29. Backfill to final level [Phase_29]</v>
      </c>
      <c r="AJ32" t="str">
        <v>30. Divert Traffic and Demolish Temp Structure [Phase_37]</v>
      </c>
    </row>
    <row r="33" spans="1:43" x14ac:dyDescent="0.25">
      <c r="A33" t="str">
        <v>CR113_N_Case1,4_SLS_0.7EI_Hyd_a03BP1.0m</v>
      </c>
      <c r="B33" t="str">
        <v>31. Locked-in [Phase_38]</v>
      </c>
      <c r="D33">
        <v>33</v>
      </c>
      <c r="E33" t="str">
        <v>CR113_N_Case3_ULS2_1.0EI_Hyd_a03BP1.0m</v>
      </c>
      <c r="F33" t="str" cm="1">
        <f t="array" ref="F33:AJ33">TRANSPOSE(_xlfn._xlws.FILTER(_xlfn.ANCHORARRAY($B$2),_xlfn.ANCHORARRAY($A$2)=$E33))</f>
        <v>Initial phase [InitialPhase]</v>
      </c>
      <c r="G33" t="str">
        <v>1. Cut Slope for L Shape Wall [Phase_1]</v>
      </c>
      <c r="H33" t="str">
        <v>2. Install Bored Pile for Traffic [Phase_2]</v>
      </c>
      <c r="I33" t="str">
        <v>3. Cast L Shape wall, backfill and traffic divert [Phase_3]</v>
      </c>
      <c r="J33" t="str">
        <v>4. Cut down to +20mSHD [Phase_4]</v>
      </c>
      <c r="K33" t="str">
        <v>5. Install RHS DWall [Phase_5]</v>
      </c>
      <c r="L33" t="str">
        <v>6. Cut slope for LHS DWall [Phase_6]</v>
      </c>
      <c r="M33" t="str">
        <v>7. Install LHS DWalls &amp; Backfill behind DWall, Surcharge [Phase_7]</v>
      </c>
      <c r="N33" t="str">
        <v>8. Exc for S1 [Phase_8]</v>
      </c>
      <c r="O33" t="str">
        <v>9. Install S1 (PL=50) [Phase_9]</v>
      </c>
      <c r="P33" t="str">
        <v>10. Exc for S2 [Phase_10]</v>
      </c>
      <c r="Q33" t="str">
        <v>11. Install S2 (PL=100) [Phase_11]</v>
      </c>
      <c r="R33" t="str">
        <v>12. Exc for Roof [Phase_12]</v>
      </c>
      <c r="S33" t="str">
        <v>13. Cast Roof Slab [Phase_13]</v>
      </c>
      <c r="T33" t="str">
        <v>14. Exc for B1 [Phase_14]</v>
      </c>
      <c r="U33" t="str">
        <v>15. Cast B1 Slab [Phase_15]</v>
      </c>
      <c r="V33" t="str">
        <v>16. Exc for B2 [Phase_16]</v>
      </c>
      <c r="W33" t="str">
        <v>17. Cast B2 Slab [Phase_17]</v>
      </c>
      <c r="X33" t="str">
        <v>18. Exc for S3 [Phase_18]</v>
      </c>
      <c r="Y33" t="str">
        <v>19. Install S3 (PL=550) [Phase_19]</v>
      </c>
      <c r="Z33" t="str">
        <v>20. Exc for FEL [Phase_20]</v>
      </c>
      <c r="AA33" t="str">
        <v>21. Cast Base Slab [Phase_21]</v>
      </c>
      <c r="AB33" t="str">
        <v>22. Remove S3 [Phase_22]</v>
      </c>
      <c r="AC33" t="str">
        <v>23. Case RC  Wal [Phase_23]</v>
      </c>
      <c r="AD33" t="str">
        <v>24. Remove Kingpost and Backfill [Phase_24]</v>
      </c>
      <c r="AE33" t="str">
        <v>25. Backfill up to 1m below S2 [Phase_25]</v>
      </c>
      <c r="AF33" t="str">
        <v>26.Remove S2 [Phase_26]</v>
      </c>
      <c r="AG33" t="str">
        <v>27. Backfill upto 1m below S1 [Phase_27]</v>
      </c>
      <c r="AH33" t="str">
        <v>28. Remove S1 [Phase_28]</v>
      </c>
      <c r="AI33" t="str">
        <v>29. Backfill to final level [Phase_29]</v>
      </c>
      <c r="AJ33" t="str">
        <v>30. Divert Traffic and Demolish Temp Structure [Phase_37]</v>
      </c>
    </row>
    <row r="34" spans="1:43" x14ac:dyDescent="0.25">
      <c r="A34" t="str">
        <v>CR113_N_Case1,4_SLS_0.7EI_Hyd_a03BP1.0m</v>
      </c>
      <c r="B34" t="str">
        <v>4.OSF_ S3 Fails [Phase_35]</v>
      </c>
      <c r="D34">
        <v>34</v>
      </c>
      <c r="E34" t="str">
        <v>CR113_N_Case5,8_SLS_0.7EI_SpG_a03BP1.0m</v>
      </c>
      <c r="F34" t="str" cm="1">
        <f t="array" ref="F34:AQ34">TRANSPOSE(_xlfn._xlws.FILTER(_xlfn.ANCHORARRAY($B$2),_xlfn.ANCHORARRAY($A$2)=$E34))</f>
        <v>Initial phase [InitialPhase]</v>
      </c>
      <c r="G34" t="str">
        <v>1. Cut Slope for L Shape Wall [Phase_1]</v>
      </c>
      <c r="H34" t="str">
        <v>2. Install Kingpost [Phase_2]</v>
      </c>
      <c r="I34" t="str">
        <v>3. Cast L Shape wall, backfill and traffic divert [Phase_3]</v>
      </c>
      <c r="J34" t="str">
        <v>4. Cut down to +20mSHD [Phase_4]</v>
      </c>
      <c r="K34" t="str">
        <v>5. Install RHS DWall [Phase_5]</v>
      </c>
      <c r="L34" t="str">
        <v>6. Cut slope for LHS DWall [Phase_6]</v>
      </c>
      <c r="M34" t="str">
        <v>7. Install LHS DWalls &amp; Backfill behind DWall, Surcharge [Phase_7]</v>
      </c>
      <c r="N34" t="str">
        <v>8. Exc for S1 [Phase_8]</v>
      </c>
      <c r="O34" t="str">
        <v>9. Install S1 (PL=50) [Phase_9]</v>
      </c>
      <c r="P34" t="str">
        <v>10. Exc for S2 [Phase_10]</v>
      </c>
      <c r="Q34" t="str">
        <v>11. Install S2 (PL=100) [Phase_11]</v>
      </c>
      <c r="R34" t="str">
        <v>12. Exc for Roof [Phase_12]</v>
      </c>
      <c r="S34" t="str">
        <v>13. Cast Roof Slab [Phase_13]</v>
      </c>
      <c r="T34" t="str">
        <v>14. Exc for B1 [Phase_14]</v>
      </c>
      <c r="U34" t="str">
        <v>15. Cast B1 Slab [Phase_15]</v>
      </c>
      <c r="V34" t="str">
        <v>16. Exc for B2 [Phase_16]</v>
      </c>
      <c r="W34" t="str">
        <v>17. Cast B2 Slab [Phase_17]</v>
      </c>
      <c r="X34" t="str">
        <v>18. Exc for S3 [Phase_18]</v>
      </c>
      <c r="Y34" t="str">
        <v>19. Install S3 (PL=550) [Phase_19]</v>
      </c>
      <c r="Z34" t="str">
        <v>20. Exc for FEL [Phase_20]</v>
      </c>
      <c r="AA34" t="str">
        <v>21. Cast Base Slab [Phase_21]</v>
      </c>
      <c r="AB34" t="str">
        <v>22. Remove S3 [Phase_22]</v>
      </c>
      <c r="AC34" t="str">
        <v>23. Case RC  Wal [Phase_23]</v>
      </c>
      <c r="AD34" t="str">
        <v>24. Remove Kingpost and Backfill [Phase_24]</v>
      </c>
      <c r="AE34" t="str">
        <v>25. Backfill up to 1m below S2 [Phase_25]</v>
      </c>
      <c r="AF34" t="str">
        <v>26.Remove S2 [Phase_26]</v>
      </c>
      <c r="AG34" t="str">
        <v>27. Backfill upto 1m below S1 [Phase_27]</v>
      </c>
      <c r="AH34" t="str">
        <v>28. Remove S1 [Phase_28]</v>
      </c>
      <c r="AI34" t="str">
        <v>29. Backfill to final level [Phase_29]</v>
      </c>
      <c r="AJ34" t="str">
        <v>30. Divert Traffic and Demolish Temp Structure [Phase_37]</v>
      </c>
      <c r="AK34" t="str">
        <v>4.OSF_ S3 Fails [Phase_35]</v>
      </c>
      <c r="AL34" t="str">
        <v>5.OSF_ S2 Fails [Phase_36]</v>
      </c>
      <c r="AM34" t="str">
        <v>2.OSF_ S2 Fails [Phase_33]</v>
      </c>
      <c r="AN34" t="str">
        <v>3.OSF_ S1 Fails [Phase_34]</v>
      </c>
      <c r="AO34" t="str">
        <v>1.OSF _ Install S1 [Phase_30]</v>
      </c>
      <c r="AP34" t="str">
        <v>1.OSF_ Exc for S2 [Phase_31]</v>
      </c>
      <c r="AQ34" t="str">
        <v>1.OSF_ S1 Fails [Phase_32]</v>
      </c>
    </row>
    <row r="35" spans="1:43" x14ac:dyDescent="0.25">
      <c r="A35" t="str">
        <v>CR113_N_Case1,4_SLS_0.7EI_Hyd_a03BP1.0m</v>
      </c>
      <c r="B35" t="str">
        <v>5.OSF_ S2 Fails [Phase_36]</v>
      </c>
      <c r="D35">
        <v>35</v>
      </c>
      <c r="E35" t="str">
        <v>CR113_N_Case5,8_SLS_0.7EI_SpG_a03BP1.0m</v>
      </c>
      <c r="F35" t="str" cm="1">
        <f t="array" ref="F35:AQ35">TRANSPOSE(_xlfn._xlws.FILTER(_xlfn.ANCHORARRAY($B$2),_xlfn.ANCHORARRAY($A$2)=$E35))</f>
        <v>Initial phase [InitialPhase]</v>
      </c>
      <c r="G35" t="str">
        <v>1. Cut Slope for L Shape Wall [Phase_1]</v>
      </c>
      <c r="H35" t="str">
        <v>2. Install Kingpost [Phase_2]</v>
      </c>
      <c r="I35" t="str">
        <v>3. Cast L Shape wall, backfill and traffic divert [Phase_3]</v>
      </c>
      <c r="J35" t="str">
        <v>4. Cut down to +20mSHD [Phase_4]</v>
      </c>
      <c r="K35" t="str">
        <v>5. Install RHS DWall [Phase_5]</v>
      </c>
      <c r="L35" t="str">
        <v>6. Cut slope for LHS DWall [Phase_6]</v>
      </c>
      <c r="M35" t="str">
        <v>7. Install LHS DWalls &amp; Backfill behind DWall, Surcharge [Phase_7]</v>
      </c>
      <c r="N35" t="str">
        <v>8. Exc for S1 [Phase_8]</v>
      </c>
      <c r="O35" t="str">
        <v>9. Install S1 (PL=50) [Phase_9]</v>
      </c>
      <c r="P35" t="str">
        <v>10. Exc for S2 [Phase_10]</v>
      </c>
      <c r="Q35" t="str">
        <v>11. Install S2 (PL=100) [Phase_11]</v>
      </c>
      <c r="R35" t="str">
        <v>12. Exc for Roof [Phase_12]</v>
      </c>
      <c r="S35" t="str">
        <v>13. Cast Roof Slab [Phase_13]</v>
      </c>
      <c r="T35" t="str">
        <v>14. Exc for B1 [Phase_14]</v>
      </c>
      <c r="U35" t="str">
        <v>15. Cast B1 Slab [Phase_15]</v>
      </c>
      <c r="V35" t="str">
        <v>16. Exc for B2 [Phase_16]</v>
      </c>
      <c r="W35" t="str">
        <v>17. Cast B2 Slab [Phase_17]</v>
      </c>
      <c r="X35" t="str">
        <v>18. Exc for S3 [Phase_18]</v>
      </c>
      <c r="Y35" t="str">
        <v>19. Install S3 (PL=550) [Phase_19]</v>
      </c>
      <c r="Z35" t="str">
        <v>20. Exc for FEL [Phase_20]</v>
      </c>
      <c r="AA35" t="str">
        <v>21. Cast Base Slab [Phase_21]</v>
      </c>
      <c r="AB35" t="str">
        <v>22. Remove S3 [Phase_22]</v>
      </c>
      <c r="AC35" t="str">
        <v>23. Case RC  Wal [Phase_23]</v>
      </c>
      <c r="AD35" t="str">
        <v>24. Remove Kingpost and Backfill [Phase_24]</v>
      </c>
      <c r="AE35" t="str">
        <v>25. Backfill up to 1m below S2 [Phase_25]</v>
      </c>
      <c r="AF35" t="str">
        <v>26.Remove S2 [Phase_26]</v>
      </c>
      <c r="AG35" t="str">
        <v>27. Backfill upto 1m below S1 [Phase_27]</v>
      </c>
      <c r="AH35" t="str">
        <v>28. Remove S1 [Phase_28]</v>
      </c>
      <c r="AI35" t="str">
        <v>29. Backfill to final level [Phase_29]</v>
      </c>
      <c r="AJ35" t="str">
        <v>30. Divert Traffic and Demolish Temp Structure [Phase_37]</v>
      </c>
      <c r="AK35" t="str">
        <v>4.OSF_ S3 Fails [Phase_35]</v>
      </c>
      <c r="AL35" t="str">
        <v>5.OSF_ S2 Fails [Phase_36]</v>
      </c>
      <c r="AM35" t="str">
        <v>2.OSF_ S2 Fails [Phase_33]</v>
      </c>
      <c r="AN35" t="str">
        <v>3.OSF_ S1 Fails [Phase_34]</v>
      </c>
      <c r="AO35" t="str">
        <v>1.OSF _ Install S1 [Phase_30]</v>
      </c>
      <c r="AP35" t="str">
        <v>1.OSF_ Exc for S2 [Phase_31]</v>
      </c>
      <c r="AQ35" t="str">
        <v>1.OSF_ S1 Fails [Phase_32]</v>
      </c>
    </row>
    <row r="36" spans="1:43" x14ac:dyDescent="0.25">
      <c r="A36" t="str">
        <v>CR113_N_Case1,4_SLS_0.7EI_Hyd_a03BP1.0m</v>
      </c>
      <c r="B36" t="str">
        <v>2.OSF_ S2 Fails [Phase_33]</v>
      </c>
      <c r="D36">
        <v>36</v>
      </c>
      <c r="E36" t="str">
        <v>CR113_N_Case5,8_SLS_0.7EI_SpG_a03BP1.0m</v>
      </c>
      <c r="F36" t="str" cm="1">
        <f t="array" ref="F36:AQ36">TRANSPOSE(_xlfn._xlws.FILTER(_xlfn.ANCHORARRAY($B$2),_xlfn.ANCHORARRAY($A$2)=$E36))</f>
        <v>Initial phase [InitialPhase]</v>
      </c>
      <c r="G36" t="str">
        <v>1. Cut Slope for L Shape Wall [Phase_1]</v>
      </c>
      <c r="H36" t="str">
        <v>2. Install Kingpost [Phase_2]</v>
      </c>
      <c r="I36" t="str">
        <v>3. Cast L Shape wall, backfill and traffic divert [Phase_3]</v>
      </c>
      <c r="J36" t="str">
        <v>4. Cut down to +20mSHD [Phase_4]</v>
      </c>
      <c r="K36" t="str">
        <v>5. Install RHS DWall [Phase_5]</v>
      </c>
      <c r="L36" t="str">
        <v>6. Cut slope for LHS DWall [Phase_6]</v>
      </c>
      <c r="M36" t="str">
        <v>7. Install LHS DWalls &amp; Backfill behind DWall, Surcharge [Phase_7]</v>
      </c>
      <c r="N36" t="str">
        <v>8. Exc for S1 [Phase_8]</v>
      </c>
      <c r="O36" t="str">
        <v>9. Install S1 (PL=50) [Phase_9]</v>
      </c>
      <c r="P36" t="str">
        <v>10. Exc for S2 [Phase_10]</v>
      </c>
      <c r="Q36" t="str">
        <v>11. Install S2 (PL=100) [Phase_11]</v>
      </c>
      <c r="R36" t="str">
        <v>12. Exc for Roof [Phase_12]</v>
      </c>
      <c r="S36" t="str">
        <v>13. Cast Roof Slab [Phase_13]</v>
      </c>
      <c r="T36" t="str">
        <v>14. Exc for B1 [Phase_14]</v>
      </c>
      <c r="U36" t="str">
        <v>15. Cast B1 Slab [Phase_15]</v>
      </c>
      <c r="V36" t="str">
        <v>16. Exc for B2 [Phase_16]</v>
      </c>
      <c r="W36" t="str">
        <v>17. Cast B2 Slab [Phase_17]</v>
      </c>
      <c r="X36" t="str">
        <v>18. Exc for S3 [Phase_18]</v>
      </c>
      <c r="Y36" t="str">
        <v>19. Install S3 (PL=550) [Phase_19]</v>
      </c>
      <c r="Z36" t="str">
        <v>20. Exc for FEL [Phase_20]</v>
      </c>
      <c r="AA36" t="str">
        <v>21. Cast Base Slab [Phase_21]</v>
      </c>
      <c r="AB36" t="str">
        <v>22. Remove S3 [Phase_22]</v>
      </c>
      <c r="AC36" t="str">
        <v>23. Case RC  Wal [Phase_23]</v>
      </c>
      <c r="AD36" t="str">
        <v>24. Remove Kingpost and Backfill [Phase_24]</v>
      </c>
      <c r="AE36" t="str">
        <v>25. Backfill up to 1m below S2 [Phase_25]</v>
      </c>
      <c r="AF36" t="str">
        <v>26.Remove S2 [Phase_26]</v>
      </c>
      <c r="AG36" t="str">
        <v>27. Backfill upto 1m below S1 [Phase_27]</v>
      </c>
      <c r="AH36" t="str">
        <v>28. Remove S1 [Phase_28]</v>
      </c>
      <c r="AI36" t="str">
        <v>29. Backfill to final level [Phase_29]</v>
      </c>
      <c r="AJ36" t="str">
        <v>30. Divert Traffic and Demolish Temp Structure [Phase_37]</v>
      </c>
      <c r="AK36" t="str">
        <v>4.OSF_ S3 Fails [Phase_35]</v>
      </c>
      <c r="AL36" t="str">
        <v>5.OSF_ S2 Fails [Phase_36]</v>
      </c>
      <c r="AM36" t="str">
        <v>2.OSF_ S2 Fails [Phase_33]</v>
      </c>
      <c r="AN36" t="str">
        <v>3.OSF_ S1 Fails [Phase_34]</v>
      </c>
      <c r="AO36" t="str">
        <v>1.OSF _ Install S1 [Phase_30]</v>
      </c>
      <c r="AP36" t="str">
        <v>1.OSF_ Exc for S2 [Phase_31]</v>
      </c>
      <c r="AQ36" t="str">
        <v>1.OSF_ S1 Fails [Phase_32]</v>
      </c>
    </row>
    <row r="37" spans="1:43" x14ac:dyDescent="0.25">
      <c r="A37" t="str">
        <v>CR113_N_Case1,4_SLS_0.7EI_Hyd_a03BP1.0m</v>
      </c>
      <c r="B37" t="str">
        <v>3.OSF_ S1 Fails [Phase_34]</v>
      </c>
      <c r="D37">
        <v>37</v>
      </c>
      <c r="E37" t="str">
        <v>CR113_N_Case5,8_SLS_0.7EI_SpG_a03BP1.0m</v>
      </c>
      <c r="F37" t="str" cm="1">
        <f t="array" ref="F37:AQ37">TRANSPOSE(_xlfn._xlws.FILTER(_xlfn.ANCHORARRAY($B$2),_xlfn.ANCHORARRAY($A$2)=$E37))</f>
        <v>Initial phase [InitialPhase]</v>
      </c>
      <c r="G37" t="str">
        <v>1. Cut Slope for L Shape Wall [Phase_1]</v>
      </c>
      <c r="H37" t="str">
        <v>2. Install Kingpost [Phase_2]</v>
      </c>
      <c r="I37" t="str">
        <v>3. Cast L Shape wall, backfill and traffic divert [Phase_3]</v>
      </c>
      <c r="J37" t="str">
        <v>4. Cut down to +20mSHD [Phase_4]</v>
      </c>
      <c r="K37" t="str">
        <v>5. Install RHS DWall [Phase_5]</v>
      </c>
      <c r="L37" t="str">
        <v>6. Cut slope for LHS DWall [Phase_6]</v>
      </c>
      <c r="M37" t="str">
        <v>7. Install LHS DWalls &amp; Backfill behind DWall, Surcharge [Phase_7]</v>
      </c>
      <c r="N37" t="str">
        <v>8. Exc for S1 [Phase_8]</v>
      </c>
      <c r="O37" t="str">
        <v>9. Install S1 (PL=50) [Phase_9]</v>
      </c>
      <c r="P37" t="str">
        <v>10. Exc for S2 [Phase_10]</v>
      </c>
      <c r="Q37" t="str">
        <v>11. Install S2 (PL=100) [Phase_11]</v>
      </c>
      <c r="R37" t="str">
        <v>12. Exc for Roof [Phase_12]</v>
      </c>
      <c r="S37" t="str">
        <v>13. Cast Roof Slab [Phase_13]</v>
      </c>
      <c r="T37" t="str">
        <v>14. Exc for B1 [Phase_14]</v>
      </c>
      <c r="U37" t="str">
        <v>15. Cast B1 Slab [Phase_15]</v>
      </c>
      <c r="V37" t="str">
        <v>16. Exc for B2 [Phase_16]</v>
      </c>
      <c r="W37" t="str">
        <v>17. Cast B2 Slab [Phase_17]</v>
      </c>
      <c r="X37" t="str">
        <v>18. Exc for S3 [Phase_18]</v>
      </c>
      <c r="Y37" t="str">
        <v>19. Install S3 (PL=550) [Phase_19]</v>
      </c>
      <c r="Z37" t="str">
        <v>20. Exc for FEL [Phase_20]</v>
      </c>
      <c r="AA37" t="str">
        <v>21. Cast Base Slab [Phase_21]</v>
      </c>
      <c r="AB37" t="str">
        <v>22. Remove S3 [Phase_22]</v>
      </c>
      <c r="AC37" t="str">
        <v>23. Case RC  Wal [Phase_23]</v>
      </c>
      <c r="AD37" t="str">
        <v>24. Remove Kingpost and Backfill [Phase_24]</v>
      </c>
      <c r="AE37" t="str">
        <v>25. Backfill up to 1m below S2 [Phase_25]</v>
      </c>
      <c r="AF37" t="str">
        <v>26.Remove S2 [Phase_26]</v>
      </c>
      <c r="AG37" t="str">
        <v>27. Backfill upto 1m below S1 [Phase_27]</v>
      </c>
      <c r="AH37" t="str">
        <v>28. Remove S1 [Phase_28]</v>
      </c>
      <c r="AI37" t="str">
        <v>29. Backfill to final level [Phase_29]</v>
      </c>
      <c r="AJ37" t="str">
        <v>30. Divert Traffic and Demolish Temp Structure [Phase_37]</v>
      </c>
      <c r="AK37" t="str">
        <v>4.OSF_ S3 Fails [Phase_35]</v>
      </c>
      <c r="AL37" t="str">
        <v>5.OSF_ S2 Fails [Phase_36]</v>
      </c>
      <c r="AM37" t="str">
        <v>2.OSF_ S2 Fails [Phase_33]</v>
      </c>
      <c r="AN37" t="str">
        <v>3.OSF_ S1 Fails [Phase_34]</v>
      </c>
      <c r="AO37" t="str">
        <v>1.OSF _ Install S1 [Phase_30]</v>
      </c>
      <c r="AP37" t="str">
        <v>1.OSF_ Exc for S2 [Phase_31]</v>
      </c>
      <c r="AQ37" t="str">
        <v>1.OSF_ S1 Fails [Phase_32]</v>
      </c>
    </row>
    <row r="38" spans="1:43" x14ac:dyDescent="0.25">
      <c r="A38" t="str">
        <v>CR113_N_Case1,4_SLS_0.7EI_Hyd_a03BP1.0m</v>
      </c>
      <c r="B38" t="str">
        <v>1.OSF _ Install S1 [Phase_30]</v>
      </c>
      <c r="D38">
        <v>38</v>
      </c>
      <c r="E38" t="str">
        <v>CR113_N_Case5,8_SLS_0.7EI_SpG_a03BP1.0m</v>
      </c>
      <c r="F38" t="str" cm="1">
        <f t="array" ref="F38:AQ38">TRANSPOSE(_xlfn._xlws.FILTER(_xlfn.ANCHORARRAY($B$2),_xlfn.ANCHORARRAY($A$2)=$E38))</f>
        <v>Initial phase [InitialPhase]</v>
      </c>
      <c r="G38" t="str">
        <v>1. Cut Slope for L Shape Wall [Phase_1]</v>
      </c>
      <c r="H38" t="str">
        <v>2. Install Kingpost [Phase_2]</v>
      </c>
      <c r="I38" t="str">
        <v>3. Cast L Shape wall, backfill and traffic divert [Phase_3]</v>
      </c>
      <c r="J38" t="str">
        <v>4. Cut down to +20mSHD [Phase_4]</v>
      </c>
      <c r="K38" t="str">
        <v>5. Install RHS DWall [Phase_5]</v>
      </c>
      <c r="L38" t="str">
        <v>6. Cut slope for LHS DWall [Phase_6]</v>
      </c>
      <c r="M38" t="str">
        <v>7. Install LHS DWalls &amp; Backfill behind DWall, Surcharge [Phase_7]</v>
      </c>
      <c r="N38" t="str">
        <v>8. Exc for S1 [Phase_8]</v>
      </c>
      <c r="O38" t="str">
        <v>9. Install S1 (PL=50) [Phase_9]</v>
      </c>
      <c r="P38" t="str">
        <v>10. Exc for S2 [Phase_10]</v>
      </c>
      <c r="Q38" t="str">
        <v>11. Install S2 (PL=100) [Phase_11]</v>
      </c>
      <c r="R38" t="str">
        <v>12. Exc for Roof [Phase_12]</v>
      </c>
      <c r="S38" t="str">
        <v>13. Cast Roof Slab [Phase_13]</v>
      </c>
      <c r="T38" t="str">
        <v>14. Exc for B1 [Phase_14]</v>
      </c>
      <c r="U38" t="str">
        <v>15. Cast B1 Slab [Phase_15]</v>
      </c>
      <c r="V38" t="str">
        <v>16. Exc for B2 [Phase_16]</v>
      </c>
      <c r="W38" t="str">
        <v>17. Cast B2 Slab [Phase_17]</v>
      </c>
      <c r="X38" t="str">
        <v>18. Exc for S3 [Phase_18]</v>
      </c>
      <c r="Y38" t="str">
        <v>19. Install S3 (PL=550) [Phase_19]</v>
      </c>
      <c r="Z38" t="str">
        <v>20. Exc for FEL [Phase_20]</v>
      </c>
      <c r="AA38" t="str">
        <v>21. Cast Base Slab [Phase_21]</v>
      </c>
      <c r="AB38" t="str">
        <v>22. Remove S3 [Phase_22]</v>
      </c>
      <c r="AC38" t="str">
        <v>23. Case RC  Wal [Phase_23]</v>
      </c>
      <c r="AD38" t="str">
        <v>24. Remove Kingpost and Backfill [Phase_24]</v>
      </c>
      <c r="AE38" t="str">
        <v>25. Backfill up to 1m below S2 [Phase_25]</v>
      </c>
      <c r="AF38" t="str">
        <v>26.Remove S2 [Phase_26]</v>
      </c>
      <c r="AG38" t="str">
        <v>27. Backfill upto 1m below S1 [Phase_27]</v>
      </c>
      <c r="AH38" t="str">
        <v>28. Remove S1 [Phase_28]</v>
      </c>
      <c r="AI38" t="str">
        <v>29. Backfill to final level [Phase_29]</v>
      </c>
      <c r="AJ38" t="str">
        <v>30. Divert Traffic and Demolish Temp Structure [Phase_37]</v>
      </c>
      <c r="AK38" t="str">
        <v>4.OSF_ S3 Fails [Phase_35]</v>
      </c>
      <c r="AL38" t="str">
        <v>5.OSF_ S2 Fails [Phase_36]</v>
      </c>
      <c r="AM38" t="str">
        <v>2.OSF_ S2 Fails [Phase_33]</v>
      </c>
      <c r="AN38" t="str">
        <v>3.OSF_ S1 Fails [Phase_34]</v>
      </c>
      <c r="AO38" t="str">
        <v>1.OSF _ Install S1 [Phase_30]</v>
      </c>
      <c r="AP38" t="str">
        <v>1.OSF_ Exc for S2 [Phase_31]</v>
      </c>
      <c r="AQ38" t="str">
        <v>1.OSF_ S1 Fails [Phase_32]</v>
      </c>
    </row>
    <row r="39" spans="1:43" x14ac:dyDescent="0.25">
      <c r="A39" t="str">
        <v>CR113_N_Case1,4_SLS_0.7EI_Hyd_a03BP1.0m</v>
      </c>
      <c r="B39" t="str">
        <v>1.OSF_ Exc for S2 [Phase_31]</v>
      </c>
      <c r="D39">
        <v>39</v>
      </c>
      <c r="E39" t="str">
        <v>CR113_N_Case5,8_SLS_0.7EI_SpG_a03BP1.0m</v>
      </c>
      <c r="F39" t="str" cm="1">
        <f t="array" ref="F39:AQ39">TRANSPOSE(_xlfn._xlws.FILTER(_xlfn.ANCHORARRAY($B$2),_xlfn.ANCHORARRAY($A$2)=$E39))</f>
        <v>Initial phase [InitialPhase]</v>
      </c>
      <c r="G39" t="str">
        <v>1. Cut Slope for L Shape Wall [Phase_1]</v>
      </c>
      <c r="H39" t="str">
        <v>2. Install Kingpost [Phase_2]</v>
      </c>
      <c r="I39" t="str">
        <v>3. Cast L Shape wall, backfill and traffic divert [Phase_3]</v>
      </c>
      <c r="J39" t="str">
        <v>4. Cut down to +20mSHD [Phase_4]</v>
      </c>
      <c r="K39" t="str">
        <v>5. Install RHS DWall [Phase_5]</v>
      </c>
      <c r="L39" t="str">
        <v>6. Cut slope for LHS DWall [Phase_6]</v>
      </c>
      <c r="M39" t="str">
        <v>7. Install LHS DWalls &amp; Backfill behind DWall, Surcharge [Phase_7]</v>
      </c>
      <c r="N39" t="str">
        <v>8. Exc for S1 [Phase_8]</v>
      </c>
      <c r="O39" t="str">
        <v>9. Install S1 (PL=50) [Phase_9]</v>
      </c>
      <c r="P39" t="str">
        <v>10. Exc for S2 [Phase_10]</v>
      </c>
      <c r="Q39" t="str">
        <v>11. Install S2 (PL=100) [Phase_11]</v>
      </c>
      <c r="R39" t="str">
        <v>12. Exc for Roof [Phase_12]</v>
      </c>
      <c r="S39" t="str">
        <v>13. Cast Roof Slab [Phase_13]</v>
      </c>
      <c r="T39" t="str">
        <v>14. Exc for B1 [Phase_14]</v>
      </c>
      <c r="U39" t="str">
        <v>15. Cast B1 Slab [Phase_15]</v>
      </c>
      <c r="V39" t="str">
        <v>16. Exc for B2 [Phase_16]</v>
      </c>
      <c r="W39" t="str">
        <v>17. Cast B2 Slab [Phase_17]</v>
      </c>
      <c r="X39" t="str">
        <v>18. Exc for S3 [Phase_18]</v>
      </c>
      <c r="Y39" t="str">
        <v>19. Install S3 (PL=550) [Phase_19]</v>
      </c>
      <c r="Z39" t="str">
        <v>20. Exc for FEL [Phase_20]</v>
      </c>
      <c r="AA39" t="str">
        <v>21. Cast Base Slab [Phase_21]</v>
      </c>
      <c r="AB39" t="str">
        <v>22. Remove S3 [Phase_22]</v>
      </c>
      <c r="AC39" t="str">
        <v>23. Case RC  Wal [Phase_23]</v>
      </c>
      <c r="AD39" t="str">
        <v>24. Remove Kingpost and Backfill [Phase_24]</v>
      </c>
      <c r="AE39" t="str">
        <v>25. Backfill up to 1m below S2 [Phase_25]</v>
      </c>
      <c r="AF39" t="str">
        <v>26.Remove S2 [Phase_26]</v>
      </c>
      <c r="AG39" t="str">
        <v>27. Backfill upto 1m below S1 [Phase_27]</v>
      </c>
      <c r="AH39" t="str">
        <v>28. Remove S1 [Phase_28]</v>
      </c>
      <c r="AI39" t="str">
        <v>29. Backfill to final level [Phase_29]</v>
      </c>
      <c r="AJ39" t="str">
        <v>30. Divert Traffic and Demolish Temp Structure [Phase_37]</v>
      </c>
      <c r="AK39" t="str">
        <v>4.OSF_ S3 Fails [Phase_35]</v>
      </c>
      <c r="AL39" t="str">
        <v>5.OSF_ S2 Fails [Phase_36]</v>
      </c>
      <c r="AM39" t="str">
        <v>2.OSF_ S2 Fails [Phase_33]</v>
      </c>
      <c r="AN39" t="str">
        <v>3.OSF_ S1 Fails [Phase_34]</v>
      </c>
      <c r="AO39" t="str">
        <v>1.OSF _ Install S1 [Phase_30]</v>
      </c>
      <c r="AP39" t="str">
        <v>1.OSF_ Exc for S2 [Phase_31]</v>
      </c>
      <c r="AQ39" t="str">
        <v>1.OSF_ S1 Fails [Phase_32]</v>
      </c>
    </row>
    <row r="40" spans="1:43" x14ac:dyDescent="0.25">
      <c r="A40" t="str">
        <v>CR113_N_Case1,4_SLS_0.7EI_Hyd_a03BP1.0m</v>
      </c>
      <c r="B40" t="str">
        <v>1.OSF_ S1 Fails [Phase_32]</v>
      </c>
      <c r="D40">
        <v>40</v>
      </c>
      <c r="E40" t="str">
        <v>CR113_N_Case5,8_SLS_0.7EI_SpG_a03BP1.0m</v>
      </c>
      <c r="F40" t="str" cm="1">
        <f t="array" ref="F40:AQ40">TRANSPOSE(_xlfn._xlws.FILTER(_xlfn.ANCHORARRAY($B$2),_xlfn.ANCHORARRAY($A$2)=$E40))</f>
        <v>Initial phase [InitialPhase]</v>
      </c>
      <c r="G40" t="str">
        <v>1. Cut Slope for L Shape Wall [Phase_1]</v>
      </c>
      <c r="H40" t="str">
        <v>2. Install Kingpost [Phase_2]</v>
      </c>
      <c r="I40" t="str">
        <v>3. Cast L Shape wall, backfill and traffic divert [Phase_3]</v>
      </c>
      <c r="J40" t="str">
        <v>4. Cut down to +20mSHD [Phase_4]</v>
      </c>
      <c r="K40" t="str">
        <v>5. Install RHS DWall [Phase_5]</v>
      </c>
      <c r="L40" t="str">
        <v>6. Cut slope for LHS DWall [Phase_6]</v>
      </c>
      <c r="M40" t="str">
        <v>7. Install LHS DWalls &amp; Backfill behind DWall, Surcharge [Phase_7]</v>
      </c>
      <c r="N40" t="str">
        <v>8. Exc for S1 [Phase_8]</v>
      </c>
      <c r="O40" t="str">
        <v>9. Install S1 (PL=50) [Phase_9]</v>
      </c>
      <c r="P40" t="str">
        <v>10. Exc for S2 [Phase_10]</v>
      </c>
      <c r="Q40" t="str">
        <v>11. Install S2 (PL=100) [Phase_11]</v>
      </c>
      <c r="R40" t="str">
        <v>12. Exc for Roof [Phase_12]</v>
      </c>
      <c r="S40" t="str">
        <v>13. Cast Roof Slab [Phase_13]</v>
      </c>
      <c r="T40" t="str">
        <v>14. Exc for B1 [Phase_14]</v>
      </c>
      <c r="U40" t="str">
        <v>15. Cast B1 Slab [Phase_15]</v>
      </c>
      <c r="V40" t="str">
        <v>16. Exc for B2 [Phase_16]</v>
      </c>
      <c r="W40" t="str">
        <v>17. Cast B2 Slab [Phase_17]</v>
      </c>
      <c r="X40" t="str">
        <v>18. Exc for S3 [Phase_18]</v>
      </c>
      <c r="Y40" t="str">
        <v>19. Install S3 (PL=550) [Phase_19]</v>
      </c>
      <c r="Z40" t="str">
        <v>20. Exc for FEL [Phase_20]</v>
      </c>
      <c r="AA40" t="str">
        <v>21. Cast Base Slab [Phase_21]</v>
      </c>
      <c r="AB40" t="str">
        <v>22. Remove S3 [Phase_22]</v>
      </c>
      <c r="AC40" t="str">
        <v>23. Case RC  Wal [Phase_23]</v>
      </c>
      <c r="AD40" t="str">
        <v>24. Remove Kingpost and Backfill [Phase_24]</v>
      </c>
      <c r="AE40" t="str">
        <v>25. Backfill up to 1m below S2 [Phase_25]</v>
      </c>
      <c r="AF40" t="str">
        <v>26.Remove S2 [Phase_26]</v>
      </c>
      <c r="AG40" t="str">
        <v>27. Backfill upto 1m below S1 [Phase_27]</v>
      </c>
      <c r="AH40" t="str">
        <v>28. Remove S1 [Phase_28]</v>
      </c>
      <c r="AI40" t="str">
        <v>29. Backfill to final level [Phase_29]</v>
      </c>
      <c r="AJ40" t="str">
        <v>30. Divert Traffic and Demolish Temp Structure [Phase_37]</v>
      </c>
      <c r="AK40" t="str">
        <v>4.OSF_ S3 Fails [Phase_35]</v>
      </c>
      <c r="AL40" t="str">
        <v>5.OSF_ S2 Fails [Phase_36]</v>
      </c>
      <c r="AM40" t="str">
        <v>2.OSF_ S2 Fails [Phase_33]</v>
      </c>
      <c r="AN40" t="str">
        <v>3.OSF_ S1 Fails [Phase_34]</v>
      </c>
      <c r="AO40" t="str">
        <v>1.OSF _ Install S1 [Phase_30]</v>
      </c>
      <c r="AP40" t="str">
        <v>1.OSF_ Exc for S2 [Phase_31]</v>
      </c>
      <c r="AQ40" t="str">
        <v>1.OSF_ S1 Fails [Phase_32]</v>
      </c>
    </row>
    <row r="41" spans="1:43" x14ac:dyDescent="0.25">
      <c r="A41" t="str">
        <v>CR113_N_Case2_ULS1_1.0EI_Hyd_a03BP1.0m</v>
      </c>
      <c r="B41" t="str">
        <v>Initial phase [InitialPhase]</v>
      </c>
      <c r="D41">
        <v>41</v>
      </c>
      <c r="E41" t="str">
        <v>CR113_N_Case5,8_SLS_0.7EI_SpG_a03BP1.0m</v>
      </c>
      <c r="F41" t="str" cm="1">
        <f t="array" ref="F41:AQ41">TRANSPOSE(_xlfn._xlws.FILTER(_xlfn.ANCHORARRAY($B$2),_xlfn.ANCHORARRAY($A$2)=$E41))</f>
        <v>Initial phase [InitialPhase]</v>
      </c>
      <c r="G41" t="str">
        <v>1. Cut Slope for L Shape Wall [Phase_1]</v>
      </c>
      <c r="H41" t="str">
        <v>2. Install Kingpost [Phase_2]</v>
      </c>
      <c r="I41" t="str">
        <v>3. Cast L Shape wall, backfill and traffic divert [Phase_3]</v>
      </c>
      <c r="J41" t="str">
        <v>4. Cut down to +20mSHD [Phase_4]</v>
      </c>
      <c r="K41" t="str">
        <v>5. Install RHS DWall [Phase_5]</v>
      </c>
      <c r="L41" t="str">
        <v>6. Cut slope for LHS DWall [Phase_6]</v>
      </c>
      <c r="M41" t="str">
        <v>7. Install LHS DWalls &amp; Backfill behind DWall, Surcharge [Phase_7]</v>
      </c>
      <c r="N41" t="str">
        <v>8. Exc for S1 [Phase_8]</v>
      </c>
      <c r="O41" t="str">
        <v>9. Install S1 (PL=50) [Phase_9]</v>
      </c>
      <c r="P41" t="str">
        <v>10. Exc for S2 [Phase_10]</v>
      </c>
      <c r="Q41" t="str">
        <v>11. Install S2 (PL=100) [Phase_11]</v>
      </c>
      <c r="R41" t="str">
        <v>12. Exc for Roof [Phase_12]</v>
      </c>
      <c r="S41" t="str">
        <v>13. Cast Roof Slab [Phase_13]</v>
      </c>
      <c r="T41" t="str">
        <v>14. Exc for B1 [Phase_14]</v>
      </c>
      <c r="U41" t="str">
        <v>15. Cast B1 Slab [Phase_15]</v>
      </c>
      <c r="V41" t="str">
        <v>16. Exc for B2 [Phase_16]</v>
      </c>
      <c r="W41" t="str">
        <v>17. Cast B2 Slab [Phase_17]</v>
      </c>
      <c r="X41" t="str">
        <v>18. Exc for S3 [Phase_18]</v>
      </c>
      <c r="Y41" t="str">
        <v>19. Install S3 (PL=550) [Phase_19]</v>
      </c>
      <c r="Z41" t="str">
        <v>20. Exc for FEL [Phase_20]</v>
      </c>
      <c r="AA41" t="str">
        <v>21. Cast Base Slab [Phase_21]</v>
      </c>
      <c r="AB41" t="str">
        <v>22. Remove S3 [Phase_22]</v>
      </c>
      <c r="AC41" t="str">
        <v>23. Case RC  Wal [Phase_23]</v>
      </c>
      <c r="AD41" t="str">
        <v>24. Remove Kingpost and Backfill [Phase_24]</v>
      </c>
      <c r="AE41" t="str">
        <v>25. Backfill up to 1m below S2 [Phase_25]</v>
      </c>
      <c r="AF41" t="str">
        <v>26.Remove S2 [Phase_26]</v>
      </c>
      <c r="AG41" t="str">
        <v>27. Backfill upto 1m below S1 [Phase_27]</v>
      </c>
      <c r="AH41" t="str">
        <v>28. Remove S1 [Phase_28]</v>
      </c>
      <c r="AI41" t="str">
        <v>29. Backfill to final level [Phase_29]</v>
      </c>
      <c r="AJ41" t="str">
        <v>30. Divert Traffic and Demolish Temp Structure [Phase_37]</v>
      </c>
      <c r="AK41" t="str">
        <v>4.OSF_ S3 Fails [Phase_35]</v>
      </c>
      <c r="AL41" t="str">
        <v>5.OSF_ S2 Fails [Phase_36]</v>
      </c>
      <c r="AM41" t="str">
        <v>2.OSF_ S2 Fails [Phase_33]</v>
      </c>
      <c r="AN41" t="str">
        <v>3.OSF_ S1 Fails [Phase_34]</v>
      </c>
      <c r="AO41" t="str">
        <v>1.OSF _ Install S1 [Phase_30]</v>
      </c>
      <c r="AP41" t="str">
        <v>1.OSF_ Exc for S2 [Phase_31]</v>
      </c>
      <c r="AQ41" t="str">
        <v>1.OSF_ S1 Fails [Phase_32]</v>
      </c>
    </row>
    <row r="42" spans="1:43" x14ac:dyDescent="0.25">
      <c r="A42" t="str">
        <v>CR113_N_Case2_ULS1_1.0EI_Hyd_a03BP1.0m</v>
      </c>
      <c r="B42" t="str">
        <v>1. Cut Slope for L Shape Wall [Phase_1]</v>
      </c>
      <c r="D42">
        <v>42</v>
      </c>
      <c r="E42" t="str">
        <v>CR113_N_Case5,8_SLS_0.7EI_SpG_a03BP1.0m</v>
      </c>
      <c r="F42" t="str" cm="1">
        <f t="array" ref="F42:AQ42">TRANSPOSE(_xlfn._xlws.FILTER(_xlfn.ANCHORARRAY($B$2),_xlfn.ANCHORARRAY($A$2)=$E42))</f>
        <v>Initial phase [InitialPhase]</v>
      </c>
      <c r="G42" t="str">
        <v>1. Cut Slope for L Shape Wall [Phase_1]</v>
      </c>
      <c r="H42" t="str">
        <v>2. Install Kingpost [Phase_2]</v>
      </c>
      <c r="I42" t="str">
        <v>3. Cast L Shape wall, backfill and traffic divert [Phase_3]</v>
      </c>
      <c r="J42" t="str">
        <v>4. Cut down to +20mSHD [Phase_4]</v>
      </c>
      <c r="K42" t="str">
        <v>5. Install RHS DWall [Phase_5]</v>
      </c>
      <c r="L42" t="str">
        <v>6. Cut slope for LHS DWall [Phase_6]</v>
      </c>
      <c r="M42" t="str">
        <v>7. Install LHS DWalls &amp; Backfill behind DWall, Surcharge [Phase_7]</v>
      </c>
      <c r="N42" t="str">
        <v>8. Exc for S1 [Phase_8]</v>
      </c>
      <c r="O42" t="str">
        <v>9. Install S1 (PL=50) [Phase_9]</v>
      </c>
      <c r="P42" t="str">
        <v>10. Exc for S2 [Phase_10]</v>
      </c>
      <c r="Q42" t="str">
        <v>11. Install S2 (PL=100) [Phase_11]</v>
      </c>
      <c r="R42" t="str">
        <v>12. Exc for Roof [Phase_12]</v>
      </c>
      <c r="S42" t="str">
        <v>13. Cast Roof Slab [Phase_13]</v>
      </c>
      <c r="T42" t="str">
        <v>14. Exc for B1 [Phase_14]</v>
      </c>
      <c r="U42" t="str">
        <v>15. Cast B1 Slab [Phase_15]</v>
      </c>
      <c r="V42" t="str">
        <v>16. Exc for B2 [Phase_16]</v>
      </c>
      <c r="W42" t="str">
        <v>17. Cast B2 Slab [Phase_17]</v>
      </c>
      <c r="X42" t="str">
        <v>18. Exc for S3 [Phase_18]</v>
      </c>
      <c r="Y42" t="str">
        <v>19. Install S3 (PL=550) [Phase_19]</v>
      </c>
      <c r="Z42" t="str">
        <v>20. Exc for FEL [Phase_20]</v>
      </c>
      <c r="AA42" t="str">
        <v>21. Cast Base Slab [Phase_21]</v>
      </c>
      <c r="AB42" t="str">
        <v>22. Remove S3 [Phase_22]</v>
      </c>
      <c r="AC42" t="str">
        <v>23. Case RC  Wal [Phase_23]</v>
      </c>
      <c r="AD42" t="str">
        <v>24. Remove Kingpost and Backfill [Phase_24]</v>
      </c>
      <c r="AE42" t="str">
        <v>25. Backfill up to 1m below S2 [Phase_25]</v>
      </c>
      <c r="AF42" t="str">
        <v>26.Remove S2 [Phase_26]</v>
      </c>
      <c r="AG42" t="str">
        <v>27. Backfill upto 1m below S1 [Phase_27]</v>
      </c>
      <c r="AH42" t="str">
        <v>28. Remove S1 [Phase_28]</v>
      </c>
      <c r="AI42" t="str">
        <v>29. Backfill to final level [Phase_29]</v>
      </c>
      <c r="AJ42" t="str">
        <v>30. Divert Traffic and Demolish Temp Structure [Phase_37]</v>
      </c>
      <c r="AK42" t="str">
        <v>4.OSF_ S3 Fails [Phase_35]</v>
      </c>
      <c r="AL42" t="str">
        <v>5.OSF_ S2 Fails [Phase_36]</v>
      </c>
      <c r="AM42" t="str">
        <v>2.OSF_ S2 Fails [Phase_33]</v>
      </c>
      <c r="AN42" t="str">
        <v>3.OSF_ S1 Fails [Phase_34]</v>
      </c>
      <c r="AO42" t="str">
        <v>1.OSF _ Install S1 [Phase_30]</v>
      </c>
      <c r="AP42" t="str">
        <v>1.OSF_ Exc for S2 [Phase_31]</v>
      </c>
      <c r="AQ42" t="str">
        <v>1.OSF_ S1 Fails [Phase_32]</v>
      </c>
    </row>
    <row r="43" spans="1:43" x14ac:dyDescent="0.25">
      <c r="A43" t="str">
        <v>CR113_N_Case2_ULS1_1.0EI_Hyd_a03BP1.0m</v>
      </c>
      <c r="B43" t="str">
        <v>2. Install Bored Pile for Traffic [Phase_2]</v>
      </c>
      <c r="D43">
        <v>43</v>
      </c>
      <c r="E43" t="str">
        <v>CR113_N_Case5,8_SLS_0.7EI_SpG_a03BP1.0m</v>
      </c>
      <c r="F43" t="str" cm="1">
        <f t="array" ref="F43:AQ43">TRANSPOSE(_xlfn._xlws.FILTER(_xlfn.ANCHORARRAY($B$2),_xlfn.ANCHORARRAY($A$2)=$E43))</f>
        <v>Initial phase [InitialPhase]</v>
      </c>
      <c r="G43" t="str">
        <v>1. Cut Slope for L Shape Wall [Phase_1]</v>
      </c>
      <c r="H43" t="str">
        <v>2. Install Kingpost [Phase_2]</v>
      </c>
      <c r="I43" t="str">
        <v>3. Cast L Shape wall, backfill and traffic divert [Phase_3]</v>
      </c>
      <c r="J43" t="str">
        <v>4. Cut down to +20mSHD [Phase_4]</v>
      </c>
      <c r="K43" t="str">
        <v>5. Install RHS DWall [Phase_5]</v>
      </c>
      <c r="L43" t="str">
        <v>6. Cut slope for LHS DWall [Phase_6]</v>
      </c>
      <c r="M43" t="str">
        <v>7. Install LHS DWalls &amp; Backfill behind DWall, Surcharge [Phase_7]</v>
      </c>
      <c r="N43" t="str">
        <v>8. Exc for S1 [Phase_8]</v>
      </c>
      <c r="O43" t="str">
        <v>9. Install S1 (PL=50) [Phase_9]</v>
      </c>
      <c r="P43" t="str">
        <v>10. Exc for S2 [Phase_10]</v>
      </c>
      <c r="Q43" t="str">
        <v>11. Install S2 (PL=100) [Phase_11]</v>
      </c>
      <c r="R43" t="str">
        <v>12. Exc for Roof [Phase_12]</v>
      </c>
      <c r="S43" t="str">
        <v>13. Cast Roof Slab [Phase_13]</v>
      </c>
      <c r="T43" t="str">
        <v>14. Exc for B1 [Phase_14]</v>
      </c>
      <c r="U43" t="str">
        <v>15. Cast B1 Slab [Phase_15]</v>
      </c>
      <c r="V43" t="str">
        <v>16. Exc for B2 [Phase_16]</v>
      </c>
      <c r="W43" t="str">
        <v>17. Cast B2 Slab [Phase_17]</v>
      </c>
      <c r="X43" t="str">
        <v>18. Exc for S3 [Phase_18]</v>
      </c>
      <c r="Y43" t="str">
        <v>19. Install S3 (PL=550) [Phase_19]</v>
      </c>
      <c r="Z43" t="str">
        <v>20. Exc for FEL [Phase_20]</v>
      </c>
      <c r="AA43" t="str">
        <v>21. Cast Base Slab [Phase_21]</v>
      </c>
      <c r="AB43" t="str">
        <v>22. Remove S3 [Phase_22]</v>
      </c>
      <c r="AC43" t="str">
        <v>23. Case RC  Wal [Phase_23]</v>
      </c>
      <c r="AD43" t="str">
        <v>24. Remove Kingpost and Backfill [Phase_24]</v>
      </c>
      <c r="AE43" t="str">
        <v>25. Backfill up to 1m below S2 [Phase_25]</v>
      </c>
      <c r="AF43" t="str">
        <v>26.Remove S2 [Phase_26]</v>
      </c>
      <c r="AG43" t="str">
        <v>27. Backfill upto 1m below S1 [Phase_27]</v>
      </c>
      <c r="AH43" t="str">
        <v>28. Remove S1 [Phase_28]</v>
      </c>
      <c r="AI43" t="str">
        <v>29. Backfill to final level [Phase_29]</v>
      </c>
      <c r="AJ43" t="str">
        <v>30. Divert Traffic and Demolish Temp Structure [Phase_37]</v>
      </c>
      <c r="AK43" t="str">
        <v>4.OSF_ S3 Fails [Phase_35]</v>
      </c>
      <c r="AL43" t="str">
        <v>5.OSF_ S2 Fails [Phase_36]</v>
      </c>
      <c r="AM43" t="str">
        <v>2.OSF_ S2 Fails [Phase_33]</v>
      </c>
      <c r="AN43" t="str">
        <v>3.OSF_ S1 Fails [Phase_34]</v>
      </c>
      <c r="AO43" t="str">
        <v>1.OSF _ Install S1 [Phase_30]</v>
      </c>
      <c r="AP43" t="str">
        <v>1.OSF_ Exc for S2 [Phase_31]</v>
      </c>
      <c r="AQ43" t="str">
        <v>1.OSF_ S1 Fails [Phase_32]</v>
      </c>
    </row>
    <row r="44" spans="1:43" x14ac:dyDescent="0.25">
      <c r="A44" t="str">
        <v>CR113_N_Case2_ULS1_1.0EI_Hyd_a03BP1.0m</v>
      </c>
      <c r="B44" t="str">
        <v>3. Cast L Shape wall, backfill and traffic divert [Phase_3]</v>
      </c>
      <c r="D44">
        <v>44</v>
      </c>
      <c r="E44" t="str">
        <v>CR113_N_Case5,8_SLS_0.7EI_SpG_a03BP1.0m</v>
      </c>
      <c r="F44" t="str" cm="1">
        <f t="array" ref="F44:AQ44">TRANSPOSE(_xlfn._xlws.FILTER(_xlfn.ANCHORARRAY($B$2),_xlfn.ANCHORARRAY($A$2)=$E44))</f>
        <v>Initial phase [InitialPhase]</v>
      </c>
      <c r="G44" t="str">
        <v>1. Cut Slope for L Shape Wall [Phase_1]</v>
      </c>
      <c r="H44" t="str">
        <v>2. Install Kingpost [Phase_2]</v>
      </c>
      <c r="I44" t="str">
        <v>3. Cast L Shape wall, backfill and traffic divert [Phase_3]</v>
      </c>
      <c r="J44" t="str">
        <v>4. Cut down to +20mSHD [Phase_4]</v>
      </c>
      <c r="K44" t="str">
        <v>5. Install RHS DWall [Phase_5]</v>
      </c>
      <c r="L44" t="str">
        <v>6. Cut slope for LHS DWall [Phase_6]</v>
      </c>
      <c r="M44" t="str">
        <v>7. Install LHS DWalls &amp; Backfill behind DWall, Surcharge [Phase_7]</v>
      </c>
      <c r="N44" t="str">
        <v>8. Exc for S1 [Phase_8]</v>
      </c>
      <c r="O44" t="str">
        <v>9. Install S1 (PL=50) [Phase_9]</v>
      </c>
      <c r="P44" t="str">
        <v>10. Exc for S2 [Phase_10]</v>
      </c>
      <c r="Q44" t="str">
        <v>11. Install S2 (PL=100) [Phase_11]</v>
      </c>
      <c r="R44" t="str">
        <v>12. Exc for Roof [Phase_12]</v>
      </c>
      <c r="S44" t="str">
        <v>13. Cast Roof Slab [Phase_13]</v>
      </c>
      <c r="T44" t="str">
        <v>14. Exc for B1 [Phase_14]</v>
      </c>
      <c r="U44" t="str">
        <v>15. Cast B1 Slab [Phase_15]</v>
      </c>
      <c r="V44" t="str">
        <v>16. Exc for B2 [Phase_16]</v>
      </c>
      <c r="W44" t="str">
        <v>17. Cast B2 Slab [Phase_17]</v>
      </c>
      <c r="X44" t="str">
        <v>18. Exc for S3 [Phase_18]</v>
      </c>
      <c r="Y44" t="str">
        <v>19. Install S3 (PL=550) [Phase_19]</v>
      </c>
      <c r="Z44" t="str">
        <v>20. Exc for FEL [Phase_20]</v>
      </c>
      <c r="AA44" t="str">
        <v>21. Cast Base Slab [Phase_21]</v>
      </c>
      <c r="AB44" t="str">
        <v>22. Remove S3 [Phase_22]</v>
      </c>
      <c r="AC44" t="str">
        <v>23. Case RC  Wal [Phase_23]</v>
      </c>
      <c r="AD44" t="str">
        <v>24. Remove Kingpost and Backfill [Phase_24]</v>
      </c>
      <c r="AE44" t="str">
        <v>25. Backfill up to 1m below S2 [Phase_25]</v>
      </c>
      <c r="AF44" t="str">
        <v>26.Remove S2 [Phase_26]</v>
      </c>
      <c r="AG44" t="str">
        <v>27. Backfill upto 1m below S1 [Phase_27]</v>
      </c>
      <c r="AH44" t="str">
        <v>28. Remove S1 [Phase_28]</v>
      </c>
      <c r="AI44" t="str">
        <v>29. Backfill to final level [Phase_29]</v>
      </c>
      <c r="AJ44" t="str">
        <v>30. Divert Traffic and Demolish Temp Structure [Phase_37]</v>
      </c>
      <c r="AK44" t="str">
        <v>4.OSF_ S3 Fails [Phase_35]</v>
      </c>
      <c r="AL44" t="str">
        <v>5.OSF_ S2 Fails [Phase_36]</v>
      </c>
      <c r="AM44" t="str">
        <v>2.OSF_ S2 Fails [Phase_33]</v>
      </c>
      <c r="AN44" t="str">
        <v>3.OSF_ S1 Fails [Phase_34]</v>
      </c>
      <c r="AO44" t="str">
        <v>1.OSF _ Install S1 [Phase_30]</v>
      </c>
      <c r="AP44" t="str">
        <v>1.OSF_ Exc for S2 [Phase_31]</v>
      </c>
      <c r="AQ44" t="str">
        <v>1.OSF_ S1 Fails [Phase_32]</v>
      </c>
    </row>
    <row r="45" spans="1:43" x14ac:dyDescent="0.25">
      <c r="A45" t="str">
        <v>CR113_N_Case2_ULS1_1.0EI_Hyd_a03BP1.0m</v>
      </c>
      <c r="B45" t="str">
        <v>4. Cut down to +20mSHD [Phase_4]</v>
      </c>
      <c r="D45">
        <v>45</v>
      </c>
      <c r="E45" t="str">
        <v>CR113_N_Case5,8_SLS_0.7EI_SpG_a03BP1.0m</v>
      </c>
      <c r="F45" t="str" cm="1">
        <f t="array" ref="F45:AQ45">TRANSPOSE(_xlfn._xlws.FILTER(_xlfn.ANCHORARRAY($B$2),_xlfn.ANCHORARRAY($A$2)=$E45))</f>
        <v>Initial phase [InitialPhase]</v>
      </c>
      <c r="G45" t="str">
        <v>1. Cut Slope for L Shape Wall [Phase_1]</v>
      </c>
      <c r="H45" t="str">
        <v>2. Install Kingpost [Phase_2]</v>
      </c>
      <c r="I45" t="str">
        <v>3. Cast L Shape wall, backfill and traffic divert [Phase_3]</v>
      </c>
      <c r="J45" t="str">
        <v>4. Cut down to +20mSHD [Phase_4]</v>
      </c>
      <c r="K45" t="str">
        <v>5. Install RHS DWall [Phase_5]</v>
      </c>
      <c r="L45" t="str">
        <v>6. Cut slope for LHS DWall [Phase_6]</v>
      </c>
      <c r="M45" t="str">
        <v>7. Install LHS DWalls &amp; Backfill behind DWall, Surcharge [Phase_7]</v>
      </c>
      <c r="N45" t="str">
        <v>8. Exc for S1 [Phase_8]</v>
      </c>
      <c r="O45" t="str">
        <v>9. Install S1 (PL=50) [Phase_9]</v>
      </c>
      <c r="P45" t="str">
        <v>10. Exc for S2 [Phase_10]</v>
      </c>
      <c r="Q45" t="str">
        <v>11. Install S2 (PL=100) [Phase_11]</v>
      </c>
      <c r="R45" t="str">
        <v>12. Exc for Roof [Phase_12]</v>
      </c>
      <c r="S45" t="str">
        <v>13. Cast Roof Slab [Phase_13]</v>
      </c>
      <c r="T45" t="str">
        <v>14. Exc for B1 [Phase_14]</v>
      </c>
      <c r="U45" t="str">
        <v>15. Cast B1 Slab [Phase_15]</v>
      </c>
      <c r="V45" t="str">
        <v>16. Exc for B2 [Phase_16]</v>
      </c>
      <c r="W45" t="str">
        <v>17. Cast B2 Slab [Phase_17]</v>
      </c>
      <c r="X45" t="str">
        <v>18. Exc for S3 [Phase_18]</v>
      </c>
      <c r="Y45" t="str">
        <v>19. Install S3 (PL=550) [Phase_19]</v>
      </c>
      <c r="Z45" t="str">
        <v>20. Exc for FEL [Phase_20]</v>
      </c>
      <c r="AA45" t="str">
        <v>21. Cast Base Slab [Phase_21]</v>
      </c>
      <c r="AB45" t="str">
        <v>22. Remove S3 [Phase_22]</v>
      </c>
      <c r="AC45" t="str">
        <v>23. Case RC  Wal [Phase_23]</v>
      </c>
      <c r="AD45" t="str">
        <v>24. Remove Kingpost and Backfill [Phase_24]</v>
      </c>
      <c r="AE45" t="str">
        <v>25. Backfill up to 1m below S2 [Phase_25]</v>
      </c>
      <c r="AF45" t="str">
        <v>26.Remove S2 [Phase_26]</v>
      </c>
      <c r="AG45" t="str">
        <v>27. Backfill upto 1m below S1 [Phase_27]</v>
      </c>
      <c r="AH45" t="str">
        <v>28. Remove S1 [Phase_28]</v>
      </c>
      <c r="AI45" t="str">
        <v>29. Backfill to final level [Phase_29]</v>
      </c>
      <c r="AJ45" t="str">
        <v>30. Divert Traffic and Demolish Temp Structure [Phase_37]</v>
      </c>
      <c r="AK45" t="str">
        <v>4.OSF_ S3 Fails [Phase_35]</v>
      </c>
      <c r="AL45" t="str">
        <v>5.OSF_ S2 Fails [Phase_36]</v>
      </c>
      <c r="AM45" t="str">
        <v>2.OSF_ S2 Fails [Phase_33]</v>
      </c>
      <c r="AN45" t="str">
        <v>3.OSF_ S1 Fails [Phase_34]</v>
      </c>
      <c r="AO45" t="str">
        <v>1.OSF _ Install S1 [Phase_30]</v>
      </c>
      <c r="AP45" t="str">
        <v>1.OSF_ Exc for S2 [Phase_31]</v>
      </c>
      <c r="AQ45" t="str">
        <v>1.OSF_ S1 Fails [Phase_32]</v>
      </c>
    </row>
    <row r="46" spans="1:43" x14ac:dyDescent="0.25">
      <c r="A46" t="str">
        <v>CR113_N_Case2_ULS1_1.0EI_Hyd_a03BP1.0m</v>
      </c>
      <c r="B46" t="str">
        <v>5. Install RHS DWall [Phase_5]</v>
      </c>
      <c r="D46">
        <v>46</v>
      </c>
      <c r="E46" t="str">
        <v>CR113_N_Case5,8_SLS_0.7EI_SpG_a03BP1.0m</v>
      </c>
      <c r="F46" t="str" cm="1">
        <f t="array" ref="F46:AQ46">TRANSPOSE(_xlfn._xlws.FILTER(_xlfn.ANCHORARRAY($B$2),_xlfn.ANCHORARRAY($A$2)=$E46))</f>
        <v>Initial phase [InitialPhase]</v>
      </c>
      <c r="G46" t="str">
        <v>1. Cut Slope for L Shape Wall [Phase_1]</v>
      </c>
      <c r="H46" t="str">
        <v>2. Install Kingpost [Phase_2]</v>
      </c>
      <c r="I46" t="str">
        <v>3. Cast L Shape wall, backfill and traffic divert [Phase_3]</v>
      </c>
      <c r="J46" t="str">
        <v>4. Cut down to +20mSHD [Phase_4]</v>
      </c>
      <c r="K46" t="str">
        <v>5. Install RHS DWall [Phase_5]</v>
      </c>
      <c r="L46" t="str">
        <v>6. Cut slope for LHS DWall [Phase_6]</v>
      </c>
      <c r="M46" t="str">
        <v>7. Install LHS DWalls &amp; Backfill behind DWall, Surcharge [Phase_7]</v>
      </c>
      <c r="N46" t="str">
        <v>8. Exc for S1 [Phase_8]</v>
      </c>
      <c r="O46" t="str">
        <v>9. Install S1 (PL=50) [Phase_9]</v>
      </c>
      <c r="P46" t="str">
        <v>10. Exc for S2 [Phase_10]</v>
      </c>
      <c r="Q46" t="str">
        <v>11. Install S2 (PL=100) [Phase_11]</v>
      </c>
      <c r="R46" t="str">
        <v>12. Exc for Roof [Phase_12]</v>
      </c>
      <c r="S46" t="str">
        <v>13. Cast Roof Slab [Phase_13]</v>
      </c>
      <c r="T46" t="str">
        <v>14. Exc for B1 [Phase_14]</v>
      </c>
      <c r="U46" t="str">
        <v>15. Cast B1 Slab [Phase_15]</v>
      </c>
      <c r="V46" t="str">
        <v>16. Exc for B2 [Phase_16]</v>
      </c>
      <c r="W46" t="str">
        <v>17. Cast B2 Slab [Phase_17]</v>
      </c>
      <c r="X46" t="str">
        <v>18. Exc for S3 [Phase_18]</v>
      </c>
      <c r="Y46" t="str">
        <v>19. Install S3 (PL=550) [Phase_19]</v>
      </c>
      <c r="Z46" t="str">
        <v>20. Exc for FEL [Phase_20]</v>
      </c>
      <c r="AA46" t="str">
        <v>21. Cast Base Slab [Phase_21]</v>
      </c>
      <c r="AB46" t="str">
        <v>22. Remove S3 [Phase_22]</v>
      </c>
      <c r="AC46" t="str">
        <v>23. Case RC  Wal [Phase_23]</v>
      </c>
      <c r="AD46" t="str">
        <v>24. Remove Kingpost and Backfill [Phase_24]</v>
      </c>
      <c r="AE46" t="str">
        <v>25. Backfill up to 1m below S2 [Phase_25]</v>
      </c>
      <c r="AF46" t="str">
        <v>26.Remove S2 [Phase_26]</v>
      </c>
      <c r="AG46" t="str">
        <v>27. Backfill upto 1m below S1 [Phase_27]</v>
      </c>
      <c r="AH46" t="str">
        <v>28. Remove S1 [Phase_28]</v>
      </c>
      <c r="AI46" t="str">
        <v>29. Backfill to final level [Phase_29]</v>
      </c>
      <c r="AJ46" t="str">
        <v>30. Divert Traffic and Demolish Temp Structure [Phase_37]</v>
      </c>
      <c r="AK46" t="str">
        <v>4.OSF_ S3 Fails [Phase_35]</v>
      </c>
      <c r="AL46" t="str">
        <v>5.OSF_ S2 Fails [Phase_36]</v>
      </c>
      <c r="AM46" t="str">
        <v>2.OSF_ S2 Fails [Phase_33]</v>
      </c>
      <c r="AN46" t="str">
        <v>3.OSF_ S1 Fails [Phase_34]</v>
      </c>
      <c r="AO46" t="str">
        <v>1.OSF _ Install S1 [Phase_30]</v>
      </c>
      <c r="AP46" t="str">
        <v>1.OSF_ Exc for S2 [Phase_31]</v>
      </c>
      <c r="AQ46" t="str">
        <v>1.OSF_ S1 Fails [Phase_32]</v>
      </c>
    </row>
    <row r="47" spans="1:43" x14ac:dyDescent="0.25">
      <c r="A47" t="str">
        <v>CR113_N_Case2_ULS1_1.0EI_Hyd_a03BP1.0m</v>
      </c>
      <c r="B47" t="str">
        <v>6. Cut slope for LHS DWall [Phase_6]</v>
      </c>
      <c r="D47">
        <v>47</v>
      </c>
      <c r="E47" t="str">
        <v>CR113_N_Case5,8_SLS_0.7EI_SpG_a03BP1.0m</v>
      </c>
      <c r="F47" t="str" cm="1">
        <f t="array" ref="F47:AQ47">TRANSPOSE(_xlfn._xlws.FILTER(_xlfn.ANCHORARRAY($B$2),_xlfn.ANCHORARRAY($A$2)=$E47))</f>
        <v>Initial phase [InitialPhase]</v>
      </c>
      <c r="G47" t="str">
        <v>1. Cut Slope for L Shape Wall [Phase_1]</v>
      </c>
      <c r="H47" t="str">
        <v>2. Install Kingpost [Phase_2]</v>
      </c>
      <c r="I47" t="str">
        <v>3. Cast L Shape wall, backfill and traffic divert [Phase_3]</v>
      </c>
      <c r="J47" t="str">
        <v>4. Cut down to +20mSHD [Phase_4]</v>
      </c>
      <c r="K47" t="str">
        <v>5. Install RHS DWall [Phase_5]</v>
      </c>
      <c r="L47" t="str">
        <v>6. Cut slope for LHS DWall [Phase_6]</v>
      </c>
      <c r="M47" t="str">
        <v>7. Install LHS DWalls &amp; Backfill behind DWall, Surcharge [Phase_7]</v>
      </c>
      <c r="N47" t="str">
        <v>8. Exc for S1 [Phase_8]</v>
      </c>
      <c r="O47" t="str">
        <v>9. Install S1 (PL=50) [Phase_9]</v>
      </c>
      <c r="P47" t="str">
        <v>10. Exc for S2 [Phase_10]</v>
      </c>
      <c r="Q47" t="str">
        <v>11. Install S2 (PL=100) [Phase_11]</v>
      </c>
      <c r="R47" t="str">
        <v>12. Exc for Roof [Phase_12]</v>
      </c>
      <c r="S47" t="str">
        <v>13. Cast Roof Slab [Phase_13]</v>
      </c>
      <c r="T47" t="str">
        <v>14. Exc for B1 [Phase_14]</v>
      </c>
      <c r="U47" t="str">
        <v>15. Cast B1 Slab [Phase_15]</v>
      </c>
      <c r="V47" t="str">
        <v>16. Exc for B2 [Phase_16]</v>
      </c>
      <c r="W47" t="str">
        <v>17. Cast B2 Slab [Phase_17]</v>
      </c>
      <c r="X47" t="str">
        <v>18. Exc for S3 [Phase_18]</v>
      </c>
      <c r="Y47" t="str">
        <v>19. Install S3 (PL=550) [Phase_19]</v>
      </c>
      <c r="Z47" t="str">
        <v>20. Exc for FEL [Phase_20]</v>
      </c>
      <c r="AA47" t="str">
        <v>21. Cast Base Slab [Phase_21]</v>
      </c>
      <c r="AB47" t="str">
        <v>22. Remove S3 [Phase_22]</v>
      </c>
      <c r="AC47" t="str">
        <v>23. Case RC  Wal [Phase_23]</v>
      </c>
      <c r="AD47" t="str">
        <v>24. Remove Kingpost and Backfill [Phase_24]</v>
      </c>
      <c r="AE47" t="str">
        <v>25. Backfill up to 1m below S2 [Phase_25]</v>
      </c>
      <c r="AF47" t="str">
        <v>26.Remove S2 [Phase_26]</v>
      </c>
      <c r="AG47" t="str">
        <v>27. Backfill upto 1m below S1 [Phase_27]</v>
      </c>
      <c r="AH47" t="str">
        <v>28. Remove S1 [Phase_28]</v>
      </c>
      <c r="AI47" t="str">
        <v>29. Backfill to final level [Phase_29]</v>
      </c>
      <c r="AJ47" t="str">
        <v>30. Divert Traffic and Demolish Temp Structure [Phase_37]</v>
      </c>
      <c r="AK47" t="str">
        <v>4.OSF_ S3 Fails [Phase_35]</v>
      </c>
      <c r="AL47" t="str">
        <v>5.OSF_ S2 Fails [Phase_36]</v>
      </c>
      <c r="AM47" t="str">
        <v>2.OSF_ S2 Fails [Phase_33]</v>
      </c>
      <c r="AN47" t="str">
        <v>3.OSF_ S1 Fails [Phase_34]</v>
      </c>
      <c r="AO47" t="str">
        <v>1.OSF _ Install S1 [Phase_30]</v>
      </c>
      <c r="AP47" t="str">
        <v>1.OSF_ Exc for S2 [Phase_31]</v>
      </c>
      <c r="AQ47" t="str">
        <v>1.OSF_ S1 Fails [Phase_32]</v>
      </c>
    </row>
    <row r="48" spans="1:43" x14ac:dyDescent="0.25">
      <c r="A48" t="str">
        <v>CR113_N_Case2_ULS1_1.0EI_Hyd_a03BP1.0m</v>
      </c>
      <c r="B48" t="str">
        <v>7. Install LHS DWalls &amp; Backfill behind DWall, Surcharge [Phase_7]</v>
      </c>
      <c r="D48">
        <v>48</v>
      </c>
      <c r="E48" t="str">
        <v>CR113_N_Case5,8_SLS_0.7EI_SpG_a03BP1.0m</v>
      </c>
      <c r="F48" t="str" cm="1">
        <f t="array" ref="F48:AQ48">TRANSPOSE(_xlfn._xlws.FILTER(_xlfn.ANCHORARRAY($B$2),_xlfn.ANCHORARRAY($A$2)=$E48))</f>
        <v>Initial phase [InitialPhase]</v>
      </c>
      <c r="G48" t="str">
        <v>1. Cut Slope for L Shape Wall [Phase_1]</v>
      </c>
      <c r="H48" t="str">
        <v>2. Install Kingpost [Phase_2]</v>
      </c>
      <c r="I48" t="str">
        <v>3. Cast L Shape wall, backfill and traffic divert [Phase_3]</v>
      </c>
      <c r="J48" t="str">
        <v>4. Cut down to +20mSHD [Phase_4]</v>
      </c>
      <c r="K48" t="str">
        <v>5. Install RHS DWall [Phase_5]</v>
      </c>
      <c r="L48" t="str">
        <v>6. Cut slope for LHS DWall [Phase_6]</v>
      </c>
      <c r="M48" t="str">
        <v>7. Install LHS DWalls &amp; Backfill behind DWall, Surcharge [Phase_7]</v>
      </c>
      <c r="N48" t="str">
        <v>8. Exc for S1 [Phase_8]</v>
      </c>
      <c r="O48" t="str">
        <v>9. Install S1 (PL=50) [Phase_9]</v>
      </c>
      <c r="P48" t="str">
        <v>10. Exc for S2 [Phase_10]</v>
      </c>
      <c r="Q48" t="str">
        <v>11. Install S2 (PL=100) [Phase_11]</v>
      </c>
      <c r="R48" t="str">
        <v>12. Exc for Roof [Phase_12]</v>
      </c>
      <c r="S48" t="str">
        <v>13. Cast Roof Slab [Phase_13]</v>
      </c>
      <c r="T48" t="str">
        <v>14. Exc for B1 [Phase_14]</v>
      </c>
      <c r="U48" t="str">
        <v>15. Cast B1 Slab [Phase_15]</v>
      </c>
      <c r="V48" t="str">
        <v>16. Exc for B2 [Phase_16]</v>
      </c>
      <c r="W48" t="str">
        <v>17. Cast B2 Slab [Phase_17]</v>
      </c>
      <c r="X48" t="str">
        <v>18. Exc for S3 [Phase_18]</v>
      </c>
      <c r="Y48" t="str">
        <v>19. Install S3 (PL=550) [Phase_19]</v>
      </c>
      <c r="Z48" t="str">
        <v>20. Exc for FEL [Phase_20]</v>
      </c>
      <c r="AA48" t="str">
        <v>21. Cast Base Slab [Phase_21]</v>
      </c>
      <c r="AB48" t="str">
        <v>22. Remove S3 [Phase_22]</v>
      </c>
      <c r="AC48" t="str">
        <v>23. Case RC  Wal [Phase_23]</v>
      </c>
      <c r="AD48" t="str">
        <v>24. Remove Kingpost and Backfill [Phase_24]</v>
      </c>
      <c r="AE48" t="str">
        <v>25. Backfill up to 1m below S2 [Phase_25]</v>
      </c>
      <c r="AF48" t="str">
        <v>26.Remove S2 [Phase_26]</v>
      </c>
      <c r="AG48" t="str">
        <v>27. Backfill upto 1m below S1 [Phase_27]</v>
      </c>
      <c r="AH48" t="str">
        <v>28. Remove S1 [Phase_28]</v>
      </c>
      <c r="AI48" t="str">
        <v>29. Backfill to final level [Phase_29]</v>
      </c>
      <c r="AJ48" t="str">
        <v>30. Divert Traffic and Demolish Temp Structure [Phase_37]</v>
      </c>
      <c r="AK48" t="str">
        <v>4.OSF_ S3 Fails [Phase_35]</v>
      </c>
      <c r="AL48" t="str">
        <v>5.OSF_ S2 Fails [Phase_36]</v>
      </c>
      <c r="AM48" t="str">
        <v>2.OSF_ S2 Fails [Phase_33]</v>
      </c>
      <c r="AN48" t="str">
        <v>3.OSF_ S1 Fails [Phase_34]</v>
      </c>
      <c r="AO48" t="str">
        <v>1.OSF _ Install S1 [Phase_30]</v>
      </c>
      <c r="AP48" t="str">
        <v>1.OSF_ Exc for S2 [Phase_31]</v>
      </c>
      <c r="AQ48" t="str">
        <v>1.OSF_ S1 Fails [Phase_32]</v>
      </c>
    </row>
    <row r="49" spans="1:43" x14ac:dyDescent="0.25">
      <c r="A49" t="str">
        <v>CR113_N_Case2_ULS1_1.0EI_Hyd_a03BP1.0m</v>
      </c>
      <c r="B49" t="str">
        <v>8. Exc for S1 [Phase_8]</v>
      </c>
      <c r="D49">
        <v>49</v>
      </c>
      <c r="E49" t="str">
        <v>CR113_N_Case5,8_SLS_0.7EI_SpG_a03BP1.0m</v>
      </c>
      <c r="F49" t="str" cm="1">
        <f t="array" ref="F49:AQ49">TRANSPOSE(_xlfn._xlws.FILTER(_xlfn.ANCHORARRAY($B$2),_xlfn.ANCHORARRAY($A$2)=$E49))</f>
        <v>Initial phase [InitialPhase]</v>
      </c>
      <c r="G49" t="str">
        <v>1. Cut Slope for L Shape Wall [Phase_1]</v>
      </c>
      <c r="H49" t="str">
        <v>2. Install Kingpost [Phase_2]</v>
      </c>
      <c r="I49" t="str">
        <v>3. Cast L Shape wall, backfill and traffic divert [Phase_3]</v>
      </c>
      <c r="J49" t="str">
        <v>4. Cut down to +20mSHD [Phase_4]</v>
      </c>
      <c r="K49" t="str">
        <v>5. Install RHS DWall [Phase_5]</v>
      </c>
      <c r="L49" t="str">
        <v>6. Cut slope for LHS DWall [Phase_6]</v>
      </c>
      <c r="M49" t="str">
        <v>7. Install LHS DWalls &amp; Backfill behind DWall, Surcharge [Phase_7]</v>
      </c>
      <c r="N49" t="str">
        <v>8. Exc for S1 [Phase_8]</v>
      </c>
      <c r="O49" t="str">
        <v>9. Install S1 (PL=50) [Phase_9]</v>
      </c>
      <c r="P49" t="str">
        <v>10. Exc for S2 [Phase_10]</v>
      </c>
      <c r="Q49" t="str">
        <v>11. Install S2 (PL=100) [Phase_11]</v>
      </c>
      <c r="R49" t="str">
        <v>12. Exc for Roof [Phase_12]</v>
      </c>
      <c r="S49" t="str">
        <v>13. Cast Roof Slab [Phase_13]</v>
      </c>
      <c r="T49" t="str">
        <v>14. Exc for B1 [Phase_14]</v>
      </c>
      <c r="U49" t="str">
        <v>15. Cast B1 Slab [Phase_15]</v>
      </c>
      <c r="V49" t="str">
        <v>16. Exc for B2 [Phase_16]</v>
      </c>
      <c r="W49" t="str">
        <v>17. Cast B2 Slab [Phase_17]</v>
      </c>
      <c r="X49" t="str">
        <v>18. Exc for S3 [Phase_18]</v>
      </c>
      <c r="Y49" t="str">
        <v>19. Install S3 (PL=550) [Phase_19]</v>
      </c>
      <c r="Z49" t="str">
        <v>20. Exc for FEL [Phase_20]</v>
      </c>
      <c r="AA49" t="str">
        <v>21. Cast Base Slab [Phase_21]</v>
      </c>
      <c r="AB49" t="str">
        <v>22. Remove S3 [Phase_22]</v>
      </c>
      <c r="AC49" t="str">
        <v>23. Case RC  Wal [Phase_23]</v>
      </c>
      <c r="AD49" t="str">
        <v>24. Remove Kingpost and Backfill [Phase_24]</v>
      </c>
      <c r="AE49" t="str">
        <v>25. Backfill up to 1m below S2 [Phase_25]</v>
      </c>
      <c r="AF49" t="str">
        <v>26.Remove S2 [Phase_26]</v>
      </c>
      <c r="AG49" t="str">
        <v>27. Backfill upto 1m below S1 [Phase_27]</v>
      </c>
      <c r="AH49" t="str">
        <v>28. Remove S1 [Phase_28]</v>
      </c>
      <c r="AI49" t="str">
        <v>29. Backfill to final level [Phase_29]</v>
      </c>
      <c r="AJ49" t="str">
        <v>30. Divert Traffic and Demolish Temp Structure [Phase_37]</v>
      </c>
      <c r="AK49" t="str">
        <v>4.OSF_ S3 Fails [Phase_35]</v>
      </c>
      <c r="AL49" t="str">
        <v>5.OSF_ S2 Fails [Phase_36]</v>
      </c>
      <c r="AM49" t="str">
        <v>2.OSF_ S2 Fails [Phase_33]</v>
      </c>
      <c r="AN49" t="str">
        <v>3.OSF_ S1 Fails [Phase_34]</v>
      </c>
      <c r="AO49" t="str">
        <v>1.OSF _ Install S1 [Phase_30]</v>
      </c>
      <c r="AP49" t="str">
        <v>1.OSF_ Exc for S2 [Phase_31]</v>
      </c>
      <c r="AQ49" t="str">
        <v>1.OSF_ S1 Fails [Phase_32]</v>
      </c>
    </row>
    <row r="50" spans="1:43" x14ac:dyDescent="0.25">
      <c r="A50" t="str">
        <v>CR113_N_Case2_ULS1_1.0EI_Hyd_a03BP1.0m</v>
      </c>
      <c r="B50" t="str">
        <v>9. Install S1 (PL=50) [Phase_9]</v>
      </c>
      <c r="D50">
        <v>50</v>
      </c>
      <c r="E50" t="str">
        <v>CR113_N_Case5,8_SLS_0.7EI_SpG_a03BP1.0m</v>
      </c>
      <c r="F50" t="str" cm="1">
        <f t="array" ref="F50:AQ50">TRANSPOSE(_xlfn._xlws.FILTER(_xlfn.ANCHORARRAY($B$2),_xlfn.ANCHORARRAY($A$2)=$E50))</f>
        <v>Initial phase [InitialPhase]</v>
      </c>
      <c r="G50" t="str">
        <v>1. Cut Slope for L Shape Wall [Phase_1]</v>
      </c>
      <c r="H50" t="str">
        <v>2. Install Kingpost [Phase_2]</v>
      </c>
      <c r="I50" t="str">
        <v>3. Cast L Shape wall, backfill and traffic divert [Phase_3]</v>
      </c>
      <c r="J50" t="str">
        <v>4. Cut down to +20mSHD [Phase_4]</v>
      </c>
      <c r="K50" t="str">
        <v>5. Install RHS DWall [Phase_5]</v>
      </c>
      <c r="L50" t="str">
        <v>6. Cut slope for LHS DWall [Phase_6]</v>
      </c>
      <c r="M50" t="str">
        <v>7. Install LHS DWalls &amp; Backfill behind DWall, Surcharge [Phase_7]</v>
      </c>
      <c r="N50" t="str">
        <v>8. Exc for S1 [Phase_8]</v>
      </c>
      <c r="O50" t="str">
        <v>9. Install S1 (PL=50) [Phase_9]</v>
      </c>
      <c r="P50" t="str">
        <v>10. Exc for S2 [Phase_10]</v>
      </c>
      <c r="Q50" t="str">
        <v>11. Install S2 (PL=100) [Phase_11]</v>
      </c>
      <c r="R50" t="str">
        <v>12. Exc for Roof [Phase_12]</v>
      </c>
      <c r="S50" t="str">
        <v>13. Cast Roof Slab [Phase_13]</v>
      </c>
      <c r="T50" t="str">
        <v>14. Exc for B1 [Phase_14]</v>
      </c>
      <c r="U50" t="str">
        <v>15. Cast B1 Slab [Phase_15]</v>
      </c>
      <c r="V50" t="str">
        <v>16. Exc for B2 [Phase_16]</v>
      </c>
      <c r="W50" t="str">
        <v>17. Cast B2 Slab [Phase_17]</v>
      </c>
      <c r="X50" t="str">
        <v>18. Exc for S3 [Phase_18]</v>
      </c>
      <c r="Y50" t="str">
        <v>19. Install S3 (PL=550) [Phase_19]</v>
      </c>
      <c r="Z50" t="str">
        <v>20. Exc for FEL [Phase_20]</v>
      </c>
      <c r="AA50" t="str">
        <v>21. Cast Base Slab [Phase_21]</v>
      </c>
      <c r="AB50" t="str">
        <v>22. Remove S3 [Phase_22]</v>
      </c>
      <c r="AC50" t="str">
        <v>23. Case RC  Wal [Phase_23]</v>
      </c>
      <c r="AD50" t="str">
        <v>24. Remove Kingpost and Backfill [Phase_24]</v>
      </c>
      <c r="AE50" t="str">
        <v>25. Backfill up to 1m below S2 [Phase_25]</v>
      </c>
      <c r="AF50" t="str">
        <v>26.Remove S2 [Phase_26]</v>
      </c>
      <c r="AG50" t="str">
        <v>27. Backfill upto 1m below S1 [Phase_27]</v>
      </c>
      <c r="AH50" t="str">
        <v>28. Remove S1 [Phase_28]</v>
      </c>
      <c r="AI50" t="str">
        <v>29. Backfill to final level [Phase_29]</v>
      </c>
      <c r="AJ50" t="str">
        <v>30. Divert Traffic and Demolish Temp Structure [Phase_37]</v>
      </c>
      <c r="AK50" t="str">
        <v>4.OSF_ S3 Fails [Phase_35]</v>
      </c>
      <c r="AL50" t="str">
        <v>5.OSF_ S2 Fails [Phase_36]</v>
      </c>
      <c r="AM50" t="str">
        <v>2.OSF_ S2 Fails [Phase_33]</v>
      </c>
      <c r="AN50" t="str">
        <v>3.OSF_ S1 Fails [Phase_34]</v>
      </c>
      <c r="AO50" t="str">
        <v>1.OSF _ Install S1 [Phase_30]</v>
      </c>
      <c r="AP50" t="str">
        <v>1.OSF_ Exc for S2 [Phase_31]</v>
      </c>
      <c r="AQ50" t="str">
        <v>1.OSF_ S1 Fails [Phase_32]</v>
      </c>
    </row>
    <row r="51" spans="1:43" x14ac:dyDescent="0.25">
      <c r="A51" t="str">
        <v>CR113_N_Case2_ULS1_1.0EI_Hyd_a03BP1.0m</v>
      </c>
      <c r="B51" t="str">
        <v>10. Exc for S2 [Phase_10]</v>
      </c>
      <c r="D51">
        <v>51</v>
      </c>
      <c r="E51" t="str">
        <v>CR113_N_Case5,8_SLS_0.7EI_SpG_a03BP1.0m</v>
      </c>
      <c r="F51" t="str" cm="1">
        <f t="array" ref="F51:AQ51">TRANSPOSE(_xlfn._xlws.FILTER(_xlfn.ANCHORARRAY($B$2),_xlfn.ANCHORARRAY($A$2)=$E51))</f>
        <v>Initial phase [InitialPhase]</v>
      </c>
      <c r="G51" t="str">
        <v>1. Cut Slope for L Shape Wall [Phase_1]</v>
      </c>
      <c r="H51" t="str">
        <v>2. Install Kingpost [Phase_2]</v>
      </c>
      <c r="I51" t="str">
        <v>3. Cast L Shape wall, backfill and traffic divert [Phase_3]</v>
      </c>
      <c r="J51" t="str">
        <v>4. Cut down to +20mSHD [Phase_4]</v>
      </c>
      <c r="K51" t="str">
        <v>5. Install RHS DWall [Phase_5]</v>
      </c>
      <c r="L51" t="str">
        <v>6. Cut slope for LHS DWall [Phase_6]</v>
      </c>
      <c r="M51" t="str">
        <v>7. Install LHS DWalls &amp; Backfill behind DWall, Surcharge [Phase_7]</v>
      </c>
      <c r="N51" t="str">
        <v>8. Exc for S1 [Phase_8]</v>
      </c>
      <c r="O51" t="str">
        <v>9. Install S1 (PL=50) [Phase_9]</v>
      </c>
      <c r="P51" t="str">
        <v>10. Exc for S2 [Phase_10]</v>
      </c>
      <c r="Q51" t="str">
        <v>11. Install S2 (PL=100) [Phase_11]</v>
      </c>
      <c r="R51" t="str">
        <v>12. Exc for Roof [Phase_12]</v>
      </c>
      <c r="S51" t="str">
        <v>13. Cast Roof Slab [Phase_13]</v>
      </c>
      <c r="T51" t="str">
        <v>14. Exc for B1 [Phase_14]</v>
      </c>
      <c r="U51" t="str">
        <v>15. Cast B1 Slab [Phase_15]</v>
      </c>
      <c r="V51" t="str">
        <v>16. Exc for B2 [Phase_16]</v>
      </c>
      <c r="W51" t="str">
        <v>17. Cast B2 Slab [Phase_17]</v>
      </c>
      <c r="X51" t="str">
        <v>18. Exc for S3 [Phase_18]</v>
      </c>
      <c r="Y51" t="str">
        <v>19. Install S3 (PL=550) [Phase_19]</v>
      </c>
      <c r="Z51" t="str">
        <v>20. Exc for FEL [Phase_20]</v>
      </c>
      <c r="AA51" t="str">
        <v>21. Cast Base Slab [Phase_21]</v>
      </c>
      <c r="AB51" t="str">
        <v>22. Remove S3 [Phase_22]</v>
      </c>
      <c r="AC51" t="str">
        <v>23. Case RC  Wal [Phase_23]</v>
      </c>
      <c r="AD51" t="str">
        <v>24. Remove Kingpost and Backfill [Phase_24]</v>
      </c>
      <c r="AE51" t="str">
        <v>25. Backfill up to 1m below S2 [Phase_25]</v>
      </c>
      <c r="AF51" t="str">
        <v>26.Remove S2 [Phase_26]</v>
      </c>
      <c r="AG51" t="str">
        <v>27. Backfill upto 1m below S1 [Phase_27]</v>
      </c>
      <c r="AH51" t="str">
        <v>28. Remove S1 [Phase_28]</v>
      </c>
      <c r="AI51" t="str">
        <v>29. Backfill to final level [Phase_29]</v>
      </c>
      <c r="AJ51" t="str">
        <v>30. Divert Traffic and Demolish Temp Structure [Phase_37]</v>
      </c>
      <c r="AK51" t="str">
        <v>4.OSF_ S3 Fails [Phase_35]</v>
      </c>
      <c r="AL51" t="str">
        <v>5.OSF_ S2 Fails [Phase_36]</v>
      </c>
      <c r="AM51" t="str">
        <v>2.OSF_ S2 Fails [Phase_33]</v>
      </c>
      <c r="AN51" t="str">
        <v>3.OSF_ S1 Fails [Phase_34]</v>
      </c>
      <c r="AO51" t="str">
        <v>1.OSF _ Install S1 [Phase_30]</v>
      </c>
      <c r="AP51" t="str">
        <v>1.OSF_ Exc for S2 [Phase_31]</v>
      </c>
      <c r="AQ51" t="str">
        <v>1.OSF_ S1 Fails [Phase_32]</v>
      </c>
    </row>
    <row r="52" spans="1:43" x14ac:dyDescent="0.25">
      <c r="A52" t="str">
        <v>CR113_N_Case2_ULS1_1.0EI_Hyd_a03BP1.0m</v>
      </c>
      <c r="B52" t="str">
        <v>11. Install S2 (PL=100) [Phase_11]</v>
      </c>
      <c r="D52">
        <v>52</v>
      </c>
      <c r="E52" t="str">
        <v>CR113_N_Case5,8_SLS_0.7EI_SpG_a03BP1.0m</v>
      </c>
      <c r="F52" t="str" cm="1">
        <f t="array" ref="F52:AQ52">TRANSPOSE(_xlfn._xlws.FILTER(_xlfn.ANCHORARRAY($B$2),_xlfn.ANCHORARRAY($A$2)=$E52))</f>
        <v>Initial phase [InitialPhase]</v>
      </c>
      <c r="G52" t="str">
        <v>1. Cut Slope for L Shape Wall [Phase_1]</v>
      </c>
      <c r="H52" t="str">
        <v>2. Install Kingpost [Phase_2]</v>
      </c>
      <c r="I52" t="str">
        <v>3. Cast L Shape wall, backfill and traffic divert [Phase_3]</v>
      </c>
      <c r="J52" t="str">
        <v>4. Cut down to +20mSHD [Phase_4]</v>
      </c>
      <c r="K52" t="str">
        <v>5. Install RHS DWall [Phase_5]</v>
      </c>
      <c r="L52" t="str">
        <v>6. Cut slope for LHS DWall [Phase_6]</v>
      </c>
      <c r="M52" t="str">
        <v>7. Install LHS DWalls &amp; Backfill behind DWall, Surcharge [Phase_7]</v>
      </c>
      <c r="N52" t="str">
        <v>8. Exc for S1 [Phase_8]</v>
      </c>
      <c r="O52" t="str">
        <v>9. Install S1 (PL=50) [Phase_9]</v>
      </c>
      <c r="P52" t="str">
        <v>10. Exc for S2 [Phase_10]</v>
      </c>
      <c r="Q52" t="str">
        <v>11. Install S2 (PL=100) [Phase_11]</v>
      </c>
      <c r="R52" t="str">
        <v>12. Exc for Roof [Phase_12]</v>
      </c>
      <c r="S52" t="str">
        <v>13. Cast Roof Slab [Phase_13]</v>
      </c>
      <c r="T52" t="str">
        <v>14. Exc for B1 [Phase_14]</v>
      </c>
      <c r="U52" t="str">
        <v>15. Cast B1 Slab [Phase_15]</v>
      </c>
      <c r="V52" t="str">
        <v>16. Exc for B2 [Phase_16]</v>
      </c>
      <c r="W52" t="str">
        <v>17. Cast B2 Slab [Phase_17]</v>
      </c>
      <c r="X52" t="str">
        <v>18. Exc for S3 [Phase_18]</v>
      </c>
      <c r="Y52" t="str">
        <v>19. Install S3 (PL=550) [Phase_19]</v>
      </c>
      <c r="Z52" t="str">
        <v>20. Exc for FEL [Phase_20]</v>
      </c>
      <c r="AA52" t="str">
        <v>21. Cast Base Slab [Phase_21]</v>
      </c>
      <c r="AB52" t="str">
        <v>22. Remove S3 [Phase_22]</v>
      </c>
      <c r="AC52" t="str">
        <v>23. Case RC  Wal [Phase_23]</v>
      </c>
      <c r="AD52" t="str">
        <v>24. Remove Kingpost and Backfill [Phase_24]</v>
      </c>
      <c r="AE52" t="str">
        <v>25. Backfill up to 1m below S2 [Phase_25]</v>
      </c>
      <c r="AF52" t="str">
        <v>26.Remove S2 [Phase_26]</v>
      </c>
      <c r="AG52" t="str">
        <v>27. Backfill upto 1m below S1 [Phase_27]</v>
      </c>
      <c r="AH52" t="str">
        <v>28. Remove S1 [Phase_28]</v>
      </c>
      <c r="AI52" t="str">
        <v>29. Backfill to final level [Phase_29]</v>
      </c>
      <c r="AJ52" t="str">
        <v>30. Divert Traffic and Demolish Temp Structure [Phase_37]</v>
      </c>
      <c r="AK52" t="str">
        <v>4.OSF_ S3 Fails [Phase_35]</v>
      </c>
      <c r="AL52" t="str">
        <v>5.OSF_ S2 Fails [Phase_36]</v>
      </c>
      <c r="AM52" t="str">
        <v>2.OSF_ S2 Fails [Phase_33]</v>
      </c>
      <c r="AN52" t="str">
        <v>3.OSF_ S1 Fails [Phase_34]</v>
      </c>
      <c r="AO52" t="str">
        <v>1.OSF _ Install S1 [Phase_30]</v>
      </c>
      <c r="AP52" t="str">
        <v>1.OSF_ Exc for S2 [Phase_31]</v>
      </c>
      <c r="AQ52" t="str">
        <v>1.OSF_ S1 Fails [Phase_32]</v>
      </c>
    </row>
    <row r="53" spans="1:43" x14ac:dyDescent="0.25">
      <c r="A53" t="str">
        <v>CR113_N_Case2_ULS1_1.0EI_Hyd_a03BP1.0m</v>
      </c>
      <c r="B53" t="str">
        <v>12. Exc for Roof [Phase_12]</v>
      </c>
      <c r="D53">
        <v>53</v>
      </c>
      <c r="E53" t="str">
        <v>CR113_N_Case5,8_SLS_0.7EI_SpG_a03BP1.0m</v>
      </c>
      <c r="F53" t="str" cm="1">
        <f t="array" ref="F53:AQ53">TRANSPOSE(_xlfn._xlws.FILTER(_xlfn.ANCHORARRAY($B$2),_xlfn.ANCHORARRAY($A$2)=$E53))</f>
        <v>Initial phase [InitialPhase]</v>
      </c>
      <c r="G53" t="str">
        <v>1. Cut Slope for L Shape Wall [Phase_1]</v>
      </c>
      <c r="H53" t="str">
        <v>2. Install Kingpost [Phase_2]</v>
      </c>
      <c r="I53" t="str">
        <v>3. Cast L Shape wall, backfill and traffic divert [Phase_3]</v>
      </c>
      <c r="J53" t="str">
        <v>4. Cut down to +20mSHD [Phase_4]</v>
      </c>
      <c r="K53" t="str">
        <v>5. Install RHS DWall [Phase_5]</v>
      </c>
      <c r="L53" t="str">
        <v>6. Cut slope for LHS DWall [Phase_6]</v>
      </c>
      <c r="M53" t="str">
        <v>7. Install LHS DWalls &amp; Backfill behind DWall, Surcharge [Phase_7]</v>
      </c>
      <c r="N53" t="str">
        <v>8. Exc for S1 [Phase_8]</v>
      </c>
      <c r="O53" t="str">
        <v>9. Install S1 (PL=50) [Phase_9]</v>
      </c>
      <c r="P53" t="str">
        <v>10. Exc for S2 [Phase_10]</v>
      </c>
      <c r="Q53" t="str">
        <v>11. Install S2 (PL=100) [Phase_11]</v>
      </c>
      <c r="R53" t="str">
        <v>12. Exc for Roof [Phase_12]</v>
      </c>
      <c r="S53" t="str">
        <v>13. Cast Roof Slab [Phase_13]</v>
      </c>
      <c r="T53" t="str">
        <v>14. Exc for B1 [Phase_14]</v>
      </c>
      <c r="U53" t="str">
        <v>15. Cast B1 Slab [Phase_15]</v>
      </c>
      <c r="V53" t="str">
        <v>16. Exc for B2 [Phase_16]</v>
      </c>
      <c r="W53" t="str">
        <v>17. Cast B2 Slab [Phase_17]</v>
      </c>
      <c r="X53" t="str">
        <v>18. Exc for S3 [Phase_18]</v>
      </c>
      <c r="Y53" t="str">
        <v>19. Install S3 (PL=550) [Phase_19]</v>
      </c>
      <c r="Z53" t="str">
        <v>20. Exc for FEL [Phase_20]</v>
      </c>
      <c r="AA53" t="str">
        <v>21. Cast Base Slab [Phase_21]</v>
      </c>
      <c r="AB53" t="str">
        <v>22. Remove S3 [Phase_22]</v>
      </c>
      <c r="AC53" t="str">
        <v>23. Case RC  Wal [Phase_23]</v>
      </c>
      <c r="AD53" t="str">
        <v>24. Remove Kingpost and Backfill [Phase_24]</v>
      </c>
      <c r="AE53" t="str">
        <v>25. Backfill up to 1m below S2 [Phase_25]</v>
      </c>
      <c r="AF53" t="str">
        <v>26.Remove S2 [Phase_26]</v>
      </c>
      <c r="AG53" t="str">
        <v>27. Backfill upto 1m below S1 [Phase_27]</v>
      </c>
      <c r="AH53" t="str">
        <v>28. Remove S1 [Phase_28]</v>
      </c>
      <c r="AI53" t="str">
        <v>29. Backfill to final level [Phase_29]</v>
      </c>
      <c r="AJ53" t="str">
        <v>30. Divert Traffic and Demolish Temp Structure [Phase_37]</v>
      </c>
      <c r="AK53" t="str">
        <v>4.OSF_ S3 Fails [Phase_35]</v>
      </c>
      <c r="AL53" t="str">
        <v>5.OSF_ S2 Fails [Phase_36]</v>
      </c>
      <c r="AM53" t="str">
        <v>2.OSF_ S2 Fails [Phase_33]</v>
      </c>
      <c r="AN53" t="str">
        <v>3.OSF_ S1 Fails [Phase_34]</v>
      </c>
      <c r="AO53" t="str">
        <v>1.OSF _ Install S1 [Phase_30]</v>
      </c>
      <c r="AP53" t="str">
        <v>1.OSF_ Exc for S2 [Phase_31]</v>
      </c>
      <c r="AQ53" t="str">
        <v>1.OSF_ S1 Fails [Phase_32]</v>
      </c>
    </row>
    <row r="54" spans="1:43" x14ac:dyDescent="0.25">
      <c r="A54" t="str">
        <v>CR113_N_Case2_ULS1_1.0EI_Hyd_a03BP1.0m</v>
      </c>
      <c r="B54" t="str">
        <v>13. Cast Roof Slab [Phase_13]</v>
      </c>
      <c r="D54">
        <v>54</v>
      </c>
      <c r="E54" t="str">
        <v>CR113_N_Case5,8_SLS_0.7EI_SpG_a03BP1.0m</v>
      </c>
      <c r="F54" t="str" cm="1">
        <f t="array" ref="F54:AQ54">TRANSPOSE(_xlfn._xlws.FILTER(_xlfn.ANCHORARRAY($B$2),_xlfn.ANCHORARRAY($A$2)=$E54))</f>
        <v>Initial phase [InitialPhase]</v>
      </c>
      <c r="G54" t="str">
        <v>1. Cut Slope for L Shape Wall [Phase_1]</v>
      </c>
      <c r="H54" t="str">
        <v>2. Install Kingpost [Phase_2]</v>
      </c>
      <c r="I54" t="str">
        <v>3. Cast L Shape wall, backfill and traffic divert [Phase_3]</v>
      </c>
      <c r="J54" t="str">
        <v>4. Cut down to +20mSHD [Phase_4]</v>
      </c>
      <c r="K54" t="str">
        <v>5. Install RHS DWall [Phase_5]</v>
      </c>
      <c r="L54" t="str">
        <v>6. Cut slope for LHS DWall [Phase_6]</v>
      </c>
      <c r="M54" t="str">
        <v>7. Install LHS DWalls &amp; Backfill behind DWall, Surcharge [Phase_7]</v>
      </c>
      <c r="N54" t="str">
        <v>8. Exc for S1 [Phase_8]</v>
      </c>
      <c r="O54" t="str">
        <v>9. Install S1 (PL=50) [Phase_9]</v>
      </c>
      <c r="P54" t="str">
        <v>10. Exc for S2 [Phase_10]</v>
      </c>
      <c r="Q54" t="str">
        <v>11. Install S2 (PL=100) [Phase_11]</v>
      </c>
      <c r="R54" t="str">
        <v>12. Exc for Roof [Phase_12]</v>
      </c>
      <c r="S54" t="str">
        <v>13. Cast Roof Slab [Phase_13]</v>
      </c>
      <c r="T54" t="str">
        <v>14. Exc for B1 [Phase_14]</v>
      </c>
      <c r="U54" t="str">
        <v>15. Cast B1 Slab [Phase_15]</v>
      </c>
      <c r="V54" t="str">
        <v>16. Exc for B2 [Phase_16]</v>
      </c>
      <c r="W54" t="str">
        <v>17. Cast B2 Slab [Phase_17]</v>
      </c>
      <c r="X54" t="str">
        <v>18. Exc for S3 [Phase_18]</v>
      </c>
      <c r="Y54" t="str">
        <v>19. Install S3 (PL=550) [Phase_19]</v>
      </c>
      <c r="Z54" t="str">
        <v>20. Exc for FEL [Phase_20]</v>
      </c>
      <c r="AA54" t="str">
        <v>21. Cast Base Slab [Phase_21]</v>
      </c>
      <c r="AB54" t="str">
        <v>22. Remove S3 [Phase_22]</v>
      </c>
      <c r="AC54" t="str">
        <v>23. Case RC  Wal [Phase_23]</v>
      </c>
      <c r="AD54" t="str">
        <v>24. Remove Kingpost and Backfill [Phase_24]</v>
      </c>
      <c r="AE54" t="str">
        <v>25. Backfill up to 1m below S2 [Phase_25]</v>
      </c>
      <c r="AF54" t="str">
        <v>26.Remove S2 [Phase_26]</v>
      </c>
      <c r="AG54" t="str">
        <v>27. Backfill upto 1m below S1 [Phase_27]</v>
      </c>
      <c r="AH54" t="str">
        <v>28. Remove S1 [Phase_28]</v>
      </c>
      <c r="AI54" t="str">
        <v>29. Backfill to final level [Phase_29]</v>
      </c>
      <c r="AJ54" t="str">
        <v>30. Divert Traffic and Demolish Temp Structure [Phase_37]</v>
      </c>
      <c r="AK54" t="str">
        <v>4.OSF_ S3 Fails [Phase_35]</v>
      </c>
      <c r="AL54" t="str">
        <v>5.OSF_ S2 Fails [Phase_36]</v>
      </c>
      <c r="AM54" t="str">
        <v>2.OSF_ S2 Fails [Phase_33]</v>
      </c>
      <c r="AN54" t="str">
        <v>3.OSF_ S1 Fails [Phase_34]</v>
      </c>
      <c r="AO54" t="str">
        <v>1.OSF _ Install S1 [Phase_30]</v>
      </c>
      <c r="AP54" t="str">
        <v>1.OSF_ Exc for S2 [Phase_31]</v>
      </c>
      <c r="AQ54" t="str">
        <v>1.OSF_ S1 Fails [Phase_32]</v>
      </c>
    </row>
    <row r="55" spans="1:43" x14ac:dyDescent="0.25">
      <c r="A55" t="str">
        <v>CR113_N_Case2_ULS1_1.0EI_Hyd_a03BP1.0m</v>
      </c>
      <c r="B55" t="str">
        <v>14. Exc for B1 [Phase_14]</v>
      </c>
      <c r="D55">
        <v>55</v>
      </c>
      <c r="E55" t="str">
        <v>CR113_N_Case5,8_SLS_0.7EI_SpG_a03BP1.0m</v>
      </c>
      <c r="F55" t="str" cm="1">
        <f t="array" ref="F55:AQ55">TRANSPOSE(_xlfn._xlws.FILTER(_xlfn.ANCHORARRAY($B$2),_xlfn.ANCHORARRAY($A$2)=$E55))</f>
        <v>Initial phase [InitialPhase]</v>
      </c>
      <c r="G55" t="str">
        <v>1. Cut Slope for L Shape Wall [Phase_1]</v>
      </c>
      <c r="H55" t="str">
        <v>2. Install Kingpost [Phase_2]</v>
      </c>
      <c r="I55" t="str">
        <v>3. Cast L Shape wall, backfill and traffic divert [Phase_3]</v>
      </c>
      <c r="J55" t="str">
        <v>4. Cut down to +20mSHD [Phase_4]</v>
      </c>
      <c r="K55" t="str">
        <v>5. Install RHS DWall [Phase_5]</v>
      </c>
      <c r="L55" t="str">
        <v>6. Cut slope for LHS DWall [Phase_6]</v>
      </c>
      <c r="M55" t="str">
        <v>7. Install LHS DWalls &amp; Backfill behind DWall, Surcharge [Phase_7]</v>
      </c>
      <c r="N55" t="str">
        <v>8. Exc for S1 [Phase_8]</v>
      </c>
      <c r="O55" t="str">
        <v>9. Install S1 (PL=50) [Phase_9]</v>
      </c>
      <c r="P55" t="str">
        <v>10. Exc for S2 [Phase_10]</v>
      </c>
      <c r="Q55" t="str">
        <v>11. Install S2 (PL=100) [Phase_11]</v>
      </c>
      <c r="R55" t="str">
        <v>12. Exc for Roof [Phase_12]</v>
      </c>
      <c r="S55" t="str">
        <v>13. Cast Roof Slab [Phase_13]</v>
      </c>
      <c r="T55" t="str">
        <v>14. Exc for B1 [Phase_14]</v>
      </c>
      <c r="U55" t="str">
        <v>15. Cast B1 Slab [Phase_15]</v>
      </c>
      <c r="V55" t="str">
        <v>16. Exc for B2 [Phase_16]</v>
      </c>
      <c r="W55" t="str">
        <v>17. Cast B2 Slab [Phase_17]</v>
      </c>
      <c r="X55" t="str">
        <v>18. Exc for S3 [Phase_18]</v>
      </c>
      <c r="Y55" t="str">
        <v>19. Install S3 (PL=550) [Phase_19]</v>
      </c>
      <c r="Z55" t="str">
        <v>20. Exc for FEL [Phase_20]</v>
      </c>
      <c r="AA55" t="str">
        <v>21. Cast Base Slab [Phase_21]</v>
      </c>
      <c r="AB55" t="str">
        <v>22. Remove S3 [Phase_22]</v>
      </c>
      <c r="AC55" t="str">
        <v>23. Case RC  Wal [Phase_23]</v>
      </c>
      <c r="AD55" t="str">
        <v>24. Remove Kingpost and Backfill [Phase_24]</v>
      </c>
      <c r="AE55" t="str">
        <v>25. Backfill up to 1m below S2 [Phase_25]</v>
      </c>
      <c r="AF55" t="str">
        <v>26.Remove S2 [Phase_26]</v>
      </c>
      <c r="AG55" t="str">
        <v>27. Backfill upto 1m below S1 [Phase_27]</v>
      </c>
      <c r="AH55" t="str">
        <v>28. Remove S1 [Phase_28]</v>
      </c>
      <c r="AI55" t="str">
        <v>29. Backfill to final level [Phase_29]</v>
      </c>
      <c r="AJ55" t="str">
        <v>30. Divert Traffic and Demolish Temp Structure [Phase_37]</v>
      </c>
      <c r="AK55" t="str">
        <v>4.OSF_ S3 Fails [Phase_35]</v>
      </c>
      <c r="AL55" t="str">
        <v>5.OSF_ S2 Fails [Phase_36]</v>
      </c>
      <c r="AM55" t="str">
        <v>2.OSF_ S2 Fails [Phase_33]</v>
      </c>
      <c r="AN55" t="str">
        <v>3.OSF_ S1 Fails [Phase_34]</v>
      </c>
      <c r="AO55" t="str">
        <v>1.OSF _ Install S1 [Phase_30]</v>
      </c>
      <c r="AP55" t="str">
        <v>1.OSF_ Exc for S2 [Phase_31]</v>
      </c>
      <c r="AQ55" t="str">
        <v>1.OSF_ S1 Fails [Phase_32]</v>
      </c>
    </row>
    <row r="56" spans="1:43" x14ac:dyDescent="0.25">
      <c r="A56" t="str">
        <v>CR113_N_Case2_ULS1_1.0EI_Hyd_a03BP1.0m</v>
      </c>
      <c r="B56" t="str">
        <v>15. Cast B1 Slab [Phase_15]</v>
      </c>
      <c r="D56">
        <v>56</v>
      </c>
      <c r="E56" t="str">
        <v>CR113_N_Case6,7_ULS1_1.0EI_SpG_a03BP1.0m</v>
      </c>
      <c r="F56" t="str" cm="1">
        <f t="array" ref="F56:AL56">TRANSPOSE(_xlfn._xlws.FILTER(_xlfn.ANCHORARRAY($B$2),_xlfn.ANCHORARRAY($A$2)=$E56))</f>
        <v>Initial phase [InitialPhase]</v>
      </c>
      <c r="G56" t="str">
        <v>1. Cut Slope for L Shape Wall [Phase_1]</v>
      </c>
      <c r="H56" t="str">
        <v>2. Install Kingpost [Phase_2]</v>
      </c>
      <c r="I56" t="str">
        <v>3. Cast L Shape wall, backfill and traffic divert [Phase_3]</v>
      </c>
      <c r="J56" t="str">
        <v>4. Cut down to +20mSHD [Phase_4]</v>
      </c>
      <c r="K56" t="str">
        <v>5. Install RHS DWall [Phase_5]</v>
      </c>
      <c r="L56" t="str">
        <v>6. Cut slope for LHS DWall [Phase_6]</v>
      </c>
      <c r="M56" t="str">
        <v>7. Install LHS DWalls &amp; Backfill behind DWall, Surcharge [Phase_7]</v>
      </c>
      <c r="N56" t="str">
        <v>8. Exc for S1 [Phase_8]</v>
      </c>
      <c r="O56" t="str">
        <v>9. Install S1 (PL=50) [Phase_9]</v>
      </c>
      <c r="P56" t="str">
        <v>10. Exc for S2 [Phase_10]</v>
      </c>
      <c r="Q56" t="str">
        <v>11. Install S2 (PL=100) [Phase_11]</v>
      </c>
      <c r="R56" t="str">
        <v>12. Exc for Roof [Phase_12]</v>
      </c>
      <c r="S56" t="str">
        <v>13. Cast Roof Slab [Phase_13]</v>
      </c>
      <c r="T56" t="str">
        <v>14. Exc for B1 [Phase_14]</v>
      </c>
      <c r="U56" t="str">
        <v>15. Cast B1 Slab [Phase_15]</v>
      </c>
      <c r="V56" t="str">
        <v>16. Exc for B2 [Phase_16]</v>
      </c>
      <c r="W56" t="str">
        <v>17. Cast B2 Slab [Phase_17]</v>
      </c>
      <c r="X56" t="str">
        <v>18. Exc for S3 [Phase_18]</v>
      </c>
      <c r="Y56" t="str">
        <v>19. Install S3 (PL=550) [Phase_19]</v>
      </c>
      <c r="Z56" t="str">
        <v>20. Exc for FEL [Phase_20]</v>
      </c>
      <c r="AA56" t="str">
        <v>21. Cast Base Slab [Phase_21]</v>
      </c>
      <c r="AB56" t="str">
        <v>22. Remove S3 [Phase_22]</v>
      </c>
      <c r="AC56" t="str">
        <v>23. Case RC  Wal [Phase_23]</v>
      </c>
      <c r="AD56" t="str">
        <v>24. Remove Kingpost and Backfill [Phase_24]</v>
      </c>
      <c r="AE56" t="str">
        <v>25. Backfill up to 1m below S2 [Phase_25]</v>
      </c>
      <c r="AF56" t="str">
        <v>26.Remove S2 [Phase_26]</v>
      </c>
      <c r="AG56" t="str">
        <v>27. Backfill upto 1m below S1 [Phase_27]</v>
      </c>
      <c r="AH56" t="str">
        <v>28. Remove S1 [Phase_28]</v>
      </c>
      <c r="AI56" t="str">
        <v>29. Backfill to final level [Phase_29]</v>
      </c>
      <c r="AJ56" t="str">
        <v>30. Divert Traffic and Demolish Temp Structure [Phase_37]</v>
      </c>
      <c r="AK56" t="str">
        <v>31a. Backfill to Final level [Phase_31]</v>
      </c>
      <c r="AL56" t="str">
        <v>20a. Exc for FEL [Phase_30]</v>
      </c>
    </row>
    <row r="57" spans="1:43" x14ac:dyDescent="0.25">
      <c r="A57" t="str">
        <v>CR113_N_Case2_ULS1_1.0EI_Hyd_a03BP1.0m</v>
      </c>
      <c r="B57" t="str">
        <v>16. Exc for B2 [Phase_16]</v>
      </c>
      <c r="D57">
        <v>57</v>
      </c>
      <c r="E57" t="str">
        <v>CR113_N_Case6,7_ULS1_1.0EI_SpG_a03BP1.0m</v>
      </c>
      <c r="F57" t="str" cm="1">
        <f t="array" ref="F57:AL57">TRANSPOSE(_xlfn._xlws.FILTER(_xlfn.ANCHORARRAY($B$2),_xlfn.ANCHORARRAY($A$2)=$E57))</f>
        <v>Initial phase [InitialPhase]</v>
      </c>
      <c r="G57" t="str">
        <v>1. Cut Slope for L Shape Wall [Phase_1]</v>
      </c>
      <c r="H57" t="str">
        <v>2. Install Kingpost [Phase_2]</v>
      </c>
      <c r="I57" t="str">
        <v>3. Cast L Shape wall, backfill and traffic divert [Phase_3]</v>
      </c>
      <c r="J57" t="str">
        <v>4. Cut down to +20mSHD [Phase_4]</v>
      </c>
      <c r="K57" t="str">
        <v>5. Install RHS DWall [Phase_5]</v>
      </c>
      <c r="L57" t="str">
        <v>6. Cut slope for LHS DWall [Phase_6]</v>
      </c>
      <c r="M57" t="str">
        <v>7. Install LHS DWalls &amp; Backfill behind DWall, Surcharge [Phase_7]</v>
      </c>
      <c r="N57" t="str">
        <v>8. Exc for S1 [Phase_8]</v>
      </c>
      <c r="O57" t="str">
        <v>9. Install S1 (PL=50) [Phase_9]</v>
      </c>
      <c r="P57" t="str">
        <v>10. Exc for S2 [Phase_10]</v>
      </c>
      <c r="Q57" t="str">
        <v>11. Install S2 (PL=100) [Phase_11]</v>
      </c>
      <c r="R57" t="str">
        <v>12. Exc for Roof [Phase_12]</v>
      </c>
      <c r="S57" t="str">
        <v>13. Cast Roof Slab [Phase_13]</v>
      </c>
      <c r="T57" t="str">
        <v>14. Exc for B1 [Phase_14]</v>
      </c>
      <c r="U57" t="str">
        <v>15. Cast B1 Slab [Phase_15]</v>
      </c>
      <c r="V57" t="str">
        <v>16. Exc for B2 [Phase_16]</v>
      </c>
      <c r="W57" t="str">
        <v>17. Cast B2 Slab [Phase_17]</v>
      </c>
      <c r="X57" t="str">
        <v>18. Exc for S3 [Phase_18]</v>
      </c>
      <c r="Y57" t="str">
        <v>19. Install S3 (PL=550) [Phase_19]</v>
      </c>
      <c r="Z57" t="str">
        <v>20. Exc for FEL [Phase_20]</v>
      </c>
      <c r="AA57" t="str">
        <v>21. Cast Base Slab [Phase_21]</v>
      </c>
      <c r="AB57" t="str">
        <v>22. Remove S3 [Phase_22]</v>
      </c>
      <c r="AC57" t="str">
        <v>23. Case RC  Wal [Phase_23]</v>
      </c>
      <c r="AD57" t="str">
        <v>24. Remove Kingpost and Backfill [Phase_24]</v>
      </c>
      <c r="AE57" t="str">
        <v>25. Backfill up to 1m below S2 [Phase_25]</v>
      </c>
      <c r="AF57" t="str">
        <v>26.Remove S2 [Phase_26]</v>
      </c>
      <c r="AG57" t="str">
        <v>27. Backfill upto 1m below S1 [Phase_27]</v>
      </c>
      <c r="AH57" t="str">
        <v>28. Remove S1 [Phase_28]</v>
      </c>
      <c r="AI57" t="str">
        <v>29. Backfill to final level [Phase_29]</v>
      </c>
      <c r="AJ57" t="str">
        <v>30. Divert Traffic and Demolish Temp Structure [Phase_37]</v>
      </c>
      <c r="AK57" t="str">
        <v>31a. Backfill to Final level [Phase_31]</v>
      </c>
      <c r="AL57" t="str">
        <v>20a. Exc for FEL [Phase_30]</v>
      </c>
    </row>
    <row r="58" spans="1:43" x14ac:dyDescent="0.25">
      <c r="A58" t="str">
        <v>CR113_N_Case2_ULS1_1.0EI_Hyd_a03BP1.0m</v>
      </c>
      <c r="B58" t="str">
        <v>17. Cast B2 Slab [Phase_17]</v>
      </c>
      <c r="D58">
        <v>58</v>
      </c>
      <c r="E58" t="str">
        <v>CR113_N_Case6,7_ULS1_1.0EI_SpG_a03BP1.0m</v>
      </c>
      <c r="F58" t="str" cm="1">
        <f t="array" ref="F58:AL58">TRANSPOSE(_xlfn._xlws.FILTER(_xlfn.ANCHORARRAY($B$2),_xlfn.ANCHORARRAY($A$2)=$E58))</f>
        <v>Initial phase [InitialPhase]</v>
      </c>
      <c r="G58" t="str">
        <v>1. Cut Slope for L Shape Wall [Phase_1]</v>
      </c>
      <c r="H58" t="str">
        <v>2. Install Kingpost [Phase_2]</v>
      </c>
      <c r="I58" t="str">
        <v>3. Cast L Shape wall, backfill and traffic divert [Phase_3]</v>
      </c>
      <c r="J58" t="str">
        <v>4. Cut down to +20mSHD [Phase_4]</v>
      </c>
      <c r="K58" t="str">
        <v>5. Install RHS DWall [Phase_5]</v>
      </c>
      <c r="L58" t="str">
        <v>6. Cut slope for LHS DWall [Phase_6]</v>
      </c>
      <c r="M58" t="str">
        <v>7. Install LHS DWalls &amp; Backfill behind DWall, Surcharge [Phase_7]</v>
      </c>
      <c r="N58" t="str">
        <v>8. Exc for S1 [Phase_8]</v>
      </c>
      <c r="O58" t="str">
        <v>9. Install S1 (PL=50) [Phase_9]</v>
      </c>
      <c r="P58" t="str">
        <v>10. Exc for S2 [Phase_10]</v>
      </c>
      <c r="Q58" t="str">
        <v>11. Install S2 (PL=100) [Phase_11]</v>
      </c>
      <c r="R58" t="str">
        <v>12. Exc for Roof [Phase_12]</v>
      </c>
      <c r="S58" t="str">
        <v>13. Cast Roof Slab [Phase_13]</v>
      </c>
      <c r="T58" t="str">
        <v>14. Exc for B1 [Phase_14]</v>
      </c>
      <c r="U58" t="str">
        <v>15. Cast B1 Slab [Phase_15]</v>
      </c>
      <c r="V58" t="str">
        <v>16. Exc for B2 [Phase_16]</v>
      </c>
      <c r="W58" t="str">
        <v>17. Cast B2 Slab [Phase_17]</v>
      </c>
      <c r="X58" t="str">
        <v>18. Exc for S3 [Phase_18]</v>
      </c>
      <c r="Y58" t="str">
        <v>19. Install S3 (PL=550) [Phase_19]</v>
      </c>
      <c r="Z58" t="str">
        <v>20. Exc for FEL [Phase_20]</v>
      </c>
      <c r="AA58" t="str">
        <v>21. Cast Base Slab [Phase_21]</v>
      </c>
      <c r="AB58" t="str">
        <v>22. Remove S3 [Phase_22]</v>
      </c>
      <c r="AC58" t="str">
        <v>23. Case RC  Wal [Phase_23]</v>
      </c>
      <c r="AD58" t="str">
        <v>24. Remove Kingpost and Backfill [Phase_24]</v>
      </c>
      <c r="AE58" t="str">
        <v>25. Backfill up to 1m below S2 [Phase_25]</v>
      </c>
      <c r="AF58" t="str">
        <v>26.Remove S2 [Phase_26]</v>
      </c>
      <c r="AG58" t="str">
        <v>27. Backfill upto 1m below S1 [Phase_27]</v>
      </c>
      <c r="AH58" t="str">
        <v>28. Remove S1 [Phase_28]</v>
      </c>
      <c r="AI58" t="str">
        <v>29. Backfill to final level [Phase_29]</v>
      </c>
      <c r="AJ58" t="str">
        <v>30. Divert Traffic and Demolish Temp Structure [Phase_37]</v>
      </c>
      <c r="AK58" t="str">
        <v>31a. Backfill to Final level [Phase_31]</v>
      </c>
      <c r="AL58" t="str">
        <v>20a. Exc for FEL [Phase_30]</v>
      </c>
    </row>
    <row r="59" spans="1:43" x14ac:dyDescent="0.25">
      <c r="A59" t="str">
        <v>CR113_N_Case2_ULS1_1.0EI_Hyd_a03BP1.0m</v>
      </c>
      <c r="B59" t="str">
        <v>18. Exc for S3 [Phase_18]</v>
      </c>
      <c r="D59">
        <v>59</v>
      </c>
      <c r="E59" t="str">
        <v>CR113_N_Case6,7_ULS1_1.0EI_SpG_a03BP1.0m</v>
      </c>
      <c r="F59" t="str" cm="1">
        <f t="array" ref="F59:AL59">TRANSPOSE(_xlfn._xlws.FILTER(_xlfn.ANCHORARRAY($B$2),_xlfn.ANCHORARRAY($A$2)=$E59))</f>
        <v>Initial phase [InitialPhase]</v>
      </c>
      <c r="G59" t="str">
        <v>1. Cut Slope for L Shape Wall [Phase_1]</v>
      </c>
      <c r="H59" t="str">
        <v>2. Install Kingpost [Phase_2]</v>
      </c>
      <c r="I59" t="str">
        <v>3. Cast L Shape wall, backfill and traffic divert [Phase_3]</v>
      </c>
      <c r="J59" t="str">
        <v>4. Cut down to +20mSHD [Phase_4]</v>
      </c>
      <c r="K59" t="str">
        <v>5. Install RHS DWall [Phase_5]</v>
      </c>
      <c r="L59" t="str">
        <v>6. Cut slope for LHS DWall [Phase_6]</v>
      </c>
      <c r="M59" t="str">
        <v>7. Install LHS DWalls &amp; Backfill behind DWall, Surcharge [Phase_7]</v>
      </c>
      <c r="N59" t="str">
        <v>8. Exc for S1 [Phase_8]</v>
      </c>
      <c r="O59" t="str">
        <v>9. Install S1 (PL=50) [Phase_9]</v>
      </c>
      <c r="P59" t="str">
        <v>10. Exc for S2 [Phase_10]</v>
      </c>
      <c r="Q59" t="str">
        <v>11. Install S2 (PL=100) [Phase_11]</v>
      </c>
      <c r="R59" t="str">
        <v>12. Exc for Roof [Phase_12]</v>
      </c>
      <c r="S59" t="str">
        <v>13. Cast Roof Slab [Phase_13]</v>
      </c>
      <c r="T59" t="str">
        <v>14. Exc for B1 [Phase_14]</v>
      </c>
      <c r="U59" t="str">
        <v>15. Cast B1 Slab [Phase_15]</v>
      </c>
      <c r="V59" t="str">
        <v>16. Exc for B2 [Phase_16]</v>
      </c>
      <c r="W59" t="str">
        <v>17. Cast B2 Slab [Phase_17]</v>
      </c>
      <c r="X59" t="str">
        <v>18. Exc for S3 [Phase_18]</v>
      </c>
      <c r="Y59" t="str">
        <v>19. Install S3 (PL=550) [Phase_19]</v>
      </c>
      <c r="Z59" t="str">
        <v>20. Exc for FEL [Phase_20]</v>
      </c>
      <c r="AA59" t="str">
        <v>21. Cast Base Slab [Phase_21]</v>
      </c>
      <c r="AB59" t="str">
        <v>22. Remove S3 [Phase_22]</v>
      </c>
      <c r="AC59" t="str">
        <v>23. Case RC  Wal [Phase_23]</v>
      </c>
      <c r="AD59" t="str">
        <v>24. Remove Kingpost and Backfill [Phase_24]</v>
      </c>
      <c r="AE59" t="str">
        <v>25. Backfill up to 1m below S2 [Phase_25]</v>
      </c>
      <c r="AF59" t="str">
        <v>26.Remove S2 [Phase_26]</v>
      </c>
      <c r="AG59" t="str">
        <v>27. Backfill upto 1m below S1 [Phase_27]</v>
      </c>
      <c r="AH59" t="str">
        <v>28. Remove S1 [Phase_28]</v>
      </c>
      <c r="AI59" t="str">
        <v>29. Backfill to final level [Phase_29]</v>
      </c>
      <c r="AJ59" t="str">
        <v>30. Divert Traffic and Demolish Temp Structure [Phase_37]</v>
      </c>
      <c r="AK59" t="str">
        <v>31a. Backfill to Final level [Phase_31]</v>
      </c>
      <c r="AL59" t="str">
        <v>20a. Exc for FEL [Phase_30]</v>
      </c>
    </row>
    <row r="60" spans="1:43" x14ac:dyDescent="0.25">
      <c r="A60" t="str">
        <v>CR113_N_Case2_ULS1_1.0EI_Hyd_a03BP1.0m</v>
      </c>
      <c r="B60" t="str">
        <v>19. Install S3 (PL=550) [Phase_19]</v>
      </c>
      <c r="D60">
        <v>60</v>
      </c>
      <c r="E60" t="str">
        <v>CR113_N_Case6,7_ULS1_1.0EI_SpG_a03BP1.0m</v>
      </c>
      <c r="F60" t="str" cm="1">
        <f t="array" ref="F60:AL60">TRANSPOSE(_xlfn._xlws.FILTER(_xlfn.ANCHORARRAY($B$2),_xlfn.ANCHORARRAY($A$2)=$E60))</f>
        <v>Initial phase [InitialPhase]</v>
      </c>
      <c r="G60" t="str">
        <v>1. Cut Slope for L Shape Wall [Phase_1]</v>
      </c>
      <c r="H60" t="str">
        <v>2. Install Kingpost [Phase_2]</v>
      </c>
      <c r="I60" t="str">
        <v>3. Cast L Shape wall, backfill and traffic divert [Phase_3]</v>
      </c>
      <c r="J60" t="str">
        <v>4. Cut down to +20mSHD [Phase_4]</v>
      </c>
      <c r="K60" t="str">
        <v>5. Install RHS DWall [Phase_5]</v>
      </c>
      <c r="L60" t="str">
        <v>6. Cut slope for LHS DWall [Phase_6]</v>
      </c>
      <c r="M60" t="str">
        <v>7. Install LHS DWalls &amp; Backfill behind DWall, Surcharge [Phase_7]</v>
      </c>
      <c r="N60" t="str">
        <v>8. Exc for S1 [Phase_8]</v>
      </c>
      <c r="O60" t="str">
        <v>9. Install S1 (PL=50) [Phase_9]</v>
      </c>
      <c r="P60" t="str">
        <v>10. Exc for S2 [Phase_10]</v>
      </c>
      <c r="Q60" t="str">
        <v>11. Install S2 (PL=100) [Phase_11]</v>
      </c>
      <c r="R60" t="str">
        <v>12. Exc for Roof [Phase_12]</v>
      </c>
      <c r="S60" t="str">
        <v>13. Cast Roof Slab [Phase_13]</v>
      </c>
      <c r="T60" t="str">
        <v>14. Exc for B1 [Phase_14]</v>
      </c>
      <c r="U60" t="str">
        <v>15. Cast B1 Slab [Phase_15]</v>
      </c>
      <c r="V60" t="str">
        <v>16. Exc for B2 [Phase_16]</v>
      </c>
      <c r="W60" t="str">
        <v>17. Cast B2 Slab [Phase_17]</v>
      </c>
      <c r="X60" t="str">
        <v>18. Exc for S3 [Phase_18]</v>
      </c>
      <c r="Y60" t="str">
        <v>19. Install S3 (PL=550) [Phase_19]</v>
      </c>
      <c r="Z60" t="str">
        <v>20. Exc for FEL [Phase_20]</v>
      </c>
      <c r="AA60" t="str">
        <v>21. Cast Base Slab [Phase_21]</v>
      </c>
      <c r="AB60" t="str">
        <v>22. Remove S3 [Phase_22]</v>
      </c>
      <c r="AC60" t="str">
        <v>23. Case RC  Wal [Phase_23]</v>
      </c>
      <c r="AD60" t="str">
        <v>24. Remove Kingpost and Backfill [Phase_24]</v>
      </c>
      <c r="AE60" t="str">
        <v>25. Backfill up to 1m below S2 [Phase_25]</v>
      </c>
      <c r="AF60" t="str">
        <v>26.Remove S2 [Phase_26]</v>
      </c>
      <c r="AG60" t="str">
        <v>27. Backfill upto 1m below S1 [Phase_27]</v>
      </c>
      <c r="AH60" t="str">
        <v>28. Remove S1 [Phase_28]</v>
      </c>
      <c r="AI60" t="str">
        <v>29. Backfill to final level [Phase_29]</v>
      </c>
      <c r="AJ60" t="str">
        <v>30. Divert Traffic and Demolish Temp Structure [Phase_37]</v>
      </c>
      <c r="AK60" t="str">
        <v>31a. Backfill to Final level [Phase_31]</v>
      </c>
      <c r="AL60" t="str">
        <v>20a. Exc for FEL [Phase_30]</v>
      </c>
    </row>
    <row r="61" spans="1:43" x14ac:dyDescent="0.25">
      <c r="A61" t="str">
        <v>CR113_N_Case2_ULS1_1.0EI_Hyd_a03BP1.0m</v>
      </c>
      <c r="B61" t="str">
        <v>20. Exc for FEL [Phase_20]</v>
      </c>
      <c r="D61">
        <v>61</v>
      </c>
      <c r="E61" t="str">
        <v>CR113_N_Case6,7_ULS1_1.0EI_SpG_a03BP1.0m</v>
      </c>
      <c r="F61" t="str" cm="1">
        <f t="array" ref="F61:AL61">TRANSPOSE(_xlfn._xlws.FILTER(_xlfn.ANCHORARRAY($B$2),_xlfn.ANCHORARRAY($A$2)=$E61))</f>
        <v>Initial phase [InitialPhase]</v>
      </c>
      <c r="G61" t="str">
        <v>1. Cut Slope for L Shape Wall [Phase_1]</v>
      </c>
      <c r="H61" t="str">
        <v>2. Install Kingpost [Phase_2]</v>
      </c>
      <c r="I61" t="str">
        <v>3. Cast L Shape wall, backfill and traffic divert [Phase_3]</v>
      </c>
      <c r="J61" t="str">
        <v>4. Cut down to +20mSHD [Phase_4]</v>
      </c>
      <c r="K61" t="str">
        <v>5. Install RHS DWall [Phase_5]</v>
      </c>
      <c r="L61" t="str">
        <v>6. Cut slope for LHS DWall [Phase_6]</v>
      </c>
      <c r="M61" t="str">
        <v>7. Install LHS DWalls &amp; Backfill behind DWall, Surcharge [Phase_7]</v>
      </c>
      <c r="N61" t="str">
        <v>8. Exc for S1 [Phase_8]</v>
      </c>
      <c r="O61" t="str">
        <v>9. Install S1 (PL=50) [Phase_9]</v>
      </c>
      <c r="P61" t="str">
        <v>10. Exc for S2 [Phase_10]</v>
      </c>
      <c r="Q61" t="str">
        <v>11. Install S2 (PL=100) [Phase_11]</v>
      </c>
      <c r="R61" t="str">
        <v>12. Exc for Roof [Phase_12]</v>
      </c>
      <c r="S61" t="str">
        <v>13. Cast Roof Slab [Phase_13]</v>
      </c>
      <c r="T61" t="str">
        <v>14. Exc for B1 [Phase_14]</v>
      </c>
      <c r="U61" t="str">
        <v>15. Cast B1 Slab [Phase_15]</v>
      </c>
      <c r="V61" t="str">
        <v>16. Exc for B2 [Phase_16]</v>
      </c>
      <c r="W61" t="str">
        <v>17. Cast B2 Slab [Phase_17]</v>
      </c>
      <c r="X61" t="str">
        <v>18. Exc for S3 [Phase_18]</v>
      </c>
      <c r="Y61" t="str">
        <v>19. Install S3 (PL=550) [Phase_19]</v>
      </c>
      <c r="Z61" t="str">
        <v>20. Exc for FEL [Phase_20]</v>
      </c>
      <c r="AA61" t="str">
        <v>21. Cast Base Slab [Phase_21]</v>
      </c>
      <c r="AB61" t="str">
        <v>22. Remove S3 [Phase_22]</v>
      </c>
      <c r="AC61" t="str">
        <v>23. Case RC  Wal [Phase_23]</v>
      </c>
      <c r="AD61" t="str">
        <v>24. Remove Kingpost and Backfill [Phase_24]</v>
      </c>
      <c r="AE61" t="str">
        <v>25. Backfill up to 1m below S2 [Phase_25]</v>
      </c>
      <c r="AF61" t="str">
        <v>26.Remove S2 [Phase_26]</v>
      </c>
      <c r="AG61" t="str">
        <v>27. Backfill upto 1m below S1 [Phase_27]</v>
      </c>
      <c r="AH61" t="str">
        <v>28. Remove S1 [Phase_28]</v>
      </c>
      <c r="AI61" t="str">
        <v>29. Backfill to final level [Phase_29]</v>
      </c>
      <c r="AJ61" t="str">
        <v>30. Divert Traffic and Demolish Temp Structure [Phase_37]</v>
      </c>
      <c r="AK61" t="str">
        <v>31a. Backfill to Final level [Phase_31]</v>
      </c>
      <c r="AL61" t="str">
        <v>20a. Exc for FEL [Phase_30]</v>
      </c>
    </row>
    <row r="62" spans="1:43" x14ac:dyDescent="0.25">
      <c r="A62" t="str">
        <v>CR113_N_Case2_ULS1_1.0EI_Hyd_a03BP1.0m</v>
      </c>
      <c r="B62" t="str">
        <v>21. Cast Base Slab [Phase_21]</v>
      </c>
      <c r="D62">
        <v>62</v>
      </c>
      <c r="E62" t="str">
        <v>CR113_N_Case6,7_ULS1_1.0EI_SpG_a03BP1.0m</v>
      </c>
      <c r="F62" t="str" cm="1">
        <f t="array" ref="F62:AL62">TRANSPOSE(_xlfn._xlws.FILTER(_xlfn.ANCHORARRAY($B$2),_xlfn.ANCHORARRAY($A$2)=$E62))</f>
        <v>Initial phase [InitialPhase]</v>
      </c>
      <c r="G62" t="str">
        <v>1. Cut Slope for L Shape Wall [Phase_1]</v>
      </c>
      <c r="H62" t="str">
        <v>2. Install Kingpost [Phase_2]</v>
      </c>
      <c r="I62" t="str">
        <v>3. Cast L Shape wall, backfill and traffic divert [Phase_3]</v>
      </c>
      <c r="J62" t="str">
        <v>4. Cut down to +20mSHD [Phase_4]</v>
      </c>
      <c r="K62" t="str">
        <v>5. Install RHS DWall [Phase_5]</v>
      </c>
      <c r="L62" t="str">
        <v>6. Cut slope for LHS DWall [Phase_6]</v>
      </c>
      <c r="M62" t="str">
        <v>7. Install LHS DWalls &amp; Backfill behind DWall, Surcharge [Phase_7]</v>
      </c>
      <c r="N62" t="str">
        <v>8. Exc for S1 [Phase_8]</v>
      </c>
      <c r="O62" t="str">
        <v>9. Install S1 (PL=50) [Phase_9]</v>
      </c>
      <c r="P62" t="str">
        <v>10. Exc for S2 [Phase_10]</v>
      </c>
      <c r="Q62" t="str">
        <v>11. Install S2 (PL=100) [Phase_11]</v>
      </c>
      <c r="R62" t="str">
        <v>12. Exc for Roof [Phase_12]</v>
      </c>
      <c r="S62" t="str">
        <v>13. Cast Roof Slab [Phase_13]</v>
      </c>
      <c r="T62" t="str">
        <v>14. Exc for B1 [Phase_14]</v>
      </c>
      <c r="U62" t="str">
        <v>15. Cast B1 Slab [Phase_15]</v>
      </c>
      <c r="V62" t="str">
        <v>16. Exc for B2 [Phase_16]</v>
      </c>
      <c r="W62" t="str">
        <v>17. Cast B2 Slab [Phase_17]</v>
      </c>
      <c r="X62" t="str">
        <v>18. Exc for S3 [Phase_18]</v>
      </c>
      <c r="Y62" t="str">
        <v>19. Install S3 (PL=550) [Phase_19]</v>
      </c>
      <c r="Z62" t="str">
        <v>20. Exc for FEL [Phase_20]</v>
      </c>
      <c r="AA62" t="str">
        <v>21. Cast Base Slab [Phase_21]</v>
      </c>
      <c r="AB62" t="str">
        <v>22. Remove S3 [Phase_22]</v>
      </c>
      <c r="AC62" t="str">
        <v>23. Case RC  Wal [Phase_23]</v>
      </c>
      <c r="AD62" t="str">
        <v>24. Remove Kingpost and Backfill [Phase_24]</v>
      </c>
      <c r="AE62" t="str">
        <v>25. Backfill up to 1m below S2 [Phase_25]</v>
      </c>
      <c r="AF62" t="str">
        <v>26.Remove S2 [Phase_26]</v>
      </c>
      <c r="AG62" t="str">
        <v>27. Backfill upto 1m below S1 [Phase_27]</v>
      </c>
      <c r="AH62" t="str">
        <v>28. Remove S1 [Phase_28]</v>
      </c>
      <c r="AI62" t="str">
        <v>29. Backfill to final level [Phase_29]</v>
      </c>
      <c r="AJ62" t="str">
        <v>30. Divert Traffic and Demolish Temp Structure [Phase_37]</v>
      </c>
      <c r="AK62" t="str">
        <v>31a. Backfill to Final level [Phase_31]</v>
      </c>
      <c r="AL62" t="str">
        <v>20a. Exc for FEL [Phase_30]</v>
      </c>
    </row>
    <row r="63" spans="1:43" x14ac:dyDescent="0.25">
      <c r="A63" t="str">
        <v>CR113_N_Case2_ULS1_1.0EI_Hyd_a03BP1.0m</v>
      </c>
      <c r="B63" t="str">
        <v>22. Remove S3 [Phase_22]</v>
      </c>
      <c r="D63">
        <v>63</v>
      </c>
      <c r="E63" t="str">
        <v>CR113_N_Case6,7_ULS1_1.0EI_SpG_a03BP1.0m</v>
      </c>
      <c r="F63" t="str" cm="1">
        <f t="array" ref="F63:AL63">TRANSPOSE(_xlfn._xlws.FILTER(_xlfn.ANCHORARRAY($B$2),_xlfn.ANCHORARRAY($A$2)=$E63))</f>
        <v>Initial phase [InitialPhase]</v>
      </c>
      <c r="G63" t="str">
        <v>1. Cut Slope for L Shape Wall [Phase_1]</v>
      </c>
      <c r="H63" t="str">
        <v>2. Install Kingpost [Phase_2]</v>
      </c>
      <c r="I63" t="str">
        <v>3. Cast L Shape wall, backfill and traffic divert [Phase_3]</v>
      </c>
      <c r="J63" t="str">
        <v>4. Cut down to +20mSHD [Phase_4]</v>
      </c>
      <c r="K63" t="str">
        <v>5. Install RHS DWall [Phase_5]</v>
      </c>
      <c r="L63" t="str">
        <v>6. Cut slope for LHS DWall [Phase_6]</v>
      </c>
      <c r="M63" t="str">
        <v>7. Install LHS DWalls &amp; Backfill behind DWall, Surcharge [Phase_7]</v>
      </c>
      <c r="N63" t="str">
        <v>8. Exc for S1 [Phase_8]</v>
      </c>
      <c r="O63" t="str">
        <v>9. Install S1 (PL=50) [Phase_9]</v>
      </c>
      <c r="P63" t="str">
        <v>10. Exc for S2 [Phase_10]</v>
      </c>
      <c r="Q63" t="str">
        <v>11. Install S2 (PL=100) [Phase_11]</v>
      </c>
      <c r="R63" t="str">
        <v>12. Exc for Roof [Phase_12]</v>
      </c>
      <c r="S63" t="str">
        <v>13. Cast Roof Slab [Phase_13]</v>
      </c>
      <c r="T63" t="str">
        <v>14. Exc for B1 [Phase_14]</v>
      </c>
      <c r="U63" t="str">
        <v>15. Cast B1 Slab [Phase_15]</v>
      </c>
      <c r="V63" t="str">
        <v>16. Exc for B2 [Phase_16]</v>
      </c>
      <c r="W63" t="str">
        <v>17. Cast B2 Slab [Phase_17]</v>
      </c>
      <c r="X63" t="str">
        <v>18. Exc for S3 [Phase_18]</v>
      </c>
      <c r="Y63" t="str">
        <v>19. Install S3 (PL=550) [Phase_19]</v>
      </c>
      <c r="Z63" t="str">
        <v>20. Exc for FEL [Phase_20]</v>
      </c>
      <c r="AA63" t="str">
        <v>21. Cast Base Slab [Phase_21]</v>
      </c>
      <c r="AB63" t="str">
        <v>22. Remove S3 [Phase_22]</v>
      </c>
      <c r="AC63" t="str">
        <v>23. Case RC  Wal [Phase_23]</v>
      </c>
      <c r="AD63" t="str">
        <v>24. Remove Kingpost and Backfill [Phase_24]</v>
      </c>
      <c r="AE63" t="str">
        <v>25. Backfill up to 1m below S2 [Phase_25]</v>
      </c>
      <c r="AF63" t="str">
        <v>26.Remove S2 [Phase_26]</v>
      </c>
      <c r="AG63" t="str">
        <v>27. Backfill upto 1m below S1 [Phase_27]</v>
      </c>
      <c r="AH63" t="str">
        <v>28. Remove S1 [Phase_28]</v>
      </c>
      <c r="AI63" t="str">
        <v>29. Backfill to final level [Phase_29]</v>
      </c>
      <c r="AJ63" t="str">
        <v>30. Divert Traffic and Demolish Temp Structure [Phase_37]</v>
      </c>
      <c r="AK63" t="str">
        <v>31a. Backfill to Final level [Phase_31]</v>
      </c>
      <c r="AL63" t="str">
        <v>20a. Exc for FEL [Phase_30]</v>
      </c>
    </row>
    <row r="64" spans="1:43" x14ac:dyDescent="0.25">
      <c r="A64" t="str">
        <v>CR113_N_Case2_ULS1_1.0EI_Hyd_a03BP1.0m</v>
      </c>
      <c r="B64" t="str">
        <v>23. Case RC  Wal [Phase_23]</v>
      </c>
      <c r="D64">
        <v>64</v>
      </c>
      <c r="E64" t="str">
        <v>CR113_N_Case6,7_ULS1_1.0EI_SpG_a03BP1.0m</v>
      </c>
      <c r="F64" t="str" cm="1">
        <f t="array" ref="F64:AL64">TRANSPOSE(_xlfn._xlws.FILTER(_xlfn.ANCHORARRAY($B$2),_xlfn.ANCHORARRAY($A$2)=$E64))</f>
        <v>Initial phase [InitialPhase]</v>
      </c>
      <c r="G64" t="str">
        <v>1. Cut Slope for L Shape Wall [Phase_1]</v>
      </c>
      <c r="H64" t="str">
        <v>2. Install Kingpost [Phase_2]</v>
      </c>
      <c r="I64" t="str">
        <v>3. Cast L Shape wall, backfill and traffic divert [Phase_3]</v>
      </c>
      <c r="J64" t="str">
        <v>4. Cut down to +20mSHD [Phase_4]</v>
      </c>
      <c r="K64" t="str">
        <v>5. Install RHS DWall [Phase_5]</v>
      </c>
      <c r="L64" t="str">
        <v>6. Cut slope for LHS DWall [Phase_6]</v>
      </c>
      <c r="M64" t="str">
        <v>7. Install LHS DWalls &amp; Backfill behind DWall, Surcharge [Phase_7]</v>
      </c>
      <c r="N64" t="str">
        <v>8. Exc for S1 [Phase_8]</v>
      </c>
      <c r="O64" t="str">
        <v>9. Install S1 (PL=50) [Phase_9]</v>
      </c>
      <c r="P64" t="str">
        <v>10. Exc for S2 [Phase_10]</v>
      </c>
      <c r="Q64" t="str">
        <v>11. Install S2 (PL=100) [Phase_11]</v>
      </c>
      <c r="R64" t="str">
        <v>12. Exc for Roof [Phase_12]</v>
      </c>
      <c r="S64" t="str">
        <v>13. Cast Roof Slab [Phase_13]</v>
      </c>
      <c r="T64" t="str">
        <v>14. Exc for B1 [Phase_14]</v>
      </c>
      <c r="U64" t="str">
        <v>15. Cast B1 Slab [Phase_15]</v>
      </c>
      <c r="V64" t="str">
        <v>16. Exc for B2 [Phase_16]</v>
      </c>
      <c r="W64" t="str">
        <v>17. Cast B2 Slab [Phase_17]</v>
      </c>
      <c r="X64" t="str">
        <v>18. Exc for S3 [Phase_18]</v>
      </c>
      <c r="Y64" t="str">
        <v>19. Install S3 (PL=550) [Phase_19]</v>
      </c>
      <c r="Z64" t="str">
        <v>20. Exc for FEL [Phase_20]</v>
      </c>
      <c r="AA64" t="str">
        <v>21. Cast Base Slab [Phase_21]</v>
      </c>
      <c r="AB64" t="str">
        <v>22. Remove S3 [Phase_22]</v>
      </c>
      <c r="AC64" t="str">
        <v>23. Case RC  Wal [Phase_23]</v>
      </c>
      <c r="AD64" t="str">
        <v>24. Remove Kingpost and Backfill [Phase_24]</v>
      </c>
      <c r="AE64" t="str">
        <v>25. Backfill up to 1m below S2 [Phase_25]</v>
      </c>
      <c r="AF64" t="str">
        <v>26.Remove S2 [Phase_26]</v>
      </c>
      <c r="AG64" t="str">
        <v>27. Backfill upto 1m below S1 [Phase_27]</v>
      </c>
      <c r="AH64" t="str">
        <v>28. Remove S1 [Phase_28]</v>
      </c>
      <c r="AI64" t="str">
        <v>29. Backfill to final level [Phase_29]</v>
      </c>
      <c r="AJ64" t="str">
        <v>30. Divert Traffic and Demolish Temp Structure [Phase_37]</v>
      </c>
      <c r="AK64" t="str">
        <v>31a. Backfill to Final level [Phase_31]</v>
      </c>
      <c r="AL64" t="str">
        <v>20a. Exc for FEL [Phase_30]</v>
      </c>
    </row>
    <row r="65" spans="1:6" x14ac:dyDescent="0.25">
      <c r="A65" t="str">
        <v>CR113_N_Case2_ULS1_1.0EI_Hyd_a03BP1.0m</v>
      </c>
      <c r="B65" t="str">
        <v>24. Remove Kingpost and Backfill [Phase_24]</v>
      </c>
      <c r="F65" t="e" cm="1" vm="1">
        <f t="array" ref="F65">TRANSPOSE(_xlfn._xlws.FILTER(_xlfn.ANCHORARRAY($B$2),_xlfn.ANCHORARRAY($A$2)=$E65))</f>
        <v>#VALUE!</v>
      </c>
    </row>
    <row r="66" spans="1:6" x14ac:dyDescent="0.25">
      <c r="A66" t="str">
        <v>CR113_N_Case2_ULS1_1.0EI_Hyd_a03BP1.0m</v>
      </c>
      <c r="B66" t="str">
        <v>25. Backfill up to 1m below S2 [Phase_25]</v>
      </c>
      <c r="F66" t="e" cm="1" vm="1">
        <f t="array" ref="F66">TRANSPOSE(_xlfn._xlws.FILTER(_xlfn.ANCHORARRAY($B$2),_xlfn.ANCHORARRAY($A$2)=$E66))</f>
        <v>#VALUE!</v>
      </c>
    </row>
    <row r="67" spans="1:6" x14ac:dyDescent="0.25">
      <c r="A67" t="str">
        <v>CR113_N_Case2_ULS1_1.0EI_Hyd_a03BP1.0m</v>
      </c>
      <c r="B67" t="str">
        <v>26.Remove S2 [Phase_26]</v>
      </c>
      <c r="F67" t="e" cm="1" vm="1">
        <f t="array" ref="F67">TRANSPOSE(_xlfn._xlws.FILTER(_xlfn.ANCHORARRAY($B$2),_xlfn.ANCHORARRAY($A$2)=$E67))</f>
        <v>#VALUE!</v>
      </c>
    </row>
    <row r="68" spans="1:6" x14ac:dyDescent="0.25">
      <c r="A68" t="str">
        <v>CR113_N_Case2_ULS1_1.0EI_Hyd_a03BP1.0m</v>
      </c>
      <c r="B68" t="str">
        <v>27. Backfill upto 1m below S1 [Phase_27]</v>
      </c>
      <c r="F68" t="e" cm="1" vm="1">
        <f t="array" ref="F68">TRANSPOSE(_xlfn._xlws.FILTER(_xlfn.ANCHORARRAY($B$2),_xlfn.ANCHORARRAY($A$2)=$E68))</f>
        <v>#VALUE!</v>
      </c>
    </row>
    <row r="69" spans="1:6" x14ac:dyDescent="0.25">
      <c r="A69" t="str">
        <v>CR113_N_Case2_ULS1_1.0EI_Hyd_a03BP1.0m</v>
      </c>
      <c r="B69" t="str">
        <v>28. Remove S1 [Phase_28]</v>
      </c>
      <c r="F69" t="e" cm="1" vm="1">
        <f t="array" ref="F69">TRANSPOSE(_xlfn._xlws.FILTER(_xlfn.ANCHORARRAY($B$2),_xlfn.ANCHORARRAY($A$2)=$E69))</f>
        <v>#VALUE!</v>
      </c>
    </row>
    <row r="70" spans="1:6" x14ac:dyDescent="0.25">
      <c r="A70" t="str">
        <v>CR113_N_Case2_ULS1_1.0EI_Hyd_a03BP1.0m</v>
      </c>
      <c r="B70" t="str">
        <v>29. Backfill to final level [Phase_29]</v>
      </c>
      <c r="F70" t="e" cm="1" vm="1">
        <f t="array" ref="F70">TRANSPOSE(_xlfn._xlws.FILTER(_xlfn.ANCHORARRAY($B$2),_xlfn.ANCHORARRAY($A$2)=$E70))</f>
        <v>#VALUE!</v>
      </c>
    </row>
    <row r="71" spans="1:6" x14ac:dyDescent="0.25">
      <c r="A71" t="str">
        <v>CR113_N_Case2_ULS1_1.0EI_Hyd_a03BP1.0m</v>
      </c>
      <c r="B71" t="str">
        <v>30. Divert Traffic and Demolish Temp Structure [Phase_37]</v>
      </c>
      <c r="F71" t="e" cm="1" vm="1">
        <f t="array" ref="F71">TRANSPOSE(_xlfn._xlws.FILTER(_xlfn.ANCHORARRAY($B$2),_xlfn.ANCHORARRAY($A$2)=$E71))</f>
        <v>#VALUE!</v>
      </c>
    </row>
    <row r="72" spans="1:6" x14ac:dyDescent="0.25">
      <c r="A72" t="str">
        <v>CR113_N_Case3_ULS2_1.0EI_Hyd_a03BP1.0m</v>
      </c>
      <c r="B72" t="str">
        <v>Initial phase [InitialPhase]</v>
      </c>
      <c r="F72" t="e" cm="1" vm="1">
        <f t="array" ref="F72">TRANSPOSE(_xlfn._xlws.FILTER(_xlfn.ANCHORARRAY($B$2),_xlfn.ANCHORARRAY($A$2)=$E72))</f>
        <v>#VALUE!</v>
      </c>
    </row>
    <row r="73" spans="1:6" x14ac:dyDescent="0.25">
      <c r="A73" t="str">
        <v>CR113_N_Case3_ULS2_1.0EI_Hyd_a03BP1.0m</v>
      </c>
      <c r="B73" t="str">
        <v>1. Cut Slope for L Shape Wall [Phase_1]</v>
      </c>
      <c r="F73" t="e" cm="1" vm="1">
        <f t="array" ref="F73">TRANSPOSE(_xlfn._xlws.FILTER(_xlfn.ANCHORARRAY($B$2),_xlfn.ANCHORARRAY($A$2)=$E73))</f>
        <v>#VALUE!</v>
      </c>
    </row>
    <row r="74" spans="1:6" x14ac:dyDescent="0.25">
      <c r="A74" t="str">
        <v>CR113_N_Case3_ULS2_1.0EI_Hyd_a03BP1.0m</v>
      </c>
      <c r="B74" t="str">
        <v>2. Install Bored Pile for Traffic [Phase_2]</v>
      </c>
      <c r="F74" t="e" cm="1" vm="1">
        <f t="array" ref="F74">TRANSPOSE(_xlfn._xlws.FILTER(_xlfn.ANCHORARRAY($B$2),_xlfn.ANCHORARRAY($A$2)=$E74))</f>
        <v>#VALUE!</v>
      </c>
    </row>
    <row r="75" spans="1:6" x14ac:dyDescent="0.25">
      <c r="A75" t="str">
        <v>CR113_N_Case3_ULS2_1.0EI_Hyd_a03BP1.0m</v>
      </c>
      <c r="B75" t="str">
        <v>3. Cast L Shape wall, backfill and traffic divert [Phase_3]</v>
      </c>
      <c r="F75" t="e" cm="1" vm="1">
        <f t="array" ref="F75">TRANSPOSE(_xlfn._xlws.FILTER(_xlfn.ANCHORARRAY($B$2),_xlfn.ANCHORARRAY($A$2)=$E75))</f>
        <v>#VALUE!</v>
      </c>
    </row>
    <row r="76" spans="1:6" x14ac:dyDescent="0.25">
      <c r="A76" t="str">
        <v>CR113_N_Case3_ULS2_1.0EI_Hyd_a03BP1.0m</v>
      </c>
      <c r="B76" t="str">
        <v>4. Cut down to +20mSHD [Phase_4]</v>
      </c>
      <c r="F76" t="e" cm="1" vm="1">
        <f t="array" ref="F76">TRANSPOSE(_xlfn._xlws.FILTER(_xlfn.ANCHORARRAY($B$2),_xlfn.ANCHORARRAY($A$2)=$E76))</f>
        <v>#VALUE!</v>
      </c>
    </row>
    <row r="77" spans="1:6" x14ac:dyDescent="0.25">
      <c r="A77" t="str">
        <v>CR113_N_Case3_ULS2_1.0EI_Hyd_a03BP1.0m</v>
      </c>
      <c r="B77" t="str">
        <v>5. Install RHS DWall [Phase_5]</v>
      </c>
      <c r="F77" t="e" cm="1" vm="1">
        <f t="array" ref="F77">TRANSPOSE(_xlfn._xlws.FILTER(_xlfn.ANCHORARRAY($B$2),_xlfn.ANCHORARRAY($A$2)=$E77))</f>
        <v>#VALUE!</v>
      </c>
    </row>
    <row r="78" spans="1:6" x14ac:dyDescent="0.25">
      <c r="A78" t="str">
        <v>CR113_N_Case3_ULS2_1.0EI_Hyd_a03BP1.0m</v>
      </c>
      <c r="B78" t="str">
        <v>6. Cut slope for LHS DWall [Phase_6]</v>
      </c>
      <c r="F78" t="e" cm="1" vm="1">
        <f t="array" ref="F78">TRANSPOSE(_xlfn._xlws.FILTER(_xlfn.ANCHORARRAY($B$2),_xlfn.ANCHORARRAY($A$2)=$E78))</f>
        <v>#VALUE!</v>
      </c>
    </row>
    <row r="79" spans="1:6" x14ac:dyDescent="0.25">
      <c r="A79" t="str">
        <v>CR113_N_Case3_ULS2_1.0EI_Hyd_a03BP1.0m</v>
      </c>
      <c r="B79" t="str">
        <v>7. Install LHS DWalls &amp; Backfill behind DWall, Surcharge [Phase_7]</v>
      </c>
      <c r="F79" t="e" cm="1" vm="1">
        <f t="array" ref="F79">TRANSPOSE(_xlfn._xlws.FILTER(_xlfn.ANCHORARRAY($B$2),_xlfn.ANCHORARRAY($A$2)=$E79))</f>
        <v>#VALUE!</v>
      </c>
    </row>
    <row r="80" spans="1:6" x14ac:dyDescent="0.25">
      <c r="A80" t="str">
        <v>CR113_N_Case3_ULS2_1.0EI_Hyd_a03BP1.0m</v>
      </c>
      <c r="B80" t="str">
        <v>8. Exc for S1 [Phase_8]</v>
      </c>
      <c r="F80" t="e" cm="1" vm="1">
        <f t="array" ref="F80">TRANSPOSE(_xlfn._xlws.FILTER(_xlfn.ANCHORARRAY($B$2),_xlfn.ANCHORARRAY($A$2)=$E80))</f>
        <v>#VALUE!</v>
      </c>
    </row>
    <row r="81" spans="1:6" x14ac:dyDescent="0.25">
      <c r="A81" t="str">
        <v>CR113_N_Case3_ULS2_1.0EI_Hyd_a03BP1.0m</v>
      </c>
      <c r="B81" t="str">
        <v>9. Install S1 (PL=50) [Phase_9]</v>
      </c>
      <c r="F81" t="e" cm="1" vm="1">
        <f t="array" ref="F81">TRANSPOSE(_xlfn._xlws.FILTER(_xlfn.ANCHORARRAY($B$2),_xlfn.ANCHORARRAY($A$2)=$E81))</f>
        <v>#VALUE!</v>
      </c>
    </row>
    <row r="82" spans="1:6" x14ac:dyDescent="0.25">
      <c r="A82" t="str">
        <v>CR113_N_Case3_ULS2_1.0EI_Hyd_a03BP1.0m</v>
      </c>
      <c r="B82" t="str">
        <v>10. Exc for S2 [Phase_10]</v>
      </c>
      <c r="F82" t="e" cm="1" vm="1">
        <f t="array" ref="F82">TRANSPOSE(_xlfn._xlws.FILTER(_xlfn.ANCHORARRAY($B$2),_xlfn.ANCHORARRAY($A$2)=$E82))</f>
        <v>#VALUE!</v>
      </c>
    </row>
    <row r="83" spans="1:6" x14ac:dyDescent="0.25">
      <c r="A83" t="str">
        <v>CR113_N_Case3_ULS2_1.0EI_Hyd_a03BP1.0m</v>
      </c>
      <c r="B83" t="str">
        <v>11. Install S2 (PL=100) [Phase_11]</v>
      </c>
      <c r="F83" t="e" cm="1" vm="1">
        <f t="array" ref="F83">TRANSPOSE(_xlfn._xlws.FILTER(_xlfn.ANCHORARRAY($B$2),_xlfn.ANCHORARRAY($A$2)=$E83))</f>
        <v>#VALUE!</v>
      </c>
    </row>
    <row r="84" spans="1:6" x14ac:dyDescent="0.25">
      <c r="A84" t="str">
        <v>CR113_N_Case3_ULS2_1.0EI_Hyd_a03BP1.0m</v>
      </c>
      <c r="B84" t="str">
        <v>12. Exc for Roof [Phase_12]</v>
      </c>
      <c r="F84" t="e" cm="1" vm="1">
        <f t="array" ref="F84">TRANSPOSE(_xlfn._xlws.FILTER(_xlfn.ANCHORARRAY($B$2),_xlfn.ANCHORARRAY($A$2)=$E84))</f>
        <v>#VALUE!</v>
      </c>
    </row>
    <row r="85" spans="1:6" x14ac:dyDescent="0.25">
      <c r="A85" t="str">
        <v>CR113_N_Case3_ULS2_1.0EI_Hyd_a03BP1.0m</v>
      </c>
      <c r="B85" t="str">
        <v>13. Cast Roof Slab [Phase_13]</v>
      </c>
      <c r="F85" t="e" cm="1" vm="1">
        <f t="array" ref="F85">TRANSPOSE(_xlfn._xlws.FILTER(_xlfn.ANCHORARRAY($B$2),_xlfn.ANCHORARRAY($A$2)=$E85))</f>
        <v>#VALUE!</v>
      </c>
    </row>
    <row r="86" spans="1:6" x14ac:dyDescent="0.25">
      <c r="A86" t="str">
        <v>CR113_N_Case3_ULS2_1.0EI_Hyd_a03BP1.0m</v>
      </c>
      <c r="B86" t="str">
        <v>14. Exc for B1 [Phase_14]</v>
      </c>
      <c r="F86" t="e" cm="1" vm="1">
        <f t="array" ref="F86">TRANSPOSE(_xlfn._xlws.FILTER(_xlfn.ANCHORARRAY($B$2),_xlfn.ANCHORARRAY($A$2)=$E86))</f>
        <v>#VALUE!</v>
      </c>
    </row>
    <row r="87" spans="1:6" x14ac:dyDescent="0.25">
      <c r="A87" t="str">
        <v>CR113_N_Case3_ULS2_1.0EI_Hyd_a03BP1.0m</v>
      </c>
      <c r="B87" t="str">
        <v>15. Cast B1 Slab [Phase_15]</v>
      </c>
      <c r="F87" t="e" cm="1" vm="1">
        <f t="array" ref="F87">TRANSPOSE(_xlfn._xlws.FILTER(_xlfn.ANCHORARRAY($B$2),_xlfn.ANCHORARRAY($A$2)=$E87))</f>
        <v>#VALUE!</v>
      </c>
    </row>
    <row r="88" spans="1:6" x14ac:dyDescent="0.25">
      <c r="A88" t="str">
        <v>CR113_N_Case3_ULS2_1.0EI_Hyd_a03BP1.0m</v>
      </c>
      <c r="B88" t="str">
        <v>16. Exc for B2 [Phase_16]</v>
      </c>
      <c r="F88" t="e" cm="1" vm="1">
        <f t="array" ref="F88">TRANSPOSE(_xlfn._xlws.FILTER(_xlfn.ANCHORARRAY($B$2),_xlfn.ANCHORARRAY($A$2)=$E88))</f>
        <v>#VALUE!</v>
      </c>
    </row>
    <row r="89" spans="1:6" x14ac:dyDescent="0.25">
      <c r="A89" t="str">
        <v>CR113_N_Case3_ULS2_1.0EI_Hyd_a03BP1.0m</v>
      </c>
      <c r="B89" t="str">
        <v>17. Cast B2 Slab [Phase_17]</v>
      </c>
      <c r="F89" t="e" cm="1" vm="1">
        <f t="array" ref="F89">TRANSPOSE(_xlfn._xlws.FILTER(_xlfn.ANCHORARRAY($B$2),_xlfn.ANCHORARRAY($A$2)=$E89))</f>
        <v>#VALUE!</v>
      </c>
    </row>
    <row r="90" spans="1:6" x14ac:dyDescent="0.25">
      <c r="A90" t="str">
        <v>CR113_N_Case3_ULS2_1.0EI_Hyd_a03BP1.0m</v>
      </c>
      <c r="B90" t="str">
        <v>18. Exc for S3 [Phase_18]</v>
      </c>
      <c r="F90" t="e" cm="1" vm="1">
        <f t="array" ref="F90">TRANSPOSE(_xlfn._xlws.FILTER(_xlfn.ANCHORARRAY($B$2),_xlfn.ANCHORARRAY($A$2)=$E90))</f>
        <v>#VALUE!</v>
      </c>
    </row>
    <row r="91" spans="1:6" x14ac:dyDescent="0.25">
      <c r="A91" t="str">
        <v>CR113_N_Case3_ULS2_1.0EI_Hyd_a03BP1.0m</v>
      </c>
      <c r="B91" t="str">
        <v>19. Install S3 (PL=550) [Phase_19]</v>
      </c>
      <c r="F91" t="e" cm="1" vm="1">
        <f t="array" ref="F91">TRANSPOSE(_xlfn._xlws.FILTER(_xlfn.ANCHORARRAY($B$2),_xlfn.ANCHORARRAY($A$2)=$E91))</f>
        <v>#VALUE!</v>
      </c>
    </row>
    <row r="92" spans="1:6" x14ac:dyDescent="0.25">
      <c r="A92" t="str">
        <v>CR113_N_Case3_ULS2_1.0EI_Hyd_a03BP1.0m</v>
      </c>
      <c r="B92" t="str">
        <v>20. Exc for FEL [Phase_20]</v>
      </c>
      <c r="F92" t="e" cm="1" vm="1">
        <f t="array" ref="F92">TRANSPOSE(_xlfn._xlws.FILTER(_xlfn.ANCHORARRAY($B$2),_xlfn.ANCHORARRAY($A$2)=$E92))</f>
        <v>#VALUE!</v>
      </c>
    </row>
    <row r="93" spans="1:6" x14ac:dyDescent="0.25">
      <c r="A93" t="str">
        <v>CR113_N_Case3_ULS2_1.0EI_Hyd_a03BP1.0m</v>
      </c>
      <c r="B93" t="str">
        <v>21. Cast Base Slab [Phase_21]</v>
      </c>
      <c r="F93" t="e" cm="1" vm="1">
        <f t="array" ref="F93">TRANSPOSE(_xlfn._xlws.FILTER(_xlfn.ANCHORARRAY($B$2),_xlfn.ANCHORARRAY($A$2)=$E93))</f>
        <v>#VALUE!</v>
      </c>
    </row>
    <row r="94" spans="1:6" x14ac:dyDescent="0.25">
      <c r="A94" t="str">
        <v>CR113_N_Case3_ULS2_1.0EI_Hyd_a03BP1.0m</v>
      </c>
      <c r="B94" t="str">
        <v>22. Remove S3 [Phase_22]</v>
      </c>
      <c r="F94" t="e" cm="1" vm="1">
        <f t="array" ref="F94">TRANSPOSE(_xlfn._xlws.FILTER(_xlfn.ANCHORARRAY($B$2),_xlfn.ANCHORARRAY($A$2)=$E94))</f>
        <v>#VALUE!</v>
      </c>
    </row>
    <row r="95" spans="1:6" x14ac:dyDescent="0.25">
      <c r="A95" t="str">
        <v>CR113_N_Case3_ULS2_1.0EI_Hyd_a03BP1.0m</v>
      </c>
      <c r="B95" t="str">
        <v>23. Case RC  Wal [Phase_23]</v>
      </c>
      <c r="F95" t="e" cm="1" vm="1">
        <f t="array" ref="F95">TRANSPOSE(_xlfn._xlws.FILTER(_xlfn.ANCHORARRAY($B$2),_xlfn.ANCHORARRAY($A$2)=$E95))</f>
        <v>#VALUE!</v>
      </c>
    </row>
    <row r="96" spans="1:6" x14ac:dyDescent="0.25">
      <c r="A96" t="str">
        <v>CR113_N_Case3_ULS2_1.0EI_Hyd_a03BP1.0m</v>
      </c>
      <c r="B96" t="str">
        <v>24. Remove Kingpost and Backfill [Phase_24]</v>
      </c>
      <c r="F96" t="e" cm="1" vm="1">
        <f t="array" ref="F96">TRANSPOSE(_xlfn._xlws.FILTER(_xlfn.ANCHORARRAY($B$2),_xlfn.ANCHORARRAY($A$2)=$E96))</f>
        <v>#VALUE!</v>
      </c>
    </row>
    <row r="97" spans="1:6" x14ac:dyDescent="0.25">
      <c r="A97" t="str">
        <v>CR113_N_Case3_ULS2_1.0EI_Hyd_a03BP1.0m</v>
      </c>
      <c r="B97" t="str">
        <v>25. Backfill up to 1m below S2 [Phase_25]</v>
      </c>
      <c r="F97" t="e" cm="1" vm="1">
        <f t="array" ref="F97">TRANSPOSE(_xlfn._xlws.FILTER(_xlfn.ANCHORARRAY($B$2),_xlfn.ANCHORARRAY($A$2)=$E97))</f>
        <v>#VALUE!</v>
      </c>
    </row>
    <row r="98" spans="1:6" x14ac:dyDescent="0.25">
      <c r="A98" t="str">
        <v>CR113_N_Case3_ULS2_1.0EI_Hyd_a03BP1.0m</v>
      </c>
      <c r="B98" t="str">
        <v>26.Remove S2 [Phase_26]</v>
      </c>
      <c r="F98" t="e" cm="1" vm="1">
        <f t="array" ref="F98">TRANSPOSE(_xlfn._xlws.FILTER(_xlfn.ANCHORARRAY($B$2),_xlfn.ANCHORARRAY($A$2)=$E98))</f>
        <v>#VALUE!</v>
      </c>
    </row>
    <row r="99" spans="1:6" x14ac:dyDescent="0.25">
      <c r="A99" t="str">
        <v>CR113_N_Case3_ULS2_1.0EI_Hyd_a03BP1.0m</v>
      </c>
      <c r="B99" t="str">
        <v>27. Backfill upto 1m below S1 [Phase_27]</v>
      </c>
      <c r="F99" t="e" cm="1" vm="1">
        <f t="array" ref="F99">TRANSPOSE(_xlfn._xlws.FILTER(_xlfn.ANCHORARRAY($B$2),_xlfn.ANCHORARRAY($A$2)=$E99))</f>
        <v>#VALUE!</v>
      </c>
    </row>
    <row r="100" spans="1:6" x14ac:dyDescent="0.25">
      <c r="A100" t="str">
        <v>CR113_N_Case3_ULS2_1.0EI_Hyd_a03BP1.0m</v>
      </c>
      <c r="B100" t="str">
        <v>28. Remove S1 [Phase_28]</v>
      </c>
      <c r="F100" t="e" cm="1" vm="1">
        <f t="array" ref="F100">TRANSPOSE(_xlfn._xlws.FILTER(_xlfn.ANCHORARRAY($B$2),_xlfn.ANCHORARRAY($A$2)=$E100))</f>
        <v>#VALUE!</v>
      </c>
    </row>
    <row r="101" spans="1:6" x14ac:dyDescent="0.25">
      <c r="A101" t="str">
        <v>CR113_N_Case3_ULS2_1.0EI_Hyd_a03BP1.0m</v>
      </c>
      <c r="B101" t="str">
        <v>29. Backfill to final level [Phase_29]</v>
      </c>
      <c r="F101" t="e" cm="1" vm="1">
        <f t="array" ref="F101">TRANSPOSE(_xlfn._xlws.FILTER(_xlfn.ANCHORARRAY($B$2),_xlfn.ANCHORARRAY($A$2)=$E101))</f>
        <v>#VALUE!</v>
      </c>
    </row>
    <row r="102" spans="1:6" x14ac:dyDescent="0.25">
      <c r="A102" t="str">
        <v>CR113_N_Case3_ULS2_1.0EI_Hyd_a03BP1.0m</v>
      </c>
      <c r="B102" t="str">
        <v>30. Divert Traffic and Demolish Temp Structure [Phase_37]</v>
      </c>
      <c r="F102" t="e" cm="1" vm="1">
        <f t="array" ref="F102">TRANSPOSE(_xlfn._xlws.FILTER(_xlfn.ANCHORARRAY($B$2),_xlfn.ANCHORARRAY($A$2)=$E102))</f>
        <v>#VALUE!</v>
      </c>
    </row>
    <row r="103" spans="1:6" x14ac:dyDescent="0.25">
      <c r="A103" t="str">
        <v>CR113_N_Case5,8_SLS_0.7EI_SpG_a03BP1.0m</v>
      </c>
      <c r="B103" t="str">
        <v>Initial phase [InitialPhase]</v>
      </c>
      <c r="F103" t="e" cm="1" vm="1">
        <f t="array" ref="F103">TRANSPOSE(_xlfn._xlws.FILTER(_xlfn.ANCHORARRAY($B$2),_xlfn.ANCHORARRAY($A$2)=$E103))</f>
        <v>#VALUE!</v>
      </c>
    </row>
    <row r="104" spans="1:6" x14ac:dyDescent="0.25">
      <c r="A104" t="str">
        <v>CR113_N_Case5,8_SLS_0.7EI_SpG_a03BP1.0m</v>
      </c>
      <c r="B104" t="str">
        <v>1. Cut Slope for L Shape Wall [Phase_1]</v>
      </c>
      <c r="F104" t="e" cm="1" vm="1">
        <f t="array" ref="F104">TRANSPOSE(_xlfn._xlws.FILTER(_xlfn.ANCHORARRAY($B$2),_xlfn.ANCHORARRAY($A$2)=$E104))</f>
        <v>#VALUE!</v>
      </c>
    </row>
    <row r="105" spans="1:6" x14ac:dyDescent="0.25">
      <c r="A105" t="str">
        <v>CR113_N_Case5,8_SLS_0.7EI_SpG_a03BP1.0m</v>
      </c>
      <c r="B105" t="str">
        <v>2. Install Kingpost [Phase_2]</v>
      </c>
      <c r="F105" t="e" cm="1" vm="1">
        <f t="array" ref="F105">TRANSPOSE(_xlfn._xlws.FILTER(_xlfn.ANCHORARRAY($B$2),_xlfn.ANCHORARRAY($A$2)=$E105))</f>
        <v>#VALUE!</v>
      </c>
    </row>
    <row r="106" spans="1:6" x14ac:dyDescent="0.25">
      <c r="A106" t="str">
        <v>CR113_N_Case5,8_SLS_0.7EI_SpG_a03BP1.0m</v>
      </c>
      <c r="B106" t="str">
        <v>3. Cast L Shape wall, backfill and traffic divert [Phase_3]</v>
      </c>
      <c r="F106" t="e" cm="1" vm="1">
        <f t="array" ref="F106">TRANSPOSE(_xlfn._xlws.FILTER(_xlfn.ANCHORARRAY($B$2),_xlfn.ANCHORARRAY($A$2)=$E106))</f>
        <v>#VALUE!</v>
      </c>
    </row>
    <row r="107" spans="1:6" x14ac:dyDescent="0.25">
      <c r="A107" t="str">
        <v>CR113_N_Case5,8_SLS_0.7EI_SpG_a03BP1.0m</v>
      </c>
      <c r="B107" t="str">
        <v>4. Cut down to +20mSHD [Phase_4]</v>
      </c>
      <c r="F107" t="e" cm="1" vm="1">
        <f t="array" ref="F107">TRANSPOSE(_xlfn._xlws.FILTER(_xlfn.ANCHORARRAY($B$2),_xlfn.ANCHORARRAY($A$2)=$E107))</f>
        <v>#VALUE!</v>
      </c>
    </row>
    <row r="108" spans="1:6" x14ac:dyDescent="0.25">
      <c r="A108" t="str">
        <v>CR113_N_Case5,8_SLS_0.7EI_SpG_a03BP1.0m</v>
      </c>
      <c r="B108" t="str">
        <v>5. Install RHS DWall [Phase_5]</v>
      </c>
      <c r="F108" t="e" cm="1" vm="1">
        <f t="array" ref="F108">TRANSPOSE(_xlfn._xlws.FILTER(_xlfn.ANCHORARRAY($B$2),_xlfn.ANCHORARRAY($A$2)=$E108))</f>
        <v>#VALUE!</v>
      </c>
    </row>
    <row r="109" spans="1:6" x14ac:dyDescent="0.25">
      <c r="A109" t="str">
        <v>CR113_N_Case5,8_SLS_0.7EI_SpG_a03BP1.0m</v>
      </c>
      <c r="B109" t="str">
        <v>6. Cut slope for LHS DWall [Phase_6]</v>
      </c>
      <c r="F109" t="e" cm="1" vm="1">
        <f t="array" ref="F109">TRANSPOSE(_xlfn._xlws.FILTER(_xlfn.ANCHORARRAY($B$2),_xlfn.ANCHORARRAY($A$2)=$E109))</f>
        <v>#VALUE!</v>
      </c>
    </row>
    <row r="110" spans="1:6" x14ac:dyDescent="0.25">
      <c r="A110" t="str">
        <v>CR113_N_Case5,8_SLS_0.7EI_SpG_a03BP1.0m</v>
      </c>
      <c r="B110" t="str">
        <v>7. Install LHS DWalls &amp; Backfill behind DWall, Surcharge [Phase_7]</v>
      </c>
      <c r="F110" t="e" cm="1" vm="1">
        <f t="array" ref="F110">TRANSPOSE(_xlfn._xlws.FILTER(_xlfn.ANCHORARRAY($B$2),_xlfn.ANCHORARRAY($A$2)=$E110))</f>
        <v>#VALUE!</v>
      </c>
    </row>
    <row r="111" spans="1:6" x14ac:dyDescent="0.25">
      <c r="A111" t="str">
        <v>CR113_N_Case5,8_SLS_0.7EI_SpG_a03BP1.0m</v>
      </c>
      <c r="B111" t="str">
        <v>8. Exc for S1 [Phase_8]</v>
      </c>
      <c r="F111" t="e" cm="1" vm="1">
        <f t="array" ref="F111">TRANSPOSE(_xlfn._xlws.FILTER(_xlfn.ANCHORARRAY($B$2),_xlfn.ANCHORARRAY($A$2)=$E111))</f>
        <v>#VALUE!</v>
      </c>
    </row>
    <row r="112" spans="1:6" x14ac:dyDescent="0.25">
      <c r="A112" t="str">
        <v>CR113_N_Case5,8_SLS_0.7EI_SpG_a03BP1.0m</v>
      </c>
      <c r="B112" t="str">
        <v>9. Install S1 (PL=50) [Phase_9]</v>
      </c>
      <c r="F112" t="e" cm="1" vm="1">
        <f t="array" ref="F112">TRANSPOSE(_xlfn._xlws.FILTER(_xlfn.ANCHORARRAY($B$2),_xlfn.ANCHORARRAY($A$2)=$E112))</f>
        <v>#VALUE!</v>
      </c>
    </row>
    <row r="113" spans="1:6" x14ac:dyDescent="0.25">
      <c r="A113" t="str">
        <v>CR113_N_Case5,8_SLS_0.7EI_SpG_a03BP1.0m</v>
      </c>
      <c r="B113" t="str">
        <v>10. Exc for S2 [Phase_10]</v>
      </c>
      <c r="F113" t="e" cm="1" vm="1">
        <f t="array" ref="F113">TRANSPOSE(_xlfn._xlws.FILTER(_xlfn.ANCHORARRAY($B$2),_xlfn.ANCHORARRAY($A$2)=$E113))</f>
        <v>#VALUE!</v>
      </c>
    </row>
    <row r="114" spans="1:6" x14ac:dyDescent="0.25">
      <c r="A114" t="str">
        <v>CR113_N_Case5,8_SLS_0.7EI_SpG_a03BP1.0m</v>
      </c>
      <c r="B114" t="str">
        <v>11. Install S2 (PL=100) [Phase_11]</v>
      </c>
      <c r="F114" t="e" cm="1" vm="1">
        <f t="array" ref="F114">TRANSPOSE(_xlfn._xlws.FILTER(_xlfn.ANCHORARRAY($B$2),_xlfn.ANCHORARRAY($A$2)=$E114))</f>
        <v>#VALUE!</v>
      </c>
    </row>
    <row r="115" spans="1:6" x14ac:dyDescent="0.25">
      <c r="A115" t="str">
        <v>CR113_N_Case5,8_SLS_0.7EI_SpG_a03BP1.0m</v>
      </c>
      <c r="B115" t="str">
        <v>12. Exc for Roof [Phase_12]</v>
      </c>
      <c r="F115" t="e" cm="1" vm="1">
        <f t="array" ref="F115">TRANSPOSE(_xlfn._xlws.FILTER(_xlfn.ANCHORARRAY($B$2),_xlfn.ANCHORARRAY($A$2)=$E115))</f>
        <v>#VALUE!</v>
      </c>
    </row>
    <row r="116" spans="1:6" x14ac:dyDescent="0.25">
      <c r="A116" t="str">
        <v>CR113_N_Case5,8_SLS_0.7EI_SpG_a03BP1.0m</v>
      </c>
      <c r="B116" t="str">
        <v>13. Cast Roof Slab [Phase_13]</v>
      </c>
      <c r="F116" t="e" cm="1" vm="1">
        <f t="array" ref="F116">TRANSPOSE(_xlfn._xlws.FILTER(_xlfn.ANCHORARRAY($B$2),_xlfn.ANCHORARRAY($A$2)=$E116))</f>
        <v>#VALUE!</v>
      </c>
    </row>
    <row r="117" spans="1:6" x14ac:dyDescent="0.25">
      <c r="A117" t="str">
        <v>CR113_N_Case5,8_SLS_0.7EI_SpG_a03BP1.0m</v>
      </c>
      <c r="B117" t="str">
        <v>14. Exc for B1 [Phase_14]</v>
      </c>
      <c r="F117" t="e" cm="1" vm="1">
        <f t="array" ref="F117">TRANSPOSE(_xlfn._xlws.FILTER(_xlfn.ANCHORARRAY($B$2),_xlfn.ANCHORARRAY($A$2)=$E117))</f>
        <v>#VALUE!</v>
      </c>
    </row>
    <row r="118" spans="1:6" x14ac:dyDescent="0.25">
      <c r="A118" t="str">
        <v>CR113_N_Case5,8_SLS_0.7EI_SpG_a03BP1.0m</v>
      </c>
      <c r="B118" t="str">
        <v>15. Cast B1 Slab [Phase_15]</v>
      </c>
      <c r="F118" t="e" cm="1" vm="1">
        <f t="array" ref="F118">TRANSPOSE(_xlfn._xlws.FILTER(_xlfn.ANCHORARRAY($B$2),_xlfn.ANCHORARRAY($A$2)=$E118))</f>
        <v>#VALUE!</v>
      </c>
    </row>
    <row r="119" spans="1:6" x14ac:dyDescent="0.25">
      <c r="A119" t="str">
        <v>CR113_N_Case5,8_SLS_0.7EI_SpG_a03BP1.0m</v>
      </c>
      <c r="B119" t="str">
        <v>16. Exc for B2 [Phase_16]</v>
      </c>
      <c r="F119" t="e" cm="1" vm="1">
        <f t="array" ref="F119">TRANSPOSE(_xlfn._xlws.FILTER(_xlfn.ANCHORARRAY($B$2),_xlfn.ANCHORARRAY($A$2)=$E119))</f>
        <v>#VALUE!</v>
      </c>
    </row>
    <row r="120" spans="1:6" x14ac:dyDescent="0.25">
      <c r="A120" t="str">
        <v>CR113_N_Case5,8_SLS_0.7EI_SpG_a03BP1.0m</v>
      </c>
      <c r="B120" t="str">
        <v>17. Cast B2 Slab [Phase_17]</v>
      </c>
      <c r="F120" t="e" cm="1" vm="1">
        <f t="array" ref="F120">TRANSPOSE(_xlfn._xlws.FILTER(_xlfn.ANCHORARRAY($B$2),_xlfn.ANCHORARRAY($A$2)=$E120))</f>
        <v>#VALUE!</v>
      </c>
    </row>
    <row r="121" spans="1:6" x14ac:dyDescent="0.25">
      <c r="A121" t="str">
        <v>CR113_N_Case5,8_SLS_0.7EI_SpG_a03BP1.0m</v>
      </c>
      <c r="B121" t="str">
        <v>18. Exc for S3 [Phase_18]</v>
      </c>
      <c r="F121" t="e" cm="1" vm="1">
        <f t="array" ref="F121">TRANSPOSE(_xlfn._xlws.FILTER(_xlfn.ANCHORARRAY($B$2),_xlfn.ANCHORARRAY($A$2)=$E121))</f>
        <v>#VALUE!</v>
      </c>
    </row>
    <row r="122" spans="1:6" x14ac:dyDescent="0.25">
      <c r="A122" t="str">
        <v>CR113_N_Case5,8_SLS_0.7EI_SpG_a03BP1.0m</v>
      </c>
      <c r="B122" t="str">
        <v>19. Install S3 (PL=550) [Phase_19]</v>
      </c>
      <c r="F122" t="e" cm="1" vm="1">
        <f t="array" ref="F122">TRANSPOSE(_xlfn._xlws.FILTER(_xlfn.ANCHORARRAY($B$2),_xlfn.ANCHORARRAY($A$2)=$E122))</f>
        <v>#VALUE!</v>
      </c>
    </row>
    <row r="123" spans="1:6" x14ac:dyDescent="0.25">
      <c r="A123" t="str">
        <v>CR113_N_Case5,8_SLS_0.7EI_SpG_a03BP1.0m</v>
      </c>
      <c r="B123" t="str">
        <v>20. Exc for FEL [Phase_20]</v>
      </c>
      <c r="F123" t="e" cm="1" vm="1">
        <f t="array" ref="F123">TRANSPOSE(_xlfn._xlws.FILTER(_xlfn.ANCHORARRAY($B$2),_xlfn.ANCHORARRAY($A$2)=$E123))</f>
        <v>#VALUE!</v>
      </c>
    </row>
    <row r="124" spans="1:6" x14ac:dyDescent="0.25">
      <c r="A124" t="str">
        <v>CR113_N_Case5,8_SLS_0.7EI_SpG_a03BP1.0m</v>
      </c>
      <c r="B124" t="str">
        <v>21. Cast Base Slab [Phase_21]</v>
      </c>
      <c r="F124" t="e" cm="1" vm="1">
        <f t="array" ref="F124">TRANSPOSE(_xlfn._xlws.FILTER(_xlfn.ANCHORARRAY($B$2),_xlfn.ANCHORARRAY($A$2)=$E124))</f>
        <v>#VALUE!</v>
      </c>
    </row>
    <row r="125" spans="1:6" x14ac:dyDescent="0.25">
      <c r="A125" t="str">
        <v>CR113_N_Case5,8_SLS_0.7EI_SpG_a03BP1.0m</v>
      </c>
      <c r="B125" t="str">
        <v>22. Remove S3 [Phase_22]</v>
      </c>
      <c r="F125" t="e" cm="1" vm="1">
        <f t="array" ref="F125">TRANSPOSE(_xlfn._xlws.FILTER(_xlfn.ANCHORARRAY($B$2),_xlfn.ANCHORARRAY($A$2)=$E125))</f>
        <v>#VALUE!</v>
      </c>
    </row>
    <row r="126" spans="1:6" x14ac:dyDescent="0.25">
      <c r="A126" t="str">
        <v>CR113_N_Case5,8_SLS_0.7EI_SpG_a03BP1.0m</v>
      </c>
      <c r="B126" t="str">
        <v>23. Case RC  Wal [Phase_23]</v>
      </c>
      <c r="F126" t="e" cm="1" vm="1">
        <f t="array" ref="F126">TRANSPOSE(_xlfn._xlws.FILTER(_xlfn.ANCHORARRAY($B$2),_xlfn.ANCHORARRAY($A$2)=$E126))</f>
        <v>#VALUE!</v>
      </c>
    </row>
    <row r="127" spans="1:6" x14ac:dyDescent="0.25">
      <c r="A127" t="str">
        <v>CR113_N_Case5,8_SLS_0.7EI_SpG_a03BP1.0m</v>
      </c>
      <c r="B127" t="str">
        <v>24. Remove Kingpost and Backfill [Phase_24]</v>
      </c>
      <c r="F127" t="e" cm="1" vm="1">
        <f t="array" ref="F127">TRANSPOSE(_xlfn._xlws.FILTER(_xlfn.ANCHORARRAY($B$2),_xlfn.ANCHORARRAY($A$2)=$E127))</f>
        <v>#VALUE!</v>
      </c>
    </row>
    <row r="128" spans="1:6" x14ac:dyDescent="0.25">
      <c r="A128" t="str">
        <v>CR113_N_Case5,8_SLS_0.7EI_SpG_a03BP1.0m</v>
      </c>
      <c r="B128" t="str">
        <v>25. Backfill up to 1m below S2 [Phase_25]</v>
      </c>
      <c r="F128" t="e" cm="1" vm="1">
        <f t="array" ref="F128">TRANSPOSE(_xlfn._xlws.FILTER(_xlfn.ANCHORARRAY($B$2),_xlfn.ANCHORARRAY($A$2)=$E128))</f>
        <v>#VALUE!</v>
      </c>
    </row>
    <row r="129" spans="1:6" x14ac:dyDescent="0.25">
      <c r="A129" t="str">
        <v>CR113_N_Case5,8_SLS_0.7EI_SpG_a03BP1.0m</v>
      </c>
      <c r="B129" t="str">
        <v>26.Remove S2 [Phase_26]</v>
      </c>
      <c r="F129" t="e" cm="1" vm="1">
        <f t="array" ref="F129">TRANSPOSE(_xlfn._xlws.FILTER(_xlfn.ANCHORARRAY($B$2),_xlfn.ANCHORARRAY($A$2)=$E129))</f>
        <v>#VALUE!</v>
      </c>
    </row>
    <row r="130" spans="1:6" x14ac:dyDescent="0.25">
      <c r="A130" t="str">
        <v>CR113_N_Case5,8_SLS_0.7EI_SpG_a03BP1.0m</v>
      </c>
      <c r="B130" t="str">
        <v>27. Backfill upto 1m below S1 [Phase_27]</v>
      </c>
      <c r="F130" t="e" cm="1" vm="1">
        <f t="array" ref="F130">TRANSPOSE(_xlfn._xlws.FILTER(_xlfn.ANCHORARRAY($B$2),_xlfn.ANCHORARRAY($A$2)=$E130))</f>
        <v>#VALUE!</v>
      </c>
    </row>
    <row r="131" spans="1:6" x14ac:dyDescent="0.25">
      <c r="A131" t="str">
        <v>CR113_N_Case5,8_SLS_0.7EI_SpG_a03BP1.0m</v>
      </c>
      <c r="B131" t="str">
        <v>28. Remove S1 [Phase_28]</v>
      </c>
      <c r="F131" t="e" cm="1" vm="1">
        <f t="array" ref="F131">TRANSPOSE(_xlfn._xlws.FILTER(_xlfn.ANCHORARRAY($B$2),_xlfn.ANCHORARRAY($A$2)=$E131))</f>
        <v>#VALUE!</v>
      </c>
    </row>
    <row r="132" spans="1:6" x14ac:dyDescent="0.25">
      <c r="A132" t="str">
        <v>CR113_N_Case5,8_SLS_0.7EI_SpG_a03BP1.0m</v>
      </c>
      <c r="B132" t="str">
        <v>29. Backfill to final level [Phase_29]</v>
      </c>
      <c r="F132" t="e" cm="1" vm="1">
        <f t="array" ref="F132">TRANSPOSE(_xlfn._xlws.FILTER(_xlfn.ANCHORARRAY($B$2),_xlfn.ANCHORARRAY($A$2)=$E132))</f>
        <v>#VALUE!</v>
      </c>
    </row>
    <row r="133" spans="1:6" x14ac:dyDescent="0.25">
      <c r="A133" t="str">
        <v>CR113_N_Case5,8_SLS_0.7EI_SpG_a03BP1.0m</v>
      </c>
      <c r="B133" t="str">
        <v>30. Divert Traffic and Demolish Temp Structure [Phase_37]</v>
      </c>
      <c r="F133" t="e" cm="1" vm="1">
        <f t="array" ref="F133">TRANSPOSE(_xlfn._xlws.FILTER(_xlfn.ANCHORARRAY($B$2),_xlfn.ANCHORARRAY($A$2)=$E133))</f>
        <v>#VALUE!</v>
      </c>
    </row>
    <row r="134" spans="1:6" x14ac:dyDescent="0.25">
      <c r="A134" t="str">
        <v>CR113_N_Case5,8_SLS_0.7EI_SpG_a03BP1.0m</v>
      </c>
      <c r="B134" t="str">
        <v>4.OSF_ S3 Fails [Phase_35]</v>
      </c>
      <c r="F134" t="e" cm="1" vm="1">
        <f t="array" ref="F134">TRANSPOSE(_xlfn._xlws.FILTER(_xlfn.ANCHORARRAY($B$2),_xlfn.ANCHORARRAY($A$2)=$E134))</f>
        <v>#VALUE!</v>
      </c>
    </row>
    <row r="135" spans="1:6" x14ac:dyDescent="0.25">
      <c r="A135" t="str">
        <v>CR113_N_Case5,8_SLS_0.7EI_SpG_a03BP1.0m</v>
      </c>
      <c r="B135" t="str">
        <v>5.OSF_ S2 Fails [Phase_36]</v>
      </c>
      <c r="F135" t="e" cm="1" vm="1">
        <f t="array" ref="F135">TRANSPOSE(_xlfn._xlws.FILTER(_xlfn.ANCHORARRAY($B$2),_xlfn.ANCHORARRAY($A$2)=$E135))</f>
        <v>#VALUE!</v>
      </c>
    </row>
    <row r="136" spans="1:6" x14ac:dyDescent="0.25">
      <c r="A136" t="str">
        <v>CR113_N_Case5,8_SLS_0.7EI_SpG_a03BP1.0m</v>
      </c>
      <c r="B136" t="str">
        <v>2.OSF_ S2 Fails [Phase_33]</v>
      </c>
      <c r="F136" t="e" cm="1" vm="1">
        <f t="array" ref="F136">TRANSPOSE(_xlfn._xlws.FILTER(_xlfn.ANCHORARRAY($B$2),_xlfn.ANCHORARRAY($A$2)=$E136))</f>
        <v>#VALUE!</v>
      </c>
    </row>
    <row r="137" spans="1:6" x14ac:dyDescent="0.25">
      <c r="A137" t="str">
        <v>CR113_N_Case5,8_SLS_0.7EI_SpG_a03BP1.0m</v>
      </c>
      <c r="B137" t="str">
        <v>3.OSF_ S1 Fails [Phase_34]</v>
      </c>
      <c r="F137" t="e" cm="1" vm="1">
        <f t="array" ref="F137">TRANSPOSE(_xlfn._xlws.FILTER(_xlfn.ANCHORARRAY($B$2),_xlfn.ANCHORARRAY($A$2)=$E137))</f>
        <v>#VALUE!</v>
      </c>
    </row>
    <row r="138" spans="1:6" x14ac:dyDescent="0.25">
      <c r="A138" t="str">
        <v>CR113_N_Case5,8_SLS_0.7EI_SpG_a03BP1.0m</v>
      </c>
      <c r="B138" t="str">
        <v>1.OSF _ Install S1 [Phase_30]</v>
      </c>
      <c r="F138" t="e" cm="1" vm="1">
        <f t="array" ref="F138">TRANSPOSE(_xlfn._xlws.FILTER(_xlfn.ANCHORARRAY($B$2),_xlfn.ANCHORARRAY($A$2)=$E138))</f>
        <v>#VALUE!</v>
      </c>
    </row>
    <row r="139" spans="1:6" x14ac:dyDescent="0.25">
      <c r="A139" t="str">
        <v>CR113_N_Case5,8_SLS_0.7EI_SpG_a03BP1.0m</v>
      </c>
      <c r="B139" t="str">
        <v>1.OSF_ Exc for S2 [Phase_31]</v>
      </c>
      <c r="F139" t="e" cm="1" vm="1">
        <f t="array" ref="F139">TRANSPOSE(_xlfn._xlws.FILTER(_xlfn.ANCHORARRAY($B$2),_xlfn.ANCHORARRAY($A$2)=$E139))</f>
        <v>#VALUE!</v>
      </c>
    </row>
    <row r="140" spans="1:6" x14ac:dyDescent="0.25">
      <c r="A140" t="str">
        <v>CR113_N_Case5,8_SLS_0.7EI_SpG_a03BP1.0m</v>
      </c>
      <c r="B140" t="str">
        <v>1.OSF_ S1 Fails [Phase_32]</v>
      </c>
      <c r="F140" t="e" cm="1" vm="1">
        <f t="array" ref="F140">TRANSPOSE(_xlfn._xlws.FILTER(_xlfn.ANCHORARRAY($B$2),_xlfn.ANCHORARRAY($A$2)=$E140))</f>
        <v>#VALUE!</v>
      </c>
    </row>
    <row r="141" spans="1:6" x14ac:dyDescent="0.25">
      <c r="A141" t="str">
        <v>CR113_N_Case6,7_ULS1_1.0EI_SpG_a03BP1.0m</v>
      </c>
      <c r="B141" t="str">
        <v>Initial phase [InitialPhase]</v>
      </c>
      <c r="F141" t="e" cm="1" vm="1">
        <f t="array" ref="F141">TRANSPOSE(_xlfn._xlws.FILTER(_xlfn.ANCHORARRAY($B$2),_xlfn.ANCHORARRAY($A$2)=$E141))</f>
        <v>#VALUE!</v>
      </c>
    </row>
    <row r="142" spans="1:6" x14ac:dyDescent="0.25">
      <c r="A142" t="str">
        <v>CR113_N_Case6,7_ULS1_1.0EI_SpG_a03BP1.0m</v>
      </c>
      <c r="B142" t="str">
        <v>1. Cut Slope for L Shape Wall [Phase_1]</v>
      </c>
      <c r="F142" t="e" cm="1" vm="1">
        <f t="array" ref="F142">TRANSPOSE(_xlfn._xlws.FILTER(_xlfn.ANCHORARRAY($B$2),_xlfn.ANCHORARRAY($A$2)=$E142))</f>
        <v>#VALUE!</v>
      </c>
    </row>
    <row r="143" spans="1:6" x14ac:dyDescent="0.25">
      <c r="A143" t="str">
        <v>CR113_N_Case6,7_ULS1_1.0EI_SpG_a03BP1.0m</v>
      </c>
      <c r="B143" t="str">
        <v>2. Install Kingpost [Phase_2]</v>
      </c>
      <c r="F143" t="e" cm="1" vm="1">
        <f t="array" ref="F143">TRANSPOSE(_xlfn._xlws.FILTER(_xlfn.ANCHORARRAY($B$2),_xlfn.ANCHORARRAY($A$2)=$E143))</f>
        <v>#VALUE!</v>
      </c>
    </row>
    <row r="144" spans="1:6" x14ac:dyDescent="0.25">
      <c r="A144" t="str">
        <v>CR113_N_Case6,7_ULS1_1.0EI_SpG_a03BP1.0m</v>
      </c>
      <c r="B144" t="str">
        <v>3. Cast L Shape wall, backfill and traffic divert [Phase_3]</v>
      </c>
      <c r="F144" t="e" cm="1" vm="1">
        <f t="array" ref="F144">TRANSPOSE(_xlfn._xlws.FILTER(_xlfn.ANCHORARRAY($B$2),_xlfn.ANCHORARRAY($A$2)=$E144))</f>
        <v>#VALUE!</v>
      </c>
    </row>
    <row r="145" spans="1:6" x14ac:dyDescent="0.25">
      <c r="A145" t="str">
        <v>CR113_N_Case6,7_ULS1_1.0EI_SpG_a03BP1.0m</v>
      </c>
      <c r="B145" t="str">
        <v>4. Cut down to +20mSHD [Phase_4]</v>
      </c>
      <c r="F145" t="e" cm="1" vm="1">
        <f t="array" ref="F145">TRANSPOSE(_xlfn._xlws.FILTER(_xlfn.ANCHORARRAY($B$2),_xlfn.ANCHORARRAY($A$2)=$E145))</f>
        <v>#VALUE!</v>
      </c>
    </row>
    <row r="146" spans="1:6" x14ac:dyDescent="0.25">
      <c r="A146" t="str">
        <v>CR113_N_Case6,7_ULS1_1.0EI_SpG_a03BP1.0m</v>
      </c>
      <c r="B146" t="str">
        <v>5. Install RHS DWall [Phase_5]</v>
      </c>
      <c r="F146" t="e" cm="1" vm="1">
        <f t="array" ref="F146">TRANSPOSE(_xlfn._xlws.FILTER(_xlfn.ANCHORARRAY($B$2),_xlfn.ANCHORARRAY($A$2)=$E146))</f>
        <v>#VALUE!</v>
      </c>
    </row>
    <row r="147" spans="1:6" x14ac:dyDescent="0.25">
      <c r="A147" t="str">
        <v>CR113_N_Case6,7_ULS1_1.0EI_SpG_a03BP1.0m</v>
      </c>
      <c r="B147" t="str">
        <v>6. Cut slope for LHS DWall [Phase_6]</v>
      </c>
      <c r="F147" t="e" cm="1" vm="1">
        <f t="array" ref="F147">TRANSPOSE(_xlfn._xlws.FILTER(_xlfn.ANCHORARRAY($B$2),_xlfn.ANCHORARRAY($A$2)=$E147))</f>
        <v>#VALUE!</v>
      </c>
    </row>
    <row r="148" spans="1:6" x14ac:dyDescent="0.25">
      <c r="A148" t="str">
        <v>CR113_N_Case6,7_ULS1_1.0EI_SpG_a03BP1.0m</v>
      </c>
      <c r="B148" t="str">
        <v>7. Install LHS DWalls &amp; Backfill behind DWall, Surcharge [Phase_7]</v>
      </c>
      <c r="F148" t="e" cm="1" vm="1">
        <f t="array" ref="F148">TRANSPOSE(_xlfn._xlws.FILTER(_xlfn.ANCHORARRAY($B$2),_xlfn.ANCHORARRAY($A$2)=$E148))</f>
        <v>#VALUE!</v>
      </c>
    </row>
    <row r="149" spans="1:6" x14ac:dyDescent="0.25">
      <c r="A149" t="str">
        <v>CR113_N_Case6,7_ULS1_1.0EI_SpG_a03BP1.0m</v>
      </c>
      <c r="B149" t="str">
        <v>8. Exc for S1 [Phase_8]</v>
      </c>
      <c r="F149" t="e" cm="1" vm="1">
        <f t="array" ref="F149">TRANSPOSE(_xlfn._xlws.FILTER(_xlfn.ANCHORARRAY($B$2),_xlfn.ANCHORARRAY($A$2)=$E149))</f>
        <v>#VALUE!</v>
      </c>
    </row>
    <row r="150" spans="1:6" x14ac:dyDescent="0.25">
      <c r="A150" t="str">
        <v>CR113_N_Case6,7_ULS1_1.0EI_SpG_a03BP1.0m</v>
      </c>
      <c r="B150" t="str">
        <v>9. Install S1 (PL=50) [Phase_9]</v>
      </c>
      <c r="F150" t="e" cm="1" vm="1">
        <f t="array" ref="F150">TRANSPOSE(_xlfn._xlws.FILTER(_xlfn.ANCHORARRAY($B$2),_xlfn.ANCHORARRAY($A$2)=$E150))</f>
        <v>#VALUE!</v>
      </c>
    </row>
    <row r="151" spans="1:6" x14ac:dyDescent="0.25">
      <c r="A151" t="str">
        <v>CR113_N_Case6,7_ULS1_1.0EI_SpG_a03BP1.0m</v>
      </c>
      <c r="B151" t="str">
        <v>10. Exc for S2 [Phase_10]</v>
      </c>
      <c r="F151" t="e" cm="1" vm="1">
        <f t="array" ref="F151">TRANSPOSE(_xlfn._xlws.FILTER(_xlfn.ANCHORARRAY($B$2),_xlfn.ANCHORARRAY($A$2)=$E151))</f>
        <v>#VALUE!</v>
      </c>
    </row>
    <row r="152" spans="1:6" x14ac:dyDescent="0.25">
      <c r="A152" t="str">
        <v>CR113_N_Case6,7_ULS1_1.0EI_SpG_a03BP1.0m</v>
      </c>
      <c r="B152" t="str">
        <v>11. Install S2 (PL=100) [Phase_11]</v>
      </c>
      <c r="F152" t="e" cm="1" vm="1">
        <f t="array" ref="F152">TRANSPOSE(_xlfn._xlws.FILTER(_xlfn.ANCHORARRAY($B$2),_xlfn.ANCHORARRAY($A$2)=$E152))</f>
        <v>#VALUE!</v>
      </c>
    </row>
    <row r="153" spans="1:6" x14ac:dyDescent="0.25">
      <c r="A153" t="str">
        <v>CR113_N_Case6,7_ULS1_1.0EI_SpG_a03BP1.0m</v>
      </c>
      <c r="B153" t="str">
        <v>12. Exc for Roof [Phase_12]</v>
      </c>
      <c r="F153" t="e" cm="1" vm="1">
        <f t="array" ref="F153">TRANSPOSE(_xlfn._xlws.FILTER(_xlfn.ANCHORARRAY($B$2),_xlfn.ANCHORARRAY($A$2)=$E153))</f>
        <v>#VALUE!</v>
      </c>
    </row>
    <row r="154" spans="1:6" x14ac:dyDescent="0.25">
      <c r="A154" t="str">
        <v>CR113_N_Case6,7_ULS1_1.0EI_SpG_a03BP1.0m</v>
      </c>
      <c r="B154" t="str">
        <v>13. Cast Roof Slab [Phase_13]</v>
      </c>
      <c r="F154" t="e" cm="1" vm="1">
        <f t="array" ref="F154">TRANSPOSE(_xlfn._xlws.FILTER(_xlfn.ANCHORARRAY($B$2),_xlfn.ANCHORARRAY($A$2)=$E154))</f>
        <v>#VALUE!</v>
      </c>
    </row>
    <row r="155" spans="1:6" x14ac:dyDescent="0.25">
      <c r="A155" t="str">
        <v>CR113_N_Case6,7_ULS1_1.0EI_SpG_a03BP1.0m</v>
      </c>
      <c r="B155" t="str">
        <v>14. Exc for B1 [Phase_14]</v>
      </c>
      <c r="F155" t="e" cm="1" vm="1">
        <f t="array" ref="F155">TRANSPOSE(_xlfn._xlws.FILTER(_xlfn.ANCHORARRAY($B$2),_xlfn.ANCHORARRAY($A$2)=$E155))</f>
        <v>#VALUE!</v>
      </c>
    </row>
    <row r="156" spans="1:6" x14ac:dyDescent="0.25">
      <c r="A156" t="str">
        <v>CR113_N_Case6,7_ULS1_1.0EI_SpG_a03BP1.0m</v>
      </c>
      <c r="B156" t="str">
        <v>15. Cast B1 Slab [Phase_15]</v>
      </c>
      <c r="F156" t="e" cm="1" vm="1">
        <f t="array" ref="F156">TRANSPOSE(_xlfn._xlws.FILTER(_xlfn.ANCHORARRAY($B$2),_xlfn.ANCHORARRAY($A$2)=$E156))</f>
        <v>#VALUE!</v>
      </c>
    </row>
    <row r="157" spans="1:6" x14ac:dyDescent="0.25">
      <c r="A157" t="str">
        <v>CR113_N_Case6,7_ULS1_1.0EI_SpG_a03BP1.0m</v>
      </c>
      <c r="B157" t="str">
        <v>16. Exc for B2 [Phase_16]</v>
      </c>
      <c r="F157" t="e" cm="1" vm="1">
        <f t="array" ref="F157">TRANSPOSE(_xlfn._xlws.FILTER(_xlfn.ANCHORARRAY($B$2),_xlfn.ANCHORARRAY($A$2)=$E157))</f>
        <v>#VALUE!</v>
      </c>
    </row>
    <row r="158" spans="1:6" x14ac:dyDescent="0.25">
      <c r="A158" t="str">
        <v>CR113_N_Case6,7_ULS1_1.0EI_SpG_a03BP1.0m</v>
      </c>
      <c r="B158" t="str">
        <v>17. Cast B2 Slab [Phase_17]</v>
      </c>
      <c r="F158" t="e" cm="1" vm="1">
        <f t="array" ref="F158">TRANSPOSE(_xlfn._xlws.FILTER(_xlfn.ANCHORARRAY($B$2),_xlfn.ANCHORARRAY($A$2)=$E158))</f>
        <v>#VALUE!</v>
      </c>
    </row>
    <row r="159" spans="1:6" x14ac:dyDescent="0.25">
      <c r="A159" t="str">
        <v>CR113_N_Case6,7_ULS1_1.0EI_SpG_a03BP1.0m</v>
      </c>
      <c r="B159" t="str">
        <v>18. Exc for S3 [Phase_18]</v>
      </c>
      <c r="F159" t="e" cm="1" vm="1">
        <f t="array" ref="F159">TRANSPOSE(_xlfn._xlws.FILTER(_xlfn.ANCHORARRAY($B$2),_xlfn.ANCHORARRAY($A$2)=$E159))</f>
        <v>#VALUE!</v>
      </c>
    </row>
    <row r="160" spans="1:6" x14ac:dyDescent="0.25">
      <c r="A160" t="str">
        <v>CR113_N_Case6,7_ULS1_1.0EI_SpG_a03BP1.0m</v>
      </c>
      <c r="B160" t="str">
        <v>19. Install S3 (PL=550) [Phase_19]</v>
      </c>
      <c r="F160" t="e" cm="1" vm="1">
        <f t="array" ref="F160">TRANSPOSE(_xlfn._xlws.FILTER(_xlfn.ANCHORARRAY($B$2),_xlfn.ANCHORARRAY($A$2)=$E160))</f>
        <v>#VALUE!</v>
      </c>
    </row>
    <row r="161" spans="1:6" x14ac:dyDescent="0.25">
      <c r="A161" t="str">
        <v>CR113_N_Case6,7_ULS1_1.0EI_SpG_a03BP1.0m</v>
      </c>
      <c r="B161" t="str">
        <v>20. Exc for FEL [Phase_20]</v>
      </c>
      <c r="F161" t="e" cm="1" vm="1">
        <f t="array" ref="F161">TRANSPOSE(_xlfn._xlws.FILTER(_xlfn.ANCHORARRAY($B$2),_xlfn.ANCHORARRAY($A$2)=$E161))</f>
        <v>#VALUE!</v>
      </c>
    </row>
    <row r="162" spans="1:6" x14ac:dyDescent="0.25">
      <c r="A162" t="str">
        <v>CR113_N_Case6,7_ULS1_1.0EI_SpG_a03BP1.0m</v>
      </c>
      <c r="B162" t="str">
        <v>21. Cast Base Slab [Phase_21]</v>
      </c>
      <c r="F162" t="e" cm="1" vm="1">
        <f t="array" ref="F162">TRANSPOSE(_xlfn._xlws.FILTER(_xlfn.ANCHORARRAY($B$2),_xlfn.ANCHORARRAY($A$2)=$E162))</f>
        <v>#VALUE!</v>
      </c>
    </row>
    <row r="163" spans="1:6" x14ac:dyDescent="0.25">
      <c r="A163" t="str">
        <v>CR113_N_Case6,7_ULS1_1.0EI_SpG_a03BP1.0m</v>
      </c>
      <c r="B163" t="str">
        <v>22. Remove S3 [Phase_22]</v>
      </c>
      <c r="F163" t="e" cm="1" vm="1">
        <f t="array" ref="F163">TRANSPOSE(_xlfn._xlws.FILTER(_xlfn.ANCHORARRAY($B$2),_xlfn.ANCHORARRAY($A$2)=$E163))</f>
        <v>#VALUE!</v>
      </c>
    </row>
    <row r="164" spans="1:6" x14ac:dyDescent="0.25">
      <c r="A164" t="str">
        <v>CR113_N_Case6,7_ULS1_1.0EI_SpG_a03BP1.0m</v>
      </c>
      <c r="B164" t="str">
        <v>23. Case RC  Wal [Phase_23]</v>
      </c>
      <c r="F164" t="e" cm="1" vm="1">
        <f t="array" ref="F164">TRANSPOSE(_xlfn._xlws.FILTER(_xlfn.ANCHORARRAY($B$2),_xlfn.ANCHORARRAY($A$2)=$E164))</f>
        <v>#VALUE!</v>
      </c>
    </row>
    <row r="165" spans="1:6" x14ac:dyDescent="0.25">
      <c r="A165" t="str">
        <v>CR113_N_Case6,7_ULS1_1.0EI_SpG_a03BP1.0m</v>
      </c>
      <c r="B165" t="str">
        <v>24. Remove Kingpost and Backfill [Phase_24]</v>
      </c>
      <c r="F165" t="e" cm="1" vm="1">
        <f t="array" ref="F165">TRANSPOSE(_xlfn._xlws.FILTER(_xlfn.ANCHORARRAY($B$2),_xlfn.ANCHORARRAY($A$2)=$E165))</f>
        <v>#VALUE!</v>
      </c>
    </row>
    <row r="166" spans="1:6" x14ac:dyDescent="0.25">
      <c r="A166" t="str">
        <v>CR113_N_Case6,7_ULS1_1.0EI_SpG_a03BP1.0m</v>
      </c>
      <c r="B166" t="str">
        <v>25. Backfill up to 1m below S2 [Phase_25]</v>
      </c>
      <c r="F166" t="e" cm="1" vm="1">
        <f t="array" ref="F166">TRANSPOSE(_xlfn._xlws.FILTER(_xlfn.ANCHORARRAY($B$2),_xlfn.ANCHORARRAY($A$2)=$E166))</f>
        <v>#VALUE!</v>
      </c>
    </row>
    <row r="167" spans="1:6" x14ac:dyDescent="0.25">
      <c r="A167" t="str">
        <v>CR113_N_Case6,7_ULS1_1.0EI_SpG_a03BP1.0m</v>
      </c>
      <c r="B167" t="str">
        <v>26.Remove S2 [Phase_26]</v>
      </c>
      <c r="F167" t="e" cm="1" vm="1">
        <f t="array" ref="F167">TRANSPOSE(_xlfn._xlws.FILTER(_xlfn.ANCHORARRAY($B$2),_xlfn.ANCHORARRAY($A$2)=$E167))</f>
        <v>#VALUE!</v>
      </c>
    </row>
    <row r="168" spans="1:6" x14ac:dyDescent="0.25">
      <c r="A168" t="str">
        <v>CR113_N_Case6,7_ULS1_1.0EI_SpG_a03BP1.0m</v>
      </c>
      <c r="B168" t="str">
        <v>27. Backfill upto 1m below S1 [Phase_27]</v>
      </c>
      <c r="F168" t="e" cm="1" vm="1">
        <f t="array" ref="F168">TRANSPOSE(_xlfn._xlws.FILTER(_xlfn.ANCHORARRAY($B$2),_xlfn.ANCHORARRAY($A$2)=$E168))</f>
        <v>#VALUE!</v>
      </c>
    </row>
    <row r="169" spans="1:6" x14ac:dyDescent="0.25">
      <c r="A169" t="str">
        <v>CR113_N_Case6,7_ULS1_1.0EI_SpG_a03BP1.0m</v>
      </c>
      <c r="B169" t="str">
        <v>28. Remove S1 [Phase_28]</v>
      </c>
      <c r="F169" t="e" cm="1" vm="1">
        <f t="array" ref="F169">TRANSPOSE(_xlfn._xlws.FILTER(_xlfn.ANCHORARRAY($B$2),_xlfn.ANCHORARRAY($A$2)=$E169))</f>
        <v>#VALUE!</v>
      </c>
    </row>
    <row r="170" spans="1:6" x14ac:dyDescent="0.25">
      <c r="A170" t="str">
        <v>CR113_N_Case6,7_ULS1_1.0EI_SpG_a03BP1.0m</v>
      </c>
      <c r="B170" t="str">
        <v>29. Backfill to final level [Phase_29]</v>
      </c>
      <c r="F170" t="e" cm="1" vm="1">
        <f t="array" ref="F170">TRANSPOSE(_xlfn._xlws.FILTER(_xlfn.ANCHORARRAY($B$2),_xlfn.ANCHORARRAY($A$2)=$E170))</f>
        <v>#VALUE!</v>
      </c>
    </row>
    <row r="171" spans="1:6" x14ac:dyDescent="0.25">
      <c r="A171" t="str">
        <v>CR113_N_Case6,7_ULS1_1.0EI_SpG_a03BP1.0m</v>
      </c>
      <c r="B171" t="str">
        <v>30. Divert Traffic and Demolish Temp Structure [Phase_37]</v>
      </c>
      <c r="F171" t="e" cm="1" vm="1">
        <f t="array" ref="F171">TRANSPOSE(_xlfn._xlws.FILTER(_xlfn.ANCHORARRAY($B$2),_xlfn.ANCHORARRAY($A$2)=$E171))</f>
        <v>#VALUE!</v>
      </c>
    </row>
    <row r="172" spans="1:6" x14ac:dyDescent="0.25">
      <c r="A172" t="str">
        <v>CR113_N_Case6,7_ULS1_1.0EI_SpG_a03BP1.0m</v>
      </c>
      <c r="B172" t="str">
        <v>31a. Backfill to Final level [Phase_31]</v>
      </c>
      <c r="F172" t="e" cm="1" vm="1">
        <f t="array" ref="F172">TRANSPOSE(_xlfn._xlws.FILTER(_xlfn.ANCHORARRAY($B$2),_xlfn.ANCHORARRAY($A$2)=$E172))</f>
        <v>#VALUE!</v>
      </c>
    </row>
    <row r="173" spans="1:6" x14ac:dyDescent="0.25">
      <c r="A173" t="str">
        <v>CR113_N_Case6,7_ULS1_1.0EI_SpG_a03BP1.0m</v>
      </c>
      <c r="B173" t="str">
        <v>20a. Exc for FEL [Phase_30]</v>
      </c>
      <c r="F173" t="e" cm="1" vm="1">
        <f t="array" ref="F173">TRANSPOSE(_xlfn._xlws.FILTER(_xlfn.ANCHORARRAY($B$2),_xlfn.ANCHORARRAY($A$2)=$E173))</f>
        <v>#VALUE!</v>
      </c>
    </row>
    <row r="174" spans="1:6" x14ac:dyDescent="0.25">
      <c r="A174" t="str">
        <v>CR113_N_CaseA_SLS_0.7EI_SpD_a03BP1.0m</v>
      </c>
      <c r="B174" t="str">
        <v>Initial phase [InitialPhase]</v>
      </c>
      <c r="F174" t="e" cm="1" vm="1">
        <f t="array" ref="F174">TRANSPOSE(_xlfn._xlws.FILTER(_xlfn.ANCHORARRAY($B$2),_xlfn.ANCHORARRAY($A$2)=$E174))</f>
        <v>#VALUE!</v>
      </c>
    </row>
    <row r="175" spans="1:6" x14ac:dyDescent="0.25">
      <c r="A175" t="str">
        <v>CR113_N_CaseA_SLS_0.7EI_SpD_a03BP1.0m</v>
      </c>
      <c r="B175" t="str">
        <v>1. Cut Slope for L Shape Wall [Phase_1]</v>
      </c>
      <c r="F175" t="e" cm="1" vm="1">
        <f t="array" ref="F175">TRANSPOSE(_xlfn._xlws.FILTER(_xlfn.ANCHORARRAY($B$2),_xlfn.ANCHORARRAY($A$2)=$E175))</f>
        <v>#VALUE!</v>
      </c>
    </row>
    <row r="176" spans="1:6" x14ac:dyDescent="0.25">
      <c r="A176" t="str">
        <v>CR113_N_CaseA_SLS_0.7EI_SpD_a03BP1.0m</v>
      </c>
      <c r="B176" t="str">
        <v>2. Install Bored pile for Traffic [Phase_2]</v>
      </c>
      <c r="F176" t="e" cm="1" vm="1">
        <f t="array" ref="F176">TRANSPOSE(_xlfn._xlws.FILTER(_xlfn.ANCHORARRAY($B$2),_xlfn.ANCHORARRAY($A$2)=$E176))</f>
        <v>#VALUE!</v>
      </c>
    </row>
    <row r="177" spans="1:6" x14ac:dyDescent="0.25">
      <c r="A177" t="str">
        <v>CR113_N_CaseA_SLS_0.7EI_SpD_a03BP1.0m</v>
      </c>
      <c r="B177" t="str">
        <v>3. Cast L Shape wall, backfill and traffic divert [Phase_3]</v>
      </c>
      <c r="F177" t="e" cm="1" vm="1">
        <f t="array" ref="F177">TRANSPOSE(_xlfn._xlws.FILTER(_xlfn.ANCHORARRAY($B$2),_xlfn.ANCHORARRAY($A$2)=$E177))</f>
        <v>#VALUE!</v>
      </c>
    </row>
    <row r="178" spans="1:6" x14ac:dyDescent="0.25">
      <c r="A178" t="str">
        <v>CR113_N_CaseA_SLS_0.7EI_SpD_a03BP1.0m</v>
      </c>
      <c r="B178" t="str">
        <v>4. Cut down to +20mSHD [Phase_4]</v>
      </c>
      <c r="F178" t="e" cm="1" vm="1">
        <f t="array" ref="F178">TRANSPOSE(_xlfn._xlws.FILTER(_xlfn.ANCHORARRAY($B$2),_xlfn.ANCHORARRAY($A$2)=$E178))</f>
        <v>#VALUE!</v>
      </c>
    </row>
    <row r="179" spans="1:6" x14ac:dyDescent="0.25">
      <c r="A179" t="str">
        <v>CR113_N_CaseA_SLS_0.7EI_SpD_a03BP1.0m</v>
      </c>
      <c r="B179" t="str">
        <v>5. Install RHS DWall [Phase_5]</v>
      </c>
      <c r="F179" t="e" cm="1" vm="1">
        <f t="array" ref="F179">TRANSPOSE(_xlfn._xlws.FILTER(_xlfn.ANCHORARRAY($B$2),_xlfn.ANCHORARRAY($A$2)=$E179))</f>
        <v>#VALUE!</v>
      </c>
    </row>
    <row r="180" spans="1:6" x14ac:dyDescent="0.25">
      <c r="A180" t="str">
        <v>CR113_N_CaseA_SLS_0.7EI_SpD_a03BP1.0m</v>
      </c>
      <c r="B180" t="str">
        <v>6. Cut slope for LHS DWall [Phase_6]</v>
      </c>
      <c r="F180" t="e" cm="1" vm="1">
        <f t="array" ref="F180">TRANSPOSE(_xlfn._xlws.FILTER(_xlfn.ANCHORARRAY($B$2),_xlfn.ANCHORARRAY($A$2)=$E180))</f>
        <v>#VALUE!</v>
      </c>
    </row>
    <row r="181" spans="1:6" x14ac:dyDescent="0.25">
      <c r="A181" t="str">
        <v>CR113_N_CaseA_SLS_0.7EI_SpD_a03BP1.0m</v>
      </c>
      <c r="B181" t="str">
        <v>7. Install LHS DWalls &amp; Backfill behind DWall, Surcharge [Phase_7]</v>
      </c>
      <c r="F181" t="e" cm="1" vm="1">
        <f t="array" ref="F181">TRANSPOSE(_xlfn._xlws.FILTER(_xlfn.ANCHORARRAY($B$2),_xlfn.ANCHORARRAY($A$2)=$E181))</f>
        <v>#VALUE!</v>
      </c>
    </row>
    <row r="182" spans="1:6" x14ac:dyDescent="0.25">
      <c r="A182" t="str">
        <v>CR113_N_CaseA_SLS_0.7EI_SpD_a03BP1.0m</v>
      </c>
      <c r="B182" t="str">
        <v>8. Exc for S1 [Phase_8]</v>
      </c>
      <c r="F182" t="e" cm="1" vm="1">
        <f t="array" ref="F182">TRANSPOSE(_xlfn._xlws.FILTER(_xlfn.ANCHORARRAY($B$2),_xlfn.ANCHORARRAY($A$2)=$E182))</f>
        <v>#VALUE!</v>
      </c>
    </row>
    <row r="183" spans="1:6" x14ac:dyDescent="0.25">
      <c r="A183" t="str">
        <v>CR113_N_CaseA_SLS_0.7EI_SpD_a03BP1.0m</v>
      </c>
      <c r="B183" t="str">
        <v>9. Install S1 (PL=50) [Phase_9]</v>
      </c>
      <c r="F183" t="e" cm="1" vm="1">
        <f t="array" ref="F183">TRANSPOSE(_xlfn._xlws.FILTER(_xlfn.ANCHORARRAY($B$2),_xlfn.ANCHORARRAY($A$2)=$E183))</f>
        <v>#VALUE!</v>
      </c>
    </row>
    <row r="184" spans="1:6" x14ac:dyDescent="0.25">
      <c r="A184" t="str">
        <v>CR113_N_CaseA_SLS_0.7EI_SpD_a03BP1.0m</v>
      </c>
      <c r="B184" t="str">
        <v>10. Exc for S2 [Phase_10]</v>
      </c>
      <c r="F184" t="e" cm="1" vm="1">
        <f t="array" ref="F184">TRANSPOSE(_xlfn._xlws.FILTER(_xlfn.ANCHORARRAY($B$2),_xlfn.ANCHORARRAY($A$2)=$E184))</f>
        <v>#VALUE!</v>
      </c>
    </row>
    <row r="185" spans="1:6" x14ac:dyDescent="0.25">
      <c r="A185" t="str">
        <v>CR113_N_CaseA_SLS_0.7EI_SpD_a03BP1.0m</v>
      </c>
      <c r="B185" t="str">
        <v>11. Install S2 (PL=100) [Phase_11]</v>
      </c>
      <c r="F185" t="e" cm="1" vm="1">
        <f t="array" ref="F185">TRANSPOSE(_xlfn._xlws.FILTER(_xlfn.ANCHORARRAY($B$2),_xlfn.ANCHORARRAY($A$2)=$E185))</f>
        <v>#VALUE!</v>
      </c>
    </row>
    <row r="186" spans="1:6" x14ac:dyDescent="0.25">
      <c r="A186" t="str">
        <v>CR113_N_CaseA_SLS_0.7EI_SpD_a03BP1.0m</v>
      </c>
      <c r="B186" t="str">
        <v>12. Exc for Roof [Phase_12]</v>
      </c>
      <c r="F186" t="e" cm="1" vm="1">
        <f t="array" ref="F186">TRANSPOSE(_xlfn._xlws.FILTER(_xlfn.ANCHORARRAY($B$2),_xlfn.ANCHORARRAY($A$2)=$E186))</f>
        <v>#VALUE!</v>
      </c>
    </row>
    <row r="187" spans="1:6" x14ac:dyDescent="0.25">
      <c r="A187" t="str">
        <v>CR113_N_CaseA_SLS_0.7EI_SpD_a03BP1.0m</v>
      </c>
      <c r="B187" t="str">
        <v>13. Cast Roof Slab [Phase_13]</v>
      </c>
      <c r="F187" t="e" cm="1" vm="1">
        <f t="array" ref="F187">TRANSPOSE(_xlfn._xlws.FILTER(_xlfn.ANCHORARRAY($B$2),_xlfn.ANCHORARRAY($A$2)=$E187))</f>
        <v>#VALUE!</v>
      </c>
    </row>
    <row r="188" spans="1:6" x14ac:dyDescent="0.25">
      <c r="A188" t="str">
        <v>CR113_N_CaseA_SLS_0.7EI_SpD_a03BP1.0m</v>
      </c>
      <c r="B188" t="str">
        <v>14. Exc for B1 [Phase_14]</v>
      </c>
      <c r="F188" t="e" cm="1" vm="1">
        <f t="array" ref="F188">TRANSPOSE(_xlfn._xlws.FILTER(_xlfn.ANCHORARRAY($B$2),_xlfn.ANCHORARRAY($A$2)=$E188))</f>
        <v>#VALUE!</v>
      </c>
    </row>
    <row r="189" spans="1:6" x14ac:dyDescent="0.25">
      <c r="A189" t="str">
        <v>CR113_N_CaseA_SLS_0.7EI_SpD_a03BP1.0m</v>
      </c>
      <c r="B189" t="str">
        <v>15. Cast B1 Slab [Phase_15]</v>
      </c>
      <c r="F189" t="e" cm="1" vm="1">
        <f t="array" ref="F189">TRANSPOSE(_xlfn._xlws.FILTER(_xlfn.ANCHORARRAY($B$2),_xlfn.ANCHORARRAY($A$2)=$E189))</f>
        <v>#VALUE!</v>
      </c>
    </row>
    <row r="190" spans="1:6" x14ac:dyDescent="0.25">
      <c r="A190" t="str">
        <v>CR113_N_CaseA_SLS_0.7EI_SpD_a03BP1.0m</v>
      </c>
      <c r="B190" t="str">
        <v>16. Exc for B2 [Phase_16]</v>
      </c>
      <c r="F190" t="e" cm="1" vm="1">
        <f t="array" ref="F190">TRANSPOSE(_xlfn._xlws.FILTER(_xlfn.ANCHORARRAY($B$2),_xlfn.ANCHORARRAY($A$2)=$E190))</f>
        <v>#VALUE!</v>
      </c>
    </row>
    <row r="191" spans="1:6" x14ac:dyDescent="0.25">
      <c r="A191" t="str">
        <v>CR113_N_CaseA_SLS_0.7EI_SpD_a03BP1.0m</v>
      </c>
      <c r="B191" t="str">
        <v>17. Cast B2 Slab [Phase_17]</v>
      </c>
      <c r="F191" t="e" cm="1" vm="1">
        <f t="array" ref="F191">TRANSPOSE(_xlfn._xlws.FILTER(_xlfn.ANCHORARRAY($B$2),_xlfn.ANCHORARRAY($A$2)=$E191))</f>
        <v>#VALUE!</v>
      </c>
    </row>
    <row r="192" spans="1:6" x14ac:dyDescent="0.25">
      <c r="A192" t="str">
        <v>CR113_N_CaseA_SLS_0.7EI_SpD_a03BP1.0m</v>
      </c>
      <c r="B192" t="str">
        <v>18. Exc for S3 [Phase_18]</v>
      </c>
      <c r="F192" t="e" cm="1" vm="1">
        <f t="array" ref="F192">TRANSPOSE(_xlfn._xlws.FILTER(_xlfn.ANCHORARRAY($B$2),_xlfn.ANCHORARRAY($A$2)=$E192))</f>
        <v>#VALUE!</v>
      </c>
    </row>
    <row r="193" spans="1:6" x14ac:dyDescent="0.25">
      <c r="A193" t="str">
        <v>CR113_N_CaseA_SLS_0.7EI_SpD_a03BP1.0m</v>
      </c>
      <c r="B193" t="str">
        <v>19. Install S3 (PL=550) [Phase_19]</v>
      </c>
      <c r="F193" t="e" cm="1" vm="1">
        <f t="array" ref="F193">TRANSPOSE(_xlfn._xlws.FILTER(_xlfn.ANCHORARRAY($B$2),_xlfn.ANCHORARRAY($A$2)=$E193))</f>
        <v>#VALUE!</v>
      </c>
    </row>
    <row r="194" spans="1:6" x14ac:dyDescent="0.25">
      <c r="A194" t="str">
        <v>CR113_N_CaseA_SLS_0.7EI_SpD_a03BP1.0m</v>
      </c>
      <c r="B194" t="str">
        <v>20. Exc for FEL [Phase_20]</v>
      </c>
      <c r="F194" t="e" cm="1" vm="1">
        <f t="array" ref="F194">TRANSPOSE(_xlfn._xlws.FILTER(_xlfn.ANCHORARRAY($B$2),_xlfn.ANCHORARRAY($A$2)=$E194))</f>
        <v>#VALUE!</v>
      </c>
    </row>
    <row r="195" spans="1:6" x14ac:dyDescent="0.25">
      <c r="A195" t="str">
        <v>CR113_N_CaseA_SLS_0.7EI_SpD_a03BP1.0m</v>
      </c>
      <c r="B195" t="str">
        <v>21. Cast Base Slab [Phase_21]</v>
      </c>
      <c r="F195" t="e" cm="1" vm="1">
        <f t="array" ref="F195">TRANSPOSE(_xlfn._xlws.FILTER(_xlfn.ANCHORARRAY($B$2),_xlfn.ANCHORARRAY($A$2)=$E195))</f>
        <v>#VALUE!</v>
      </c>
    </row>
    <row r="196" spans="1:6" x14ac:dyDescent="0.25">
      <c r="A196" t="str">
        <v>CR113_N_CaseA_SLS_0.7EI_SpD_a03BP1.0m</v>
      </c>
      <c r="B196" t="str">
        <v>22. Remove S3 [Phase_22]</v>
      </c>
      <c r="F196" t="e" cm="1" vm="1">
        <f t="array" ref="F196">TRANSPOSE(_xlfn._xlws.FILTER(_xlfn.ANCHORARRAY($B$2),_xlfn.ANCHORARRAY($A$2)=$E196))</f>
        <v>#VALUE!</v>
      </c>
    </row>
    <row r="197" spans="1:6" x14ac:dyDescent="0.25">
      <c r="A197" t="str">
        <v>CR113_N_CaseA_SLS_0.7EI_SpD_a03BP1.0m</v>
      </c>
      <c r="B197" t="str">
        <v>23. Case RC  Wal [Phase_23]</v>
      </c>
      <c r="F197" t="e" cm="1" vm="1">
        <f t="array" ref="F197">TRANSPOSE(_xlfn._xlws.FILTER(_xlfn.ANCHORARRAY($B$2),_xlfn.ANCHORARRAY($A$2)=$E197))</f>
        <v>#VALUE!</v>
      </c>
    </row>
    <row r="198" spans="1:6" x14ac:dyDescent="0.25">
      <c r="A198" t="str">
        <v>CR113_N_CaseA_SLS_0.7EI_SpD_a03BP1.0m</v>
      </c>
      <c r="B198" t="str">
        <v>24. Remove Kingpost and Backfill [Phase_24]</v>
      </c>
      <c r="F198" t="e" cm="1" vm="1">
        <f t="array" ref="F198">TRANSPOSE(_xlfn._xlws.FILTER(_xlfn.ANCHORARRAY($B$2),_xlfn.ANCHORARRAY($A$2)=$E198))</f>
        <v>#VALUE!</v>
      </c>
    </row>
    <row r="199" spans="1:6" x14ac:dyDescent="0.25">
      <c r="A199" t="str">
        <v>CR113_N_CaseA_SLS_0.7EI_SpD_a03BP1.0m</v>
      </c>
      <c r="B199" t="str">
        <v>25. Backfill up to 1m below S2 [Phase_25]</v>
      </c>
      <c r="F199" t="e" cm="1" vm="1">
        <f t="array" ref="F199">TRANSPOSE(_xlfn._xlws.FILTER(_xlfn.ANCHORARRAY($B$2),_xlfn.ANCHORARRAY($A$2)=$E199))</f>
        <v>#VALUE!</v>
      </c>
    </row>
    <row r="200" spans="1:6" x14ac:dyDescent="0.25">
      <c r="A200" t="str">
        <v>CR113_N_CaseA_SLS_0.7EI_SpD_a03BP1.0m</v>
      </c>
      <c r="B200" t="str">
        <v>26.Remove S2 [Phase_26]</v>
      </c>
      <c r="F200" t="e" cm="1" vm="1">
        <f t="array" ref="F200">TRANSPOSE(_xlfn._xlws.FILTER(_xlfn.ANCHORARRAY($B$2),_xlfn.ANCHORARRAY($A$2)=$E200))</f>
        <v>#VALUE!</v>
      </c>
    </row>
    <row r="201" spans="1:6" x14ac:dyDescent="0.25">
      <c r="A201" t="str">
        <v>CR113_N_CaseA_SLS_0.7EI_SpD_a03BP1.0m</v>
      </c>
      <c r="B201" t="str">
        <v>27. Backfill upto 1m below S1 [Phase_27]</v>
      </c>
      <c r="F201" t="e" cm="1" vm="1">
        <f t="array" ref="F201">TRANSPOSE(_xlfn._xlws.FILTER(_xlfn.ANCHORARRAY($B$2),_xlfn.ANCHORARRAY($A$2)=$E201))</f>
        <v>#VALUE!</v>
      </c>
    </row>
    <row r="202" spans="1:6" x14ac:dyDescent="0.25">
      <c r="A202" t="str">
        <v>CR113_N_CaseA_SLS_0.7EI_SpD_a03BP1.0m</v>
      </c>
      <c r="B202" t="str">
        <v>28. Remove S1 [Phase_28]</v>
      </c>
      <c r="F202" t="e" cm="1" vm="1">
        <f t="array" ref="F202">TRANSPOSE(_xlfn._xlws.FILTER(_xlfn.ANCHORARRAY($B$2),_xlfn.ANCHORARRAY($A$2)=$E202))</f>
        <v>#VALUE!</v>
      </c>
    </row>
    <row r="203" spans="1:6" x14ac:dyDescent="0.25">
      <c r="A203" t="str">
        <v>CR113_N_CaseA_SLS_0.7EI_SpD_a03BP1.0m</v>
      </c>
      <c r="B203" t="str">
        <v>29. Backfill to final level [Phase_29]</v>
      </c>
      <c r="F203" t="e" cm="1" vm="1">
        <f t="array" ref="F203">TRANSPOSE(_xlfn._xlws.FILTER(_xlfn.ANCHORARRAY($B$2),_xlfn.ANCHORARRAY($A$2)=$E203))</f>
        <v>#VALUE!</v>
      </c>
    </row>
    <row r="204" spans="1:6" x14ac:dyDescent="0.25">
      <c r="A204" t="str">
        <v>CR113_N_CaseA_SLS_0.7EI_SpD_a03BP1.0m</v>
      </c>
      <c r="B204" t="str">
        <v>30. Divert Traffic and Demolish Temp Structure [Phase_30]</v>
      </c>
      <c r="F204" t="e" cm="1" vm="1">
        <f t="array" ref="F204">TRANSPOSE(_xlfn._xlws.FILTER(_xlfn.ANCHORARRAY($B$2),_xlfn.ANCHORARRAY($A$2)=$E204))</f>
        <v>#VALUE!</v>
      </c>
    </row>
    <row r="205" spans="1:6" x14ac:dyDescent="0.25">
      <c r="F205" t="e" cm="1" vm="1">
        <f t="array" ref="F205">TRANSPOSE(_xlfn._xlws.FILTER(_xlfn.ANCHORARRAY($B$2),_xlfn.ANCHORARRAY($A$2)=$E205))</f>
        <v>#VALUE!</v>
      </c>
    </row>
    <row r="206" spans="1:6" x14ac:dyDescent="0.25">
      <c r="F206" t="e" cm="1" vm="1">
        <f t="array" ref="F206">TRANSPOSE(_xlfn._xlws.FILTER(_xlfn.ANCHORARRAY($B$2),_xlfn.ANCHORARRAY($A$2)=$E206))</f>
        <v>#VALUE!</v>
      </c>
    </row>
    <row r="207" spans="1:6" x14ac:dyDescent="0.25">
      <c r="F207" t="e" cm="1" vm="1">
        <f t="array" ref="F207">TRANSPOSE(_xlfn._xlws.FILTER(_xlfn.ANCHORARRAY($B$2),_xlfn.ANCHORARRAY($A$2)=$E207))</f>
        <v>#VALUE!</v>
      </c>
    </row>
    <row r="208" spans="1:6" x14ac:dyDescent="0.25">
      <c r="F208" t="e" cm="1" vm="1">
        <f t="array" ref="F208">TRANSPOSE(_xlfn._xlws.FILTER(_xlfn.ANCHORARRAY($B$2),_xlfn.ANCHORARRAY($A$2)=$E208))</f>
        <v>#VALUE!</v>
      </c>
    </row>
    <row r="209" spans="6:6" x14ac:dyDescent="0.25">
      <c r="F209" t="e" cm="1" vm="1">
        <f t="array" ref="F209">TRANSPOSE(_xlfn._xlws.FILTER(_xlfn.ANCHORARRAY($B$2),_xlfn.ANCHORARRAY($A$2)=$E209))</f>
        <v>#VALUE!</v>
      </c>
    </row>
    <row r="210" spans="6:6" x14ac:dyDescent="0.25">
      <c r="F210" t="e" cm="1" vm="1">
        <f t="array" ref="F210">TRANSPOSE(_xlfn._xlws.FILTER(_xlfn.ANCHORARRAY($B$2),_xlfn.ANCHORARRAY($A$2)=$E210))</f>
        <v>#VALUE!</v>
      </c>
    </row>
    <row r="211" spans="6:6" x14ac:dyDescent="0.25">
      <c r="F211" t="e" cm="1" vm="1">
        <f t="array" ref="F211">TRANSPOSE(_xlfn._xlws.FILTER(_xlfn.ANCHORARRAY($B$2),_xlfn.ANCHORARRAY($A$2)=$E211))</f>
        <v>#VALUE!</v>
      </c>
    </row>
    <row r="212" spans="6:6" x14ac:dyDescent="0.25">
      <c r="F212" t="e" cm="1" vm="1">
        <f t="array" ref="F212">TRANSPOSE(_xlfn._xlws.FILTER(_xlfn.ANCHORARRAY($B$2),_xlfn.ANCHORARRAY($A$2)=$E212))</f>
        <v>#VALUE!</v>
      </c>
    </row>
    <row r="213" spans="6:6" x14ac:dyDescent="0.25">
      <c r="F213" t="e" cm="1" vm="1">
        <f t="array" ref="F213">TRANSPOSE(_xlfn._xlws.FILTER(_xlfn.ANCHORARRAY($B$2),_xlfn.ANCHORARRAY($A$2)=$E213))</f>
        <v>#VALUE!</v>
      </c>
    </row>
    <row r="214" spans="6:6" x14ac:dyDescent="0.25">
      <c r="F214" t="e" cm="1" vm="1">
        <f t="array" ref="F214">TRANSPOSE(_xlfn._xlws.FILTER(_xlfn.ANCHORARRAY($B$2),_xlfn.ANCHORARRAY($A$2)=$E214))</f>
        <v>#VALUE!</v>
      </c>
    </row>
    <row r="215" spans="6:6" x14ac:dyDescent="0.25">
      <c r="F215" t="e" cm="1" vm="1">
        <f t="array" ref="F215">TRANSPOSE(_xlfn._xlws.FILTER(_xlfn.ANCHORARRAY($B$2),_xlfn.ANCHORARRAY($A$2)=$E215))</f>
        <v>#VALUE!</v>
      </c>
    </row>
    <row r="216" spans="6:6" x14ac:dyDescent="0.25">
      <c r="F216" t="e" cm="1" vm="1">
        <f t="array" ref="F216">TRANSPOSE(_xlfn._xlws.FILTER(_xlfn.ANCHORARRAY($B$2),_xlfn.ANCHORARRAY($A$2)=$E216))</f>
        <v>#VALUE!</v>
      </c>
    </row>
    <row r="217" spans="6:6" x14ac:dyDescent="0.25">
      <c r="F217" t="e" cm="1" vm="1">
        <f t="array" ref="F217">TRANSPOSE(_xlfn._xlws.FILTER(_xlfn.ANCHORARRAY($B$2),_xlfn.ANCHORARRAY($A$2)=$E217))</f>
        <v>#VALUE!</v>
      </c>
    </row>
    <row r="218" spans="6:6" x14ac:dyDescent="0.25">
      <c r="F218" t="e" cm="1" vm="1">
        <f t="array" ref="F218">TRANSPOSE(_xlfn._xlws.FILTER(_xlfn.ANCHORARRAY($B$2),_xlfn.ANCHORARRAY($A$2)=$E218))</f>
        <v>#VALUE!</v>
      </c>
    </row>
    <row r="219" spans="6:6" x14ac:dyDescent="0.25">
      <c r="F219" t="e" cm="1" vm="1">
        <f t="array" ref="F219">TRANSPOSE(_xlfn._xlws.FILTER(_xlfn.ANCHORARRAY($B$2),_xlfn.ANCHORARRAY($A$2)=$E219))</f>
        <v>#VALUE!</v>
      </c>
    </row>
    <row r="220" spans="6:6" x14ac:dyDescent="0.25">
      <c r="F220" t="e" cm="1" vm="1">
        <f t="array" ref="F220">TRANSPOSE(_xlfn._xlws.FILTER(_xlfn.ANCHORARRAY($B$2),_xlfn.ANCHORARRAY($A$2)=$E220))</f>
        <v>#VALUE!</v>
      </c>
    </row>
    <row r="221" spans="6:6" x14ac:dyDescent="0.25">
      <c r="F221" t="e" cm="1" vm="1">
        <f t="array" ref="F221">TRANSPOSE(_xlfn._xlws.FILTER(_xlfn.ANCHORARRAY($B$2),_xlfn.ANCHORARRAY($A$2)=$E221))</f>
        <v>#VALUE!</v>
      </c>
    </row>
    <row r="222" spans="6:6" x14ac:dyDescent="0.25">
      <c r="F222" t="e" cm="1" vm="1">
        <f t="array" ref="F222">TRANSPOSE(_xlfn._xlws.FILTER(_xlfn.ANCHORARRAY($B$2),_xlfn.ANCHORARRAY($A$2)=$E222))</f>
        <v>#VALUE!</v>
      </c>
    </row>
    <row r="223" spans="6:6" x14ac:dyDescent="0.25">
      <c r="F223" t="e" cm="1" vm="1">
        <f t="array" ref="F223">TRANSPOSE(_xlfn._xlws.FILTER(_xlfn.ANCHORARRAY($B$2),_xlfn.ANCHORARRAY($A$2)=$E223))</f>
        <v>#VALUE!</v>
      </c>
    </row>
    <row r="224" spans="6:6" x14ac:dyDescent="0.25">
      <c r="F224" t="e" cm="1" vm="1">
        <f t="array" ref="F224">TRANSPOSE(_xlfn._xlws.FILTER(_xlfn.ANCHORARRAY($B$2),_xlfn.ANCHORARRAY($A$2)=$E224))</f>
        <v>#VALUE!</v>
      </c>
    </row>
    <row r="225" spans="6:6" x14ac:dyDescent="0.25">
      <c r="F225" t="e" cm="1" vm="1">
        <f t="array" ref="F225">TRANSPOSE(_xlfn._xlws.FILTER(_xlfn.ANCHORARRAY($B$2),_xlfn.ANCHORARRAY($A$2)=$E225))</f>
        <v>#VALUE!</v>
      </c>
    </row>
    <row r="226" spans="6:6" x14ac:dyDescent="0.25">
      <c r="F226" t="e" cm="1" vm="1">
        <f t="array" ref="F226">TRANSPOSE(_xlfn._xlws.FILTER(_xlfn.ANCHORARRAY($B$2),_xlfn.ANCHORARRAY($A$2)=$E226))</f>
        <v>#VALUE!</v>
      </c>
    </row>
    <row r="227" spans="6:6" x14ac:dyDescent="0.25">
      <c r="F227" t="e" cm="1" vm="1">
        <f t="array" ref="F227">TRANSPOSE(_xlfn._xlws.FILTER(_xlfn.ANCHORARRAY($B$2),_xlfn.ANCHORARRAY($A$2)=$E227))</f>
        <v>#VALUE!</v>
      </c>
    </row>
    <row r="228" spans="6:6" x14ac:dyDescent="0.25">
      <c r="F228" t="e" cm="1" vm="1">
        <f t="array" ref="F228">TRANSPOSE(_xlfn._xlws.FILTER(_xlfn.ANCHORARRAY($B$2),_xlfn.ANCHORARRAY($A$2)=$E228))</f>
        <v>#VALUE!</v>
      </c>
    </row>
    <row r="229" spans="6:6" x14ac:dyDescent="0.25">
      <c r="F229" t="e" cm="1" vm="1">
        <f t="array" ref="F229">TRANSPOSE(_xlfn._xlws.FILTER(_xlfn.ANCHORARRAY($B$2),_xlfn.ANCHORARRAY($A$2)=$E229))</f>
        <v>#VALUE!</v>
      </c>
    </row>
    <row r="230" spans="6:6" x14ac:dyDescent="0.25">
      <c r="F230" t="e" cm="1" vm="1">
        <f t="array" ref="F230">TRANSPOSE(_xlfn._xlws.FILTER(_xlfn.ANCHORARRAY($B$2),_xlfn.ANCHORARRAY($A$2)=$E230))</f>
        <v>#VALUE!</v>
      </c>
    </row>
    <row r="231" spans="6:6" x14ac:dyDescent="0.25">
      <c r="F231" t="e" cm="1" vm="1">
        <f t="array" ref="F231">TRANSPOSE(_xlfn._xlws.FILTER(_xlfn.ANCHORARRAY($B$2),_xlfn.ANCHORARRAY($A$2)=$E231))</f>
        <v>#VALUE!</v>
      </c>
    </row>
    <row r="232" spans="6:6" x14ac:dyDescent="0.25">
      <c r="F232" t="e" cm="1" vm="1">
        <f t="array" ref="F232">TRANSPOSE(_xlfn._xlws.FILTER(_xlfn.ANCHORARRAY($B$2),_xlfn.ANCHORARRAY($A$2)=$E232))</f>
        <v>#VALUE!</v>
      </c>
    </row>
    <row r="233" spans="6:6" x14ac:dyDescent="0.25">
      <c r="F233" t="e" cm="1" vm="1">
        <f t="array" ref="F233">TRANSPOSE(_xlfn._xlws.FILTER(_xlfn.ANCHORARRAY($B$2),_xlfn.ANCHORARRAY($A$2)=$E233))</f>
        <v>#VALUE!</v>
      </c>
    </row>
    <row r="234" spans="6:6" x14ac:dyDescent="0.25">
      <c r="F234" t="e" cm="1" vm="1">
        <f t="array" ref="F234">TRANSPOSE(_xlfn._xlws.FILTER(_xlfn.ANCHORARRAY($B$2),_xlfn.ANCHORARRAY($A$2)=$E234))</f>
        <v>#VALUE!</v>
      </c>
    </row>
    <row r="235" spans="6:6" x14ac:dyDescent="0.25">
      <c r="F235" t="e" cm="1" vm="1">
        <f t="array" ref="F235">TRANSPOSE(_xlfn._xlws.FILTER(_xlfn.ANCHORARRAY($B$2),_xlfn.ANCHORARRAY($A$2)=$E235))</f>
        <v>#VALUE!</v>
      </c>
    </row>
    <row r="236" spans="6:6" x14ac:dyDescent="0.25">
      <c r="F236" t="e" cm="1" vm="1">
        <f t="array" ref="F236">TRANSPOSE(_xlfn._xlws.FILTER(_xlfn.ANCHORARRAY($B$2),_xlfn.ANCHORARRAY($A$2)=$E236))</f>
        <v>#VALUE!</v>
      </c>
    </row>
    <row r="237" spans="6:6" x14ac:dyDescent="0.25">
      <c r="F237" t="e" cm="1" vm="1">
        <f t="array" ref="F237">TRANSPOSE(_xlfn._xlws.FILTER(_xlfn.ANCHORARRAY($B$2),_xlfn.ANCHORARRAY($A$2)=$E237))</f>
        <v>#VALUE!</v>
      </c>
    </row>
    <row r="238" spans="6:6" x14ac:dyDescent="0.25">
      <c r="F238" t="e" cm="1" vm="1">
        <f t="array" ref="F238">TRANSPOSE(_xlfn._xlws.FILTER(_xlfn.ANCHORARRAY($B$2),_xlfn.ANCHORARRAY($A$2)=$E238))</f>
        <v>#VALUE!</v>
      </c>
    </row>
    <row r="239" spans="6:6" x14ac:dyDescent="0.25">
      <c r="F239" t="e" cm="1" vm="1">
        <f t="array" ref="F239">TRANSPOSE(_xlfn._xlws.FILTER(_xlfn.ANCHORARRAY($B$2),_xlfn.ANCHORARRAY($A$2)=$E239))</f>
        <v>#VALUE!</v>
      </c>
    </row>
    <row r="240" spans="6:6" x14ac:dyDescent="0.25">
      <c r="F240" t="e" cm="1" vm="1">
        <f t="array" ref="F240">TRANSPOSE(_xlfn._xlws.FILTER(_xlfn.ANCHORARRAY($B$2),_xlfn.ANCHORARRAY($A$2)=$E240))</f>
        <v>#VALUE!</v>
      </c>
    </row>
    <row r="241" spans="6:6" x14ac:dyDescent="0.25">
      <c r="F241" t="e" cm="1" vm="1">
        <f t="array" ref="F241">TRANSPOSE(_xlfn._xlws.FILTER(_xlfn.ANCHORARRAY($B$2),_xlfn.ANCHORARRAY($A$2)=$E241))</f>
        <v>#VALUE!</v>
      </c>
    </row>
    <row r="242" spans="6:6" x14ac:dyDescent="0.25">
      <c r="F242" t="e" cm="1" vm="1">
        <f t="array" ref="F242">TRANSPOSE(_xlfn._xlws.FILTER(_xlfn.ANCHORARRAY($B$2),_xlfn.ANCHORARRAY($A$2)=$E242))</f>
        <v>#VALUE!</v>
      </c>
    </row>
    <row r="243" spans="6:6" x14ac:dyDescent="0.25">
      <c r="F243" t="e" cm="1" vm="1">
        <f t="array" ref="F243">TRANSPOSE(_xlfn._xlws.FILTER(_xlfn.ANCHORARRAY($B$2),_xlfn.ANCHORARRAY($A$2)=$E243))</f>
        <v>#VALUE!</v>
      </c>
    </row>
    <row r="244" spans="6:6" x14ac:dyDescent="0.25">
      <c r="F244" t="e" cm="1" vm="1">
        <f t="array" ref="F244">TRANSPOSE(_xlfn._xlws.FILTER(_xlfn.ANCHORARRAY($B$2),_xlfn.ANCHORARRAY($A$2)=$E244))</f>
        <v>#VALUE!</v>
      </c>
    </row>
    <row r="245" spans="6:6" x14ac:dyDescent="0.25">
      <c r="F245" t="e" cm="1" vm="1">
        <f t="array" ref="F245">TRANSPOSE(_xlfn._xlws.FILTER(_xlfn.ANCHORARRAY($B$2),_xlfn.ANCHORARRAY($A$2)=$E245))</f>
        <v>#VALUE!</v>
      </c>
    </row>
    <row r="246" spans="6:6" x14ac:dyDescent="0.25">
      <c r="F246" t="e" cm="1" vm="1">
        <f t="array" ref="F246">TRANSPOSE(_xlfn._xlws.FILTER(_xlfn.ANCHORARRAY($B$2),_xlfn.ANCHORARRAY($A$2)=$E246))</f>
        <v>#VALUE!</v>
      </c>
    </row>
    <row r="247" spans="6:6" x14ac:dyDescent="0.25">
      <c r="F247" t="e" cm="1" vm="1">
        <f t="array" ref="F247">TRANSPOSE(_xlfn._xlws.FILTER(_xlfn.ANCHORARRAY($B$2),_xlfn.ANCHORARRAY($A$2)=$E247))</f>
        <v>#VALUE!</v>
      </c>
    </row>
    <row r="248" spans="6:6" x14ac:dyDescent="0.25">
      <c r="F248" t="e" cm="1" vm="1">
        <f t="array" ref="F248">TRANSPOSE(_xlfn._xlws.FILTER(_xlfn.ANCHORARRAY($B$2),_xlfn.ANCHORARRAY($A$2)=$E248))</f>
        <v>#VALUE!</v>
      </c>
    </row>
    <row r="249" spans="6:6" x14ac:dyDescent="0.25">
      <c r="F249" t="e" cm="1" vm="1">
        <f t="array" ref="F249">TRANSPOSE(_xlfn._xlws.FILTER(_xlfn.ANCHORARRAY($B$2),_xlfn.ANCHORARRAY($A$2)=$E249))</f>
        <v>#VALUE!</v>
      </c>
    </row>
    <row r="250" spans="6:6" x14ac:dyDescent="0.25">
      <c r="F250" t="e" cm="1" vm="1">
        <f t="array" ref="F250">TRANSPOSE(_xlfn._xlws.FILTER(_xlfn.ANCHORARRAY($B$2),_xlfn.ANCHORARRAY($A$2)=$E250))</f>
        <v>#VALUE!</v>
      </c>
    </row>
    <row r="251" spans="6:6" x14ac:dyDescent="0.25">
      <c r="F251" t="e" cm="1" vm="1">
        <f t="array" ref="F251">TRANSPOSE(_xlfn._xlws.FILTER(_xlfn.ANCHORARRAY($B$2),_xlfn.ANCHORARRAY($A$2)=$E251))</f>
        <v>#VALUE!</v>
      </c>
    </row>
    <row r="252" spans="6:6" x14ac:dyDescent="0.25">
      <c r="F252" t="e" cm="1" vm="1">
        <f t="array" ref="F252">TRANSPOSE(_xlfn._xlws.FILTER(_xlfn.ANCHORARRAY($B$2),_xlfn.ANCHORARRAY($A$2)=$E252))</f>
        <v>#VALUE!</v>
      </c>
    </row>
    <row r="253" spans="6:6" x14ac:dyDescent="0.25">
      <c r="F253" t="e" cm="1" vm="1">
        <f t="array" ref="F253">TRANSPOSE(_xlfn._xlws.FILTER(_xlfn.ANCHORARRAY($B$2),_xlfn.ANCHORARRAY($A$2)=$E253))</f>
        <v>#VALUE!</v>
      </c>
    </row>
    <row r="254" spans="6:6" x14ac:dyDescent="0.25">
      <c r="F254" t="e" cm="1" vm="1">
        <f t="array" ref="F254">TRANSPOSE(_xlfn._xlws.FILTER(_xlfn.ANCHORARRAY($B$2),_xlfn.ANCHORARRAY($A$2)=$E254))</f>
        <v>#VALUE!</v>
      </c>
    </row>
    <row r="255" spans="6:6" x14ac:dyDescent="0.25">
      <c r="F255" t="e" cm="1" vm="1">
        <f t="array" ref="F255">TRANSPOSE(_xlfn._xlws.FILTER(_xlfn.ANCHORARRAY($B$2),_xlfn.ANCHORARRAY($A$2)=$E255))</f>
        <v>#VALUE!</v>
      </c>
    </row>
    <row r="256" spans="6:6" x14ac:dyDescent="0.25">
      <c r="F256" t="e" cm="1" vm="1">
        <f t="array" ref="F256">TRANSPOSE(_xlfn._xlws.FILTER(_xlfn.ANCHORARRAY($B$2),_xlfn.ANCHORARRAY($A$2)=$E256))</f>
        <v>#VALUE!</v>
      </c>
    </row>
    <row r="257" spans="6:6" x14ac:dyDescent="0.25">
      <c r="F257" t="e" cm="1" vm="1">
        <f t="array" ref="F257">TRANSPOSE(_xlfn._xlws.FILTER(_xlfn.ANCHORARRAY($B$2),_xlfn.ANCHORARRAY($A$2)=$E257))</f>
        <v>#VALUE!</v>
      </c>
    </row>
    <row r="258" spans="6:6" x14ac:dyDescent="0.25">
      <c r="F258" t="e" cm="1" vm="1">
        <f t="array" ref="F258">TRANSPOSE(_xlfn._xlws.FILTER(_xlfn.ANCHORARRAY($B$2),_xlfn.ANCHORARRAY($A$2)=$E258))</f>
        <v>#VALUE!</v>
      </c>
    </row>
    <row r="259" spans="6:6" x14ac:dyDescent="0.25">
      <c r="F259" t="e" cm="1" vm="1">
        <f t="array" ref="F259">TRANSPOSE(_xlfn._xlws.FILTER(_xlfn.ANCHORARRAY($B$2),_xlfn.ANCHORARRAY($A$2)=$E259))</f>
        <v>#VALUE!</v>
      </c>
    </row>
    <row r="260" spans="6:6" x14ac:dyDescent="0.25">
      <c r="F260" t="e" cm="1" vm="1">
        <f t="array" ref="F260">TRANSPOSE(_xlfn._xlws.FILTER(_xlfn.ANCHORARRAY($B$2),_xlfn.ANCHORARRAY($A$2)=$E260))</f>
        <v>#VALUE!</v>
      </c>
    </row>
    <row r="261" spans="6:6" x14ac:dyDescent="0.25">
      <c r="F261" t="e" cm="1" vm="1">
        <f t="array" ref="F261">TRANSPOSE(_xlfn._xlws.FILTER(_xlfn.ANCHORARRAY($B$2),_xlfn.ANCHORARRAY($A$2)=$E261))</f>
        <v>#VALUE!</v>
      </c>
    </row>
    <row r="262" spans="6:6" x14ac:dyDescent="0.25">
      <c r="F262" t="e" cm="1" vm="1">
        <f t="array" ref="F262">TRANSPOSE(_xlfn._xlws.FILTER(_xlfn.ANCHORARRAY($B$2),_xlfn.ANCHORARRAY($A$2)=$E262))</f>
        <v>#VALUE!</v>
      </c>
    </row>
    <row r="263" spans="6:6" x14ac:dyDescent="0.25">
      <c r="F263" t="e" cm="1" vm="1">
        <f t="array" ref="F263">TRANSPOSE(_xlfn._xlws.FILTER(_xlfn.ANCHORARRAY($B$2),_xlfn.ANCHORARRAY($A$2)=$E263))</f>
        <v>#VALUE!</v>
      </c>
    </row>
    <row r="264" spans="6:6" x14ac:dyDescent="0.25">
      <c r="F264" t="e" cm="1" vm="1">
        <f t="array" ref="F264">TRANSPOSE(_xlfn._xlws.FILTER(_xlfn.ANCHORARRAY($B$2),_xlfn.ANCHORARRAY($A$2)=$E264))</f>
        <v>#VALUE!</v>
      </c>
    </row>
    <row r="265" spans="6:6" x14ac:dyDescent="0.25">
      <c r="F265" t="e" cm="1" vm="1">
        <f t="array" ref="F265">TRANSPOSE(_xlfn._xlws.FILTER(_xlfn.ANCHORARRAY($B$2),_xlfn.ANCHORARRAY($A$2)=$E265))</f>
        <v>#VALUE!</v>
      </c>
    </row>
    <row r="266" spans="6:6" x14ac:dyDescent="0.25">
      <c r="F266" t="e" cm="1" vm="1">
        <f t="array" ref="F266">TRANSPOSE(_xlfn._xlws.FILTER(_xlfn.ANCHORARRAY($B$2),_xlfn.ANCHORARRAY($A$2)=$E266))</f>
        <v>#VALUE!</v>
      </c>
    </row>
    <row r="267" spans="6:6" x14ac:dyDescent="0.25">
      <c r="F267" t="e" cm="1" vm="1">
        <f t="array" ref="F267">TRANSPOSE(_xlfn._xlws.FILTER(_xlfn.ANCHORARRAY($B$2),_xlfn.ANCHORARRAY($A$2)=$E267))</f>
        <v>#VALUE!</v>
      </c>
    </row>
    <row r="268" spans="6:6" x14ac:dyDescent="0.25">
      <c r="F268" t="e" cm="1" vm="1">
        <f t="array" ref="F268">TRANSPOSE(_xlfn._xlws.FILTER(_xlfn.ANCHORARRAY($B$2),_xlfn.ANCHORARRAY($A$2)=$E268))</f>
        <v>#VALUE!</v>
      </c>
    </row>
    <row r="269" spans="6:6" x14ac:dyDescent="0.25">
      <c r="F269" t="e" cm="1" vm="1">
        <f t="array" ref="F269">TRANSPOSE(_xlfn._xlws.FILTER(_xlfn.ANCHORARRAY($B$2),_xlfn.ANCHORARRAY($A$2)=$E269))</f>
        <v>#VALUE!</v>
      </c>
    </row>
    <row r="270" spans="6:6" x14ac:dyDescent="0.25">
      <c r="F270" t="e" cm="1" vm="1">
        <f t="array" ref="F270">TRANSPOSE(_xlfn._xlws.FILTER(_xlfn.ANCHORARRAY($B$2),_xlfn.ANCHORARRAY($A$2)=$E270))</f>
        <v>#VALUE!</v>
      </c>
    </row>
    <row r="271" spans="6:6" x14ac:dyDescent="0.25">
      <c r="F271" t="e" cm="1" vm="1">
        <f t="array" ref="F271">TRANSPOSE(_xlfn._xlws.FILTER(_xlfn.ANCHORARRAY($B$2),_xlfn.ANCHORARRAY($A$2)=$E271))</f>
        <v>#VALUE!</v>
      </c>
    </row>
    <row r="272" spans="6:6" x14ac:dyDescent="0.25">
      <c r="F272" t="e" cm="1" vm="1">
        <f t="array" ref="F272">TRANSPOSE(_xlfn._xlws.FILTER(_xlfn.ANCHORARRAY($B$2),_xlfn.ANCHORARRAY($A$2)=$E272))</f>
        <v>#VALUE!</v>
      </c>
    </row>
    <row r="273" spans="6:6" x14ac:dyDescent="0.25">
      <c r="F273" t="e" cm="1" vm="1">
        <f t="array" ref="F273">TRANSPOSE(_xlfn._xlws.FILTER(_xlfn.ANCHORARRAY($B$2),_xlfn.ANCHORARRAY($A$2)=$E273))</f>
        <v>#VALUE!</v>
      </c>
    </row>
    <row r="274" spans="6:6" x14ac:dyDescent="0.25">
      <c r="F274" t="e" cm="1" vm="1">
        <f t="array" ref="F274">TRANSPOSE(_xlfn._xlws.FILTER(_xlfn.ANCHORARRAY($B$2),_xlfn.ANCHORARRAY($A$2)=$E274))</f>
        <v>#VALUE!</v>
      </c>
    </row>
    <row r="275" spans="6:6" x14ac:dyDescent="0.25">
      <c r="F275" t="e" cm="1" vm="1">
        <f t="array" ref="F275">TRANSPOSE(_xlfn._xlws.FILTER(_xlfn.ANCHORARRAY($B$2),_xlfn.ANCHORARRAY($A$2)=$E275))</f>
        <v>#VALUE!</v>
      </c>
    </row>
    <row r="276" spans="6:6" x14ac:dyDescent="0.25">
      <c r="F276" t="e" cm="1" vm="1">
        <f t="array" ref="F276">TRANSPOSE(_xlfn._xlws.FILTER(_xlfn.ANCHORARRAY($B$2),_xlfn.ANCHORARRAY($A$2)=$E276))</f>
        <v>#VALUE!</v>
      </c>
    </row>
    <row r="277" spans="6:6" x14ac:dyDescent="0.25">
      <c r="F277" t="e" cm="1" vm="1">
        <f t="array" ref="F277">TRANSPOSE(_xlfn._xlws.FILTER(_xlfn.ANCHORARRAY($B$2),_xlfn.ANCHORARRAY($A$2)=$E277))</f>
        <v>#VALUE!</v>
      </c>
    </row>
    <row r="278" spans="6:6" x14ac:dyDescent="0.25">
      <c r="F278" t="e" cm="1" vm="1">
        <f t="array" ref="F278">TRANSPOSE(_xlfn._xlws.FILTER(_xlfn.ANCHORARRAY($B$2),_xlfn.ANCHORARRAY($A$2)=$E278))</f>
        <v>#VALUE!</v>
      </c>
    </row>
    <row r="279" spans="6:6" x14ac:dyDescent="0.25">
      <c r="F279" t="e" cm="1" vm="1">
        <f t="array" ref="F279">TRANSPOSE(_xlfn._xlws.FILTER(_xlfn.ANCHORARRAY($B$2),_xlfn.ANCHORARRAY($A$2)=$E279))</f>
        <v>#VALUE!</v>
      </c>
    </row>
    <row r="280" spans="6:6" x14ac:dyDescent="0.25">
      <c r="F280" t="e" cm="1" vm="1">
        <f t="array" ref="F280">TRANSPOSE(_xlfn._xlws.FILTER(_xlfn.ANCHORARRAY($B$2),_xlfn.ANCHORARRAY($A$2)=$E280))</f>
        <v>#VALUE!</v>
      </c>
    </row>
    <row r="281" spans="6:6" x14ac:dyDescent="0.25">
      <c r="F281" t="e" cm="1" vm="1">
        <f t="array" ref="F281">TRANSPOSE(_xlfn._xlws.FILTER(_xlfn.ANCHORARRAY($B$2),_xlfn.ANCHORARRAY($A$2)=$E281))</f>
        <v>#VALUE!</v>
      </c>
    </row>
    <row r="282" spans="6:6" x14ac:dyDescent="0.25">
      <c r="F282" t="e" cm="1" vm="1">
        <f t="array" ref="F282">TRANSPOSE(_xlfn._xlws.FILTER(_xlfn.ANCHORARRAY($B$2),_xlfn.ANCHORARRAY($A$2)=$E282))</f>
        <v>#VALUE!</v>
      </c>
    </row>
    <row r="283" spans="6:6" x14ac:dyDescent="0.25">
      <c r="F283" t="e" cm="1" vm="1">
        <f t="array" ref="F283">TRANSPOSE(_xlfn._xlws.FILTER(_xlfn.ANCHORARRAY($B$2),_xlfn.ANCHORARRAY($A$2)=$E283))</f>
        <v>#VALUE!</v>
      </c>
    </row>
    <row r="284" spans="6:6" x14ac:dyDescent="0.25">
      <c r="F284" t="e" cm="1" vm="1">
        <f t="array" ref="F284">TRANSPOSE(_xlfn._xlws.FILTER(_xlfn.ANCHORARRAY($B$2),_xlfn.ANCHORARRAY($A$2)=$E284))</f>
        <v>#VALUE!</v>
      </c>
    </row>
    <row r="285" spans="6:6" x14ac:dyDescent="0.25">
      <c r="F285" t="e" cm="1" vm="1">
        <f t="array" ref="F285">TRANSPOSE(_xlfn._xlws.FILTER(_xlfn.ANCHORARRAY($B$2),_xlfn.ANCHORARRAY($A$2)=$E285))</f>
        <v>#VALUE!</v>
      </c>
    </row>
    <row r="286" spans="6:6" x14ac:dyDescent="0.25">
      <c r="F286" t="e" cm="1" vm="1">
        <f t="array" ref="F286">TRANSPOSE(_xlfn._xlws.FILTER(_xlfn.ANCHORARRAY($B$2),_xlfn.ANCHORARRAY($A$2)=$E286))</f>
        <v>#VALUE!</v>
      </c>
    </row>
    <row r="287" spans="6:6" x14ac:dyDescent="0.25">
      <c r="F287" t="e" cm="1" vm="1">
        <f t="array" ref="F287">TRANSPOSE(_xlfn._xlws.FILTER(_xlfn.ANCHORARRAY($B$2),_xlfn.ANCHORARRAY($A$2)=$E287))</f>
        <v>#VALUE!</v>
      </c>
    </row>
    <row r="288" spans="6:6" x14ac:dyDescent="0.25">
      <c r="F288" t="e" cm="1" vm="1">
        <f t="array" ref="F288">TRANSPOSE(_xlfn._xlws.FILTER(_xlfn.ANCHORARRAY($B$2),_xlfn.ANCHORARRAY($A$2)=$E288))</f>
        <v>#VALUE!</v>
      </c>
    </row>
    <row r="289" spans="6:6" x14ac:dyDescent="0.25">
      <c r="F289" t="e" cm="1" vm="1">
        <f t="array" ref="F289">TRANSPOSE(_xlfn._xlws.FILTER(_xlfn.ANCHORARRAY($B$2),_xlfn.ANCHORARRAY($A$2)=$E289))</f>
        <v>#VALUE!</v>
      </c>
    </row>
    <row r="290" spans="6:6" x14ac:dyDescent="0.25">
      <c r="F290" t="e" cm="1" vm="1">
        <f t="array" ref="F290">TRANSPOSE(_xlfn._xlws.FILTER(_xlfn.ANCHORARRAY($B$2),_xlfn.ANCHORARRAY($A$2)=$E290))</f>
        <v>#VALUE!</v>
      </c>
    </row>
    <row r="291" spans="6:6" x14ac:dyDescent="0.25">
      <c r="F291" t="e" cm="1" vm="1">
        <f t="array" ref="F291">TRANSPOSE(_xlfn._xlws.FILTER(_xlfn.ANCHORARRAY($B$2),_xlfn.ANCHORARRAY($A$2)=$E291))</f>
        <v>#VALUE!</v>
      </c>
    </row>
    <row r="292" spans="6:6" x14ac:dyDescent="0.25">
      <c r="F292" t="e" cm="1" vm="1">
        <f t="array" ref="F292">TRANSPOSE(_xlfn._xlws.FILTER(_xlfn.ANCHORARRAY($B$2),_xlfn.ANCHORARRAY($A$2)=$E292))</f>
        <v>#VALUE!</v>
      </c>
    </row>
    <row r="293" spans="6:6" x14ac:dyDescent="0.25">
      <c r="F293" t="e" cm="1" vm="1">
        <f t="array" ref="F293">TRANSPOSE(_xlfn._xlws.FILTER(_xlfn.ANCHORARRAY($B$2),_xlfn.ANCHORARRAY($A$2)=$E293))</f>
        <v>#VALUE!</v>
      </c>
    </row>
    <row r="294" spans="6:6" x14ac:dyDescent="0.25">
      <c r="F294" t="e" cm="1" vm="1">
        <f t="array" ref="F294">TRANSPOSE(_xlfn._xlws.FILTER(_xlfn.ANCHORARRAY($B$2),_xlfn.ANCHORARRAY($A$2)=$E294))</f>
        <v>#VALUE!</v>
      </c>
    </row>
    <row r="295" spans="6:6" x14ac:dyDescent="0.25">
      <c r="F295" t="e" cm="1" vm="1">
        <f t="array" ref="F295">TRANSPOSE(_xlfn._xlws.FILTER(_xlfn.ANCHORARRAY($B$2),_xlfn.ANCHORARRAY($A$2)=$E295))</f>
        <v>#VALUE!</v>
      </c>
    </row>
    <row r="296" spans="6:6" x14ac:dyDescent="0.25">
      <c r="F296" t="e" cm="1" vm="1">
        <f t="array" ref="F296">TRANSPOSE(_xlfn._xlws.FILTER(_xlfn.ANCHORARRAY($B$2),_xlfn.ANCHORARRAY($A$2)=$E296))</f>
        <v>#VALUE!</v>
      </c>
    </row>
    <row r="297" spans="6:6" x14ac:dyDescent="0.25">
      <c r="F297" t="e" cm="1" vm="1">
        <f t="array" ref="F297">TRANSPOSE(_xlfn._xlws.FILTER(_xlfn.ANCHORARRAY($B$2),_xlfn.ANCHORARRAY($A$2)=$E297))</f>
        <v>#VALUE!</v>
      </c>
    </row>
    <row r="298" spans="6:6" x14ac:dyDescent="0.25">
      <c r="F298" t="e" cm="1" vm="1">
        <f t="array" ref="F298">TRANSPOSE(_xlfn._xlws.FILTER(_xlfn.ANCHORARRAY($B$2),_xlfn.ANCHORARRAY($A$2)=$E298))</f>
        <v>#VALUE!</v>
      </c>
    </row>
    <row r="299" spans="6:6" x14ac:dyDescent="0.25">
      <c r="F299" t="e" cm="1" vm="1">
        <f t="array" ref="F299">TRANSPOSE(_xlfn._xlws.FILTER(_xlfn.ANCHORARRAY($B$2),_xlfn.ANCHORARRAY($A$2)=$E299))</f>
        <v>#VALUE!</v>
      </c>
    </row>
    <row r="300" spans="6:6" x14ac:dyDescent="0.25">
      <c r="F300" t="e" cm="1" vm="1">
        <f t="array" ref="F300">TRANSPOSE(_xlfn._xlws.FILTER(_xlfn.ANCHORARRAY($B$2),_xlfn.ANCHORARRAY($A$2)=$E300))</f>
        <v>#VALUE!</v>
      </c>
    </row>
    <row r="301" spans="6:6" x14ac:dyDescent="0.25">
      <c r="F301" t="e" cm="1" vm="1">
        <f t="array" ref="F301">TRANSPOSE(_xlfn._xlws.FILTER(_xlfn.ANCHORARRAY($B$2),_xlfn.ANCHORARRAY($A$2)=$E301))</f>
        <v>#VALUE!</v>
      </c>
    </row>
    <row r="302" spans="6:6" x14ac:dyDescent="0.25">
      <c r="F302" t="e" cm="1" vm="1">
        <f t="array" ref="F302">TRANSPOSE(_xlfn._xlws.FILTER(_xlfn.ANCHORARRAY($B$2),_xlfn.ANCHORARRAY($A$2)=$E302))</f>
        <v>#VALUE!</v>
      </c>
    </row>
    <row r="303" spans="6:6" x14ac:dyDescent="0.25">
      <c r="F303" t="e" cm="1" vm="1">
        <f t="array" ref="F303">TRANSPOSE(_xlfn._xlws.FILTER(_xlfn.ANCHORARRAY($B$2),_xlfn.ANCHORARRAY($A$2)=$E303))</f>
        <v>#VALUE!</v>
      </c>
    </row>
    <row r="304" spans="6:6" x14ac:dyDescent="0.25">
      <c r="F304" t="e" cm="1" vm="1">
        <f t="array" ref="F304">TRANSPOSE(_xlfn._xlws.FILTER(_xlfn.ANCHORARRAY($B$2),_xlfn.ANCHORARRAY($A$2)=$E304))</f>
        <v>#VALUE!</v>
      </c>
    </row>
    <row r="305" spans="6:6" x14ac:dyDescent="0.25">
      <c r="F305" t="e" cm="1" vm="1">
        <f t="array" ref="F305">TRANSPOSE(_xlfn._xlws.FILTER(_xlfn.ANCHORARRAY($B$2),_xlfn.ANCHORARRAY($A$2)=$E305))</f>
        <v>#VALUE!</v>
      </c>
    </row>
    <row r="306" spans="6:6" x14ac:dyDescent="0.25">
      <c r="F306" t="e" cm="1" vm="1">
        <f t="array" ref="F306">TRANSPOSE(_xlfn._xlws.FILTER(_xlfn.ANCHORARRAY($B$2),_xlfn.ANCHORARRAY($A$2)=$E306))</f>
        <v>#VALUE!</v>
      </c>
    </row>
    <row r="307" spans="6:6" x14ac:dyDescent="0.25">
      <c r="F307" t="e" cm="1" vm="1">
        <f t="array" ref="F307">TRANSPOSE(_xlfn._xlws.FILTER(_xlfn.ANCHORARRAY($B$2),_xlfn.ANCHORARRAY($A$2)=$E307))</f>
        <v>#VALUE!</v>
      </c>
    </row>
    <row r="308" spans="6:6" x14ac:dyDescent="0.25">
      <c r="F308" t="e" cm="1" vm="1">
        <f t="array" ref="F308">TRANSPOSE(_xlfn._xlws.FILTER(_xlfn.ANCHORARRAY($B$2),_xlfn.ANCHORARRAY($A$2)=$E308))</f>
        <v>#VALUE!</v>
      </c>
    </row>
    <row r="309" spans="6:6" x14ac:dyDescent="0.25">
      <c r="F309" t="e" cm="1" vm="1">
        <f t="array" ref="F309">TRANSPOSE(_xlfn._xlws.FILTER(_xlfn.ANCHORARRAY($B$2),_xlfn.ANCHORARRAY($A$2)=$E309))</f>
        <v>#VALUE!</v>
      </c>
    </row>
    <row r="310" spans="6:6" x14ac:dyDescent="0.25">
      <c r="F310" t="e" cm="1" vm="1">
        <f t="array" ref="F310">TRANSPOSE(_xlfn._xlws.FILTER(_xlfn.ANCHORARRAY($B$2),_xlfn.ANCHORARRAY($A$2)=$E310))</f>
        <v>#VALUE!</v>
      </c>
    </row>
    <row r="311" spans="6:6" x14ac:dyDescent="0.25">
      <c r="F311" t="e" cm="1" vm="1">
        <f t="array" ref="F311">TRANSPOSE(_xlfn._xlws.FILTER(_xlfn.ANCHORARRAY($B$2),_xlfn.ANCHORARRAY($A$2)=$E311))</f>
        <v>#VALUE!</v>
      </c>
    </row>
    <row r="312" spans="6:6" x14ac:dyDescent="0.25">
      <c r="F312" t="e" cm="1" vm="1">
        <f t="array" ref="F312">TRANSPOSE(_xlfn._xlws.FILTER(_xlfn.ANCHORARRAY($B$2),_xlfn.ANCHORARRAY($A$2)=$E312))</f>
        <v>#VALUE!</v>
      </c>
    </row>
    <row r="313" spans="6:6" x14ac:dyDescent="0.25">
      <c r="F313" t="e" cm="1" vm="1">
        <f t="array" ref="F313">TRANSPOSE(_xlfn._xlws.FILTER(_xlfn.ANCHORARRAY($B$2),_xlfn.ANCHORARRAY($A$2)=$E313))</f>
        <v>#VALUE!</v>
      </c>
    </row>
    <row r="314" spans="6:6" x14ac:dyDescent="0.25">
      <c r="F314" t="e" cm="1" vm="1">
        <f t="array" ref="F314">TRANSPOSE(_xlfn._xlws.FILTER(_xlfn.ANCHORARRAY($B$2),_xlfn.ANCHORARRAY($A$2)=$E314))</f>
        <v>#VALUE!</v>
      </c>
    </row>
    <row r="315" spans="6:6" x14ac:dyDescent="0.25">
      <c r="F315" t="e" cm="1" vm="1">
        <f t="array" ref="F315">TRANSPOSE(_xlfn._xlws.FILTER(_xlfn.ANCHORARRAY($B$2),_xlfn.ANCHORARRAY($A$2)=$E315))</f>
        <v>#VALUE!</v>
      </c>
    </row>
    <row r="316" spans="6:6" x14ac:dyDescent="0.25">
      <c r="F316" t="e" cm="1" vm="1">
        <f t="array" ref="F316">TRANSPOSE(_xlfn._xlws.FILTER(_xlfn.ANCHORARRAY($B$2),_xlfn.ANCHORARRAY($A$2)=$E316))</f>
        <v>#VALUE!</v>
      </c>
    </row>
    <row r="317" spans="6:6" x14ac:dyDescent="0.25">
      <c r="F317" t="e" cm="1" vm="1">
        <f t="array" ref="F317">TRANSPOSE(_xlfn._xlws.FILTER(_xlfn.ANCHORARRAY($B$2),_xlfn.ANCHORARRAY($A$2)=$E317))</f>
        <v>#VALUE!</v>
      </c>
    </row>
    <row r="318" spans="6:6" x14ac:dyDescent="0.25">
      <c r="F318" t="e" cm="1" vm="1">
        <f t="array" ref="F318">TRANSPOSE(_xlfn._xlws.FILTER(_xlfn.ANCHORARRAY($B$2),_xlfn.ANCHORARRAY($A$2)=$E318))</f>
        <v>#VALUE!</v>
      </c>
    </row>
    <row r="319" spans="6:6" x14ac:dyDescent="0.25">
      <c r="F319" t="e" cm="1" vm="1">
        <f t="array" ref="F319">TRANSPOSE(_xlfn._xlws.FILTER(_xlfn.ANCHORARRAY($B$2),_xlfn.ANCHORARRAY($A$2)=$E319))</f>
        <v>#VALUE!</v>
      </c>
    </row>
    <row r="320" spans="6:6" x14ac:dyDescent="0.25">
      <c r="F320" t="e" cm="1" vm="1">
        <f t="array" ref="F320">TRANSPOSE(_xlfn._xlws.FILTER(_xlfn.ANCHORARRAY($B$2),_xlfn.ANCHORARRAY($A$2)=$E320))</f>
        <v>#VALUE!</v>
      </c>
    </row>
    <row r="321" spans="6:6" x14ac:dyDescent="0.25">
      <c r="F321" t="e" cm="1" vm="1">
        <f t="array" ref="F321">TRANSPOSE(_xlfn._xlws.FILTER(_xlfn.ANCHORARRAY($B$2),_xlfn.ANCHORARRAY($A$2)=$E321))</f>
        <v>#VALUE!</v>
      </c>
    </row>
    <row r="322" spans="6:6" x14ac:dyDescent="0.25">
      <c r="F322" t="e" cm="1" vm="1">
        <f t="array" ref="F322">TRANSPOSE(_xlfn._xlws.FILTER(_xlfn.ANCHORARRAY($B$2),_xlfn.ANCHORARRAY($A$2)=$E322))</f>
        <v>#VALUE!</v>
      </c>
    </row>
    <row r="323" spans="6:6" x14ac:dyDescent="0.25">
      <c r="F323" t="e" cm="1" vm="1">
        <f t="array" ref="F323">TRANSPOSE(_xlfn._xlws.FILTER(_xlfn.ANCHORARRAY($B$2),_xlfn.ANCHORARRAY($A$2)=$E323))</f>
        <v>#VALUE!</v>
      </c>
    </row>
    <row r="324" spans="6:6" x14ac:dyDescent="0.25">
      <c r="F324" t="e" cm="1" vm="1">
        <f t="array" ref="F324">TRANSPOSE(_xlfn._xlws.FILTER(_xlfn.ANCHORARRAY($B$2),_xlfn.ANCHORARRAY($A$2)=$E324))</f>
        <v>#VALUE!</v>
      </c>
    </row>
    <row r="325" spans="6:6" x14ac:dyDescent="0.25">
      <c r="F325" t="e" cm="1" vm="1">
        <f t="array" ref="F325">TRANSPOSE(_xlfn._xlws.FILTER(_xlfn.ANCHORARRAY($B$2),_xlfn.ANCHORARRAY($A$2)=$E325))</f>
        <v>#VALUE!</v>
      </c>
    </row>
    <row r="326" spans="6:6" x14ac:dyDescent="0.25">
      <c r="F326" t="e" cm="1" vm="1">
        <f t="array" ref="F326">TRANSPOSE(_xlfn._xlws.FILTER(_xlfn.ANCHORARRAY($B$2),_xlfn.ANCHORARRAY($A$2)=$E326))</f>
        <v>#VALUE!</v>
      </c>
    </row>
    <row r="327" spans="6:6" x14ac:dyDescent="0.25">
      <c r="F327" t="e" cm="1" vm="1">
        <f t="array" ref="F327">TRANSPOSE(_xlfn._xlws.FILTER(_xlfn.ANCHORARRAY($B$2),_xlfn.ANCHORARRAY($A$2)=$E327))</f>
        <v>#VALUE!</v>
      </c>
    </row>
    <row r="328" spans="6:6" x14ac:dyDescent="0.25">
      <c r="F328" t="e" cm="1" vm="1">
        <f t="array" ref="F328">TRANSPOSE(_xlfn._xlws.FILTER(_xlfn.ANCHORARRAY($B$2),_xlfn.ANCHORARRAY($A$2)=$E328))</f>
        <v>#VALUE!</v>
      </c>
    </row>
    <row r="329" spans="6:6" x14ac:dyDescent="0.25">
      <c r="F329" t="e" cm="1" vm="1">
        <f t="array" ref="F329">TRANSPOSE(_xlfn._xlws.FILTER(_xlfn.ANCHORARRAY($B$2),_xlfn.ANCHORARRAY($A$2)=$E329))</f>
        <v>#VALUE!</v>
      </c>
    </row>
    <row r="330" spans="6:6" x14ac:dyDescent="0.25">
      <c r="F330" t="e" cm="1" vm="1">
        <f t="array" ref="F330">TRANSPOSE(_xlfn._xlws.FILTER(_xlfn.ANCHORARRAY($B$2),_xlfn.ANCHORARRAY($A$2)=$E330))</f>
        <v>#VALUE!</v>
      </c>
    </row>
    <row r="331" spans="6:6" x14ac:dyDescent="0.25">
      <c r="F331" t="e" cm="1" vm="1">
        <f t="array" ref="F331">TRANSPOSE(_xlfn._xlws.FILTER(_xlfn.ANCHORARRAY($B$2),_xlfn.ANCHORARRAY($A$2)=$E331))</f>
        <v>#VALUE!</v>
      </c>
    </row>
    <row r="332" spans="6:6" x14ac:dyDescent="0.25">
      <c r="F332" t="e" cm="1" vm="1">
        <f t="array" ref="F332">TRANSPOSE(_xlfn._xlws.FILTER(_xlfn.ANCHORARRAY($B$2),_xlfn.ANCHORARRAY($A$2)=$E332))</f>
        <v>#VALUE!</v>
      </c>
    </row>
    <row r="333" spans="6:6" x14ac:dyDescent="0.25">
      <c r="F333" t="e" cm="1" vm="1">
        <f t="array" ref="F333">TRANSPOSE(_xlfn._xlws.FILTER(_xlfn.ANCHORARRAY($B$2),_xlfn.ANCHORARRAY($A$2)=$E333))</f>
        <v>#VALUE!</v>
      </c>
    </row>
    <row r="334" spans="6:6" x14ac:dyDescent="0.25">
      <c r="F334" t="e" cm="1" vm="1">
        <f t="array" ref="F334">TRANSPOSE(_xlfn._xlws.FILTER(_xlfn.ANCHORARRAY($B$2),_xlfn.ANCHORARRAY($A$2)=$E334))</f>
        <v>#VALUE!</v>
      </c>
    </row>
    <row r="335" spans="6:6" x14ac:dyDescent="0.25">
      <c r="F335" t="e" cm="1" vm="1">
        <f t="array" ref="F335">TRANSPOSE(_xlfn._xlws.FILTER(_xlfn.ANCHORARRAY($B$2),_xlfn.ANCHORARRAY($A$2)=$E335))</f>
        <v>#VALUE!</v>
      </c>
    </row>
    <row r="336" spans="6:6" x14ac:dyDescent="0.25">
      <c r="F336" t="e" cm="1" vm="1">
        <f t="array" ref="F336">TRANSPOSE(_xlfn._xlws.FILTER(_xlfn.ANCHORARRAY($B$2),_xlfn.ANCHORARRAY($A$2)=$E336))</f>
        <v>#VALUE!</v>
      </c>
    </row>
    <row r="337" spans="6:6" x14ac:dyDescent="0.25">
      <c r="F337" t="e" cm="1" vm="1">
        <f t="array" ref="F337">TRANSPOSE(_xlfn._xlws.FILTER(_xlfn.ANCHORARRAY($B$2),_xlfn.ANCHORARRAY($A$2)=$E337))</f>
        <v>#VALUE!</v>
      </c>
    </row>
    <row r="338" spans="6:6" x14ac:dyDescent="0.25">
      <c r="F338" t="e" cm="1" vm="1">
        <f t="array" ref="F338">TRANSPOSE(_xlfn._xlws.FILTER(_xlfn.ANCHORARRAY($B$2),_xlfn.ANCHORARRAY($A$2)=$E338))</f>
        <v>#VALUE!</v>
      </c>
    </row>
    <row r="339" spans="6:6" x14ac:dyDescent="0.25">
      <c r="F339" t="e" cm="1" vm="1">
        <f t="array" ref="F339">TRANSPOSE(_xlfn._xlws.FILTER(_xlfn.ANCHORARRAY($B$2),_xlfn.ANCHORARRAY($A$2)=$E339))</f>
        <v>#VALUE!</v>
      </c>
    </row>
    <row r="340" spans="6:6" x14ac:dyDescent="0.25">
      <c r="F340" t="e" cm="1" vm="1">
        <f t="array" ref="F340">TRANSPOSE(_xlfn._xlws.FILTER(_xlfn.ANCHORARRAY($B$2),_xlfn.ANCHORARRAY($A$2)=$E340))</f>
        <v>#VALUE!</v>
      </c>
    </row>
    <row r="341" spans="6:6" x14ac:dyDescent="0.25">
      <c r="F341" t="e" cm="1" vm="1">
        <f t="array" ref="F341">TRANSPOSE(_xlfn._xlws.FILTER(_xlfn.ANCHORARRAY($B$2),_xlfn.ANCHORARRAY($A$2)=$E341))</f>
        <v>#VALUE!</v>
      </c>
    </row>
    <row r="342" spans="6:6" x14ac:dyDescent="0.25">
      <c r="F342" t="e" cm="1" vm="1">
        <f t="array" ref="F342">TRANSPOSE(_xlfn._xlws.FILTER(_xlfn.ANCHORARRAY($B$2),_xlfn.ANCHORARRAY($A$2)=$E342))</f>
        <v>#VALUE!</v>
      </c>
    </row>
    <row r="343" spans="6:6" x14ac:dyDescent="0.25">
      <c r="F343" t="e" cm="1" vm="1">
        <f t="array" ref="F343">TRANSPOSE(_xlfn._xlws.FILTER(_xlfn.ANCHORARRAY($B$2),_xlfn.ANCHORARRAY($A$2)=$E343))</f>
        <v>#VALUE!</v>
      </c>
    </row>
    <row r="344" spans="6:6" x14ac:dyDescent="0.25">
      <c r="F344" t="e" cm="1" vm="1">
        <f t="array" ref="F344">TRANSPOSE(_xlfn._xlws.FILTER(_xlfn.ANCHORARRAY($B$2),_xlfn.ANCHORARRAY($A$2)=$E344))</f>
        <v>#VALUE!</v>
      </c>
    </row>
    <row r="345" spans="6:6" x14ac:dyDescent="0.25">
      <c r="F345" t="e" cm="1" vm="1">
        <f t="array" ref="F345">TRANSPOSE(_xlfn._xlws.FILTER(_xlfn.ANCHORARRAY($B$2),_xlfn.ANCHORARRAY($A$2)=$E345))</f>
        <v>#VALUE!</v>
      </c>
    </row>
    <row r="346" spans="6:6" x14ac:dyDescent="0.25">
      <c r="F346" t="e" cm="1" vm="1">
        <f t="array" ref="F346">TRANSPOSE(_xlfn._xlws.FILTER(_xlfn.ANCHORARRAY($B$2),_xlfn.ANCHORARRAY($A$2)=$E346))</f>
        <v>#VALUE!</v>
      </c>
    </row>
    <row r="347" spans="6:6" x14ac:dyDescent="0.25">
      <c r="F347" t="e" cm="1" vm="1">
        <f t="array" ref="F347">TRANSPOSE(_xlfn._xlws.FILTER(_xlfn.ANCHORARRAY($B$2),_xlfn.ANCHORARRAY($A$2)=$E347))</f>
        <v>#VALUE!</v>
      </c>
    </row>
    <row r="348" spans="6:6" x14ac:dyDescent="0.25">
      <c r="F348" t="e" cm="1" vm="1">
        <f t="array" ref="F348">TRANSPOSE(_xlfn._xlws.FILTER(_xlfn.ANCHORARRAY($B$2),_xlfn.ANCHORARRAY($A$2)=$E348))</f>
        <v>#VALUE!</v>
      </c>
    </row>
    <row r="349" spans="6:6" x14ac:dyDescent="0.25">
      <c r="F349" t="e" cm="1" vm="1">
        <f t="array" ref="F349">TRANSPOSE(_xlfn._xlws.FILTER(_xlfn.ANCHORARRAY($B$2),_xlfn.ANCHORARRAY($A$2)=$E349))</f>
        <v>#VALUE!</v>
      </c>
    </row>
    <row r="350" spans="6:6" x14ac:dyDescent="0.25">
      <c r="F350" t="e" cm="1" vm="1">
        <f t="array" ref="F350">TRANSPOSE(_xlfn._xlws.FILTER(_xlfn.ANCHORARRAY($B$2),_xlfn.ANCHORARRAY($A$2)=$E350))</f>
        <v>#VALUE!</v>
      </c>
    </row>
    <row r="351" spans="6:6" x14ac:dyDescent="0.25">
      <c r="F351" t="e" cm="1" vm="1">
        <f t="array" ref="F351">TRANSPOSE(_xlfn._xlws.FILTER(_xlfn.ANCHORARRAY($B$2),_xlfn.ANCHORARRAY($A$2)=$E351))</f>
        <v>#VALUE!</v>
      </c>
    </row>
    <row r="352" spans="6:6" x14ac:dyDescent="0.25">
      <c r="F352" t="e" cm="1" vm="1">
        <f t="array" ref="F352">TRANSPOSE(_xlfn._xlws.FILTER(_xlfn.ANCHORARRAY($B$2),_xlfn.ANCHORARRAY($A$2)=$E352))</f>
        <v>#VALUE!</v>
      </c>
    </row>
    <row r="353" spans="6:6" x14ac:dyDescent="0.25">
      <c r="F353" t="e" cm="1" vm="1">
        <f t="array" ref="F353">TRANSPOSE(_xlfn._xlws.FILTER(_xlfn.ANCHORARRAY($B$2),_xlfn.ANCHORARRAY($A$2)=$E353))</f>
        <v>#VALUE!</v>
      </c>
    </row>
    <row r="354" spans="6:6" x14ac:dyDescent="0.25">
      <c r="F354" t="e" cm="1" vm="1">
        <f t="array" ref="F354">TRANSPOSE(_xlfn._xlws.FILTER(_xlfn.ANCHORARRAY($B$2),_xlfn.ANCHORARRAY($A$2)=$E354))</f>
        <v>#VALUE!</v>
      </c>
    </row>
    <row r="355" spans="6:6" x14ac:dyDescent="0.25">
      <c r="F355" t="e" cm="1" vm="1">
        <f t="array" ref="F355">TRANSPOSE(_xlfn._xlws.FILTER(_xlfn.ANCHORARRAY($B$2),_xlfn.ANCHORARRAY($A$2)=$E355))</f>
        <v>#VALUE!</v>
      </c>
    </row>
    <row r="356" spans="6:6" x14ac:dyDescent="0.25">
      <c r="F356" t="e" cm="1" vm="1">
        <f t="array" ref="F356">TRANSPOSE(_xlfn._xlws.FILTER(_xlfn.ANCHORARRAY($B$2),_xlfn.ANCHORARRAY($A$2)=$E356))</f>
        <v>#VALUE!</v>
      </c>
    </row>
    <row r="357" spans="6:6" x14ac:dyDescent="0.25">
      <c r="F357" t="e" cm="1" vm="1">
        <f t="array" ref="F357">TRANSPOSE(_xlfn._xlws.FILTER(_xlfn.ANCHORARRAY($B$2),_xlfn.ANCHORARRAY($A$2)=$E357))</f>
        <v>#VALUE!</v>
      </c>
    </row>
    <row r="358" spans="6:6" x14ac:dyDescent="0.25">
      <c r="F358" t="e" cm="1" vm="1">
        <f t="array" ref="F358">TRANSPOSE(_xlfn._xlws.FILTER(_xlfn.ANCHORARRAY($B$2),_xlfn.ANCHORARRAY($A$2)=$E358))</f>
        <v>#VALUE!</v>
      </c>
    </row>
    <row r="359" spans="6:6" x14ac:dyDescent="0.25">
      <c r="F359" t="e" cm="1" vm="1">
        <f t="array" ref="F359">TRANSPOSE(_xlfn._xlws.FILTER(_xlfn.ANCHORARRAY($B$2),_xlfn.ANCHORARRAY($A$2)=$E359))</f>
        <v>#VALUE!</v>
      </c>
    </row>
    <row r="360" spans="6:6" x14ac:dyDescent="0.25">
      <c r="F360" t="e" cm="1" vm="1">
        <f t="array" ref="F360">TRANSPOSE(_xlfn._xlws.FILTER(_xlfn.ANCHORARRAY($B$2),_xlfn.ANCHORARRAY($A$2)=$E360))</f>
        <v>#VALUE!</v>
      </c>
    </row>
    <row r="361" spans="6:6" x14ac:dyDescent="0.25">
      <c r="F361" t="e" cm="1" vm="1">
        <f t="array" ref="F361">TRANSPOSE(_xlfn._xlws.FILTER(_xlfn.ANCHORARRAY($B$2),_xlfn.ANCHORARRAY($A$2)=$E361))</f>
        <v>#VALUE!</v>
      </c>
    </row>
    <row r="362" spans="6:6" x14ac:dyDescent="0.25">
      <c r="F362" t="e" cm="1" vm="1">
        <f t="array" ref="F362">TRANSPOSE(_xlfn._xlws.FILTER(_xlfn.ANCHORARRAY($B$2),_xlfn.ANCHORARRAY($A$2)=$E362))</f>
        <v>#VALUE!</v>
      </c>
    </row>
    <row r="363" spans="6:6" x14ac:dyDescent="0.25">
      <c r="F363" t="e" cm="1" vm="1">
        <f t="array" ref="F363">TRANSPOSE(_xlfn._xlws.FILTER(_xlfn.ANCHORARRAY($B$2),_xlfn.ANCHORARRAY($A$2)=$E363))</f>
        <v>#VALUE!</v>
      </c>
    </row>
    <row r="364" spans="6:6" x14ac:dyDescent="0.25">
      <c r="F364" t="e" cm="1" vm="1">
        <f t="array" ref="F364">TRANSPOSE(_xlfn._xlws.FILTER(_xlfn.ANCHORARRAY($B$2),_xlfn.ANCHORARRAY($A$2)=$E364))</f>
        <v>#VALUE!</v>
      </c>
    </row>
    <row r="365" spans="6:6" x14ac:dyDescent="0.25">
      <c r="F365" t="e" cm="1" vm="1">
        <f t="array" ref="F365">TRANSPOSE(_xlfn._xlws.FILTER(_xlfn.ANCHORARRAY($B$2),_xlfn.ANCHORARRAY($A$2)=$E365))</f>
        <v>#VALUE!</v>
      </c>
    </row>
    <row r="366" spans="6:6" x14ac:dyDescent="0.25">
      <c r="F366" t="e" cm="1" vm="1">
        <f t="array" ref="F366">TRANSPOSE(_xlfn._xlws.FILTER(_xlfn.ANCHORARRAY($B$2),_xlfn.ANCHORARRAY($A$2)=$E366))</f>
        <v>#VALUE!</v>
      </c>
    </row>
    <row r="367" spans="6:6" x14ac:dyDescent="0.25">
      <c r="F367" t="e" cm="1" vm="1">
        <f t="array" ref="F367">TRANSPOSE(_xlfn._xlws.FILTER(_xlfn.ANCHORARRAY($B$2),_xlfn.ANCHORARRAY($A$2)=$E367))</f>
        <v>#VALUE!</v>
      </c>
    </row>
    <row r="368" spans="6:6" x14ac:dyDescent="0.25">
      <c r="F368" t="e" cm="1" vm="1">
        <f t="array" ref="F368">TRANSPOSE(_xlfn._xlws.FILTER(_xlfn.ANCHORARRAY($B$2),_xlfn.ANCHORARRAY($A$2)=$E368))</f>
        <v>#VALUE!</v>
      </c>
    </row>
    <row r="369" spans="6:6" x14ac:dyDescent="0.25">
      <c r="F369" t="e" cm="1" vm="1">
        <f t="array" ref="F369">TRANSPOSE(_xlfn._xlws.FILTER(_xlfn.ANCHORARRAY($B$2),_xlfn.ANCHORARRAY($A$2)=$E369))</f>
        <v>#VALUE!</v>
      </c>
    </row>
    <row r="370" spans="6:6" x14ac:dyDescent="0.25">
      <c r="F370" t="e" cm="1" vm="1">
        <f t="array" ref="F370">TRANSPOSE(_xlfn._xlws.FILTER(_xlfn.ANCHORARRAY($B$2),_xlfn.ANCHORARRAY($A$2)=$E370))</f>
        <v>#VALUE!</v>
      </c>
    </row>
    <row r="371" spans="6:6" x14ac:dyDescent="0.25">
      <c r="F371" t="e" cm="1" vm="1">
        <f t="array" ref="F371">TRANSPOSE(_xlfn._xlws.FILTER(_xlfn.ANCHORARRAY($B$2),_xlfn.ANCHORARRAY($A$2)=$E371))</f>
        <v>#VALUE!</v>
      </c>
    </row>
    <row r="372" spans="6:6" x14ac:dyDescent="0.25">
      <c r="F372" t="e" cm="1" vm="1">
        <f t="array" ref="F372">TRANSPOSE(_xlfn._xlws.FILTER(_xlfn.ANCHORARRAY($B$2),_xlfn.ANCHORARRAY($A$2)=$E372))</f>
        <v>#VALUE!</v>
      </c>
    </row>
    <row r="373" spans="6:6" x14ac:dyDescent="0.25">
      <c r="F373" t="e" cm="1" vm="1">
        <f t="array" ref="F373">TRANSPOSE(_xlfn._xlws.FILTER(_xlfn.ANCHORARRAY($B$2),_xlfn.ANCHORARRAY($A$2)=$E373))</f>
        <v>#VALUE!</v>
      </c>
    </row>
    <row r="374" spans="6:6" x14ac:dyDescent="0.25">
      <c r="F374" t="e" cm="1" vm="1">
        <f t="array" ref="F374">TRANSPOSE(_xlfn._xlws.FILTER(_xlfn.ANCHORARRAY($B$2),_xlfn.ANCHORARRAY($A$2)=$E374))</f>
        <v>#VALUE!</v>
      </c>
    </row>
    <row r="375" spans="6:6" x14ac:dyDescent="0.25">
      <c r="F375" t="e" cm="1" vm="1">
        <f t="array" ref="F375">TRANSPOSE(_xlfn._xlws.FILTER(_xlfn.ANCHORARRAY($B$2),_xlfn.ANCHORARRAY($A$2)=$E375))</f>
        <v>#VALUE!</v>
      </c>
    </row>
    <row r="376" spans="6:6" x14ac:dyDescent="0.25">
      <c r="F376" t="e" cm="1" vm="1">
        <f t="array" ref="F376">TRANSPOSE(_xlfn._xlws.FILTER(_xlfn.ANCHORARRAY($B$2),_xlfn.ANCHORARRAY($A$2)=$E376))</f>
        <v>#VALUE!</v>
      </c>
    </row>
    <row r="377" spans="6:6" x14ac:dyDescent="0.25">
      <c r="F377" t="e" cm="1" vm="1">
        <f t="array" ref="F377">TRANSPOSE(_xlfn._xlws.FILTER(_xlfn.ANCHORARRAY($B$2),_xlfn.ANCHORARRAY($A$2)=$E377))</f>
        <v>#VALUE!</v>
      </c>
    </row>
    <row r="378" spans="6:6" x14ac:dyDescent="0.25">
      <c r="F378" t="e" cm="1" vm="1">
        <f t="array" ref="F378">TRANSPOSE(_xlfn._xlws.FILTER(_xlfn.ANCHORARRAY($B$2),_xlfn.ANCHORARRAY($A$2)=$E378))</f>
        <v>#VALUE!</v>
      </c>
    </row>
    <row r="379" spans="6:6" x14ac:dyDescent="0.25">
      <c r="F379" t="e" cm="1" vm="1">
        <f t="array" ref="F379">TRANSPOSE(_xlfn._xlws.FILTER(_xlfn.ANCHORARRAY($B$2),_xlfn.ANCHORARRAY($A$2)=$E379))</f>
        <v>#VALUE!</v>
      </c>
    </row>
    <row r="380" spans="6:6" x14ac:dyDescent="0.25">
      <c r="F380" t="e" cm="1" vm="1">
        <f t="array" ref="F380">TRANSPOSE(_xlfn._xlws.FILTER(_xlfn.ANCHORARRAY($B$2),_xlfn.ANCHORARRAY($A$2)=$E380))</f>
        <v>#VALUE!</v>
      </c>
    </row>
    <row r="381" spans="6:6" x14ac:dyDescent="0.25">
      <c r="F381" t="e" cm="1" vm="1">
        <f t="array" ref="F381">TRANSPOSE(_xlfn._xlws.FILTER(_xlfn.ANCHORARRAY($B$2),_xlfn.ANCHORARRAY($A$2)=$E381))</f>
        <v>#VALUE!</v>
      </c>
    </row>
    <row r="382" spans="6:6" x14ac:dyDescent="0.25">
      <c r="F382" t="e" cm="1" vm="1">
        <f t="array" ref="F382">TRANSPOSE(_xlfn._xlws.FILTER(_xlfn.ANCHORARRAY($B$2),_xlfn.ANCHORARRAY($A$2)=$E382))</f>
        <v>#VALUE!</v>
      </c>
    </row>
    <row r="383" spans="6:6" x14ac:dyDescent="0.25">
      <c r="F383" t="e" cm="1" vm="1">
        <f t="array" ref="F383">TRANSPOSE(_xlfn._xlws.FILTER(_xlfn.ANCHORARRAY($B$2),_xlfn.ANCHORARRAY($A$2)=$E383))</f>
        <v>#VALUE!</v>
      </c>
    </row>
    <row r="384" spans="6:6" x14ac:dyDescent="0.25">
      <c r="F384" t="e" cm="1" vm="1">
        <f t="array" ref="F384">TRANSPOSE(_xlfn._xlws.FILTER(_xlfn.ANCHORARRAY($B$2),_xlfn.ANCHORARRAY($A$2)=$E384))</f>
        <v>#VALUE!</v>
      </c>
    </row>
    <row r="385" spans="6:6" x14ac:dyDescent="0.25">
      <c r="F385" t="e" cm="1" vm="1">
        <f t="array" ref="F385">TRANSPOSE(_xlfn._xlws.FILTER(_xlfn.ANCHORARRAY($B$2),_xlfn.ANCHORARRAY($A$2)=$E385))</f>
        <v>#VALUE!</v>
      </c>
    </row>
    <row r="386" spans="6:6" x14ac:dyDescent="0.25">
      <c r="F386" t="e" cm="1" vm="1">
        <f t="array" ref="F386">TRANSPOSE(_xlfn._xlws.FILTER(_xlfn.ANCHORARRAY($B$2),_xlfn.ANCHORARRAY($A$2)=$E386))</f>
        <v>#VALUE!</v>
      </c>
    </row>
    <row r="387" spans="6:6" x14ac:dyDescent="0.25">
      <c r="F387" t="e" cm="1" vm="1">
        <f t="array" ref="F387">TRANSPOSE(_xlfn._xlws.FILTER(_xlfn.ANCHORARRAY($B$2),_xlfn.ANCHORARRAY($A$2)=$E387))</f>
        <v>#VALUE!</v>
      </c>
    </row>
    <row r="388" spans="6:6" x14ac:dyDescent="0.25">
      <c r="F388" t="e" cm="1" vm="1">
        <f t="array" ref="F388">TRANSPOSE(_xlfn._xlws.FILTER(_xlfn.ANCHORARRAY($B$2),_xlfn.ANCHORARRAY($A$2)=$E388))</f>
        <v>#VALUE!</v>
      </c>
    </row>
    <row r="389" spans="6:6" x14ac:dyDescent="0.25">
      <c r="F389" t="e" cm="1" vm="1">
        <f t="array" ref="F389">TRANSPOSE(_xlfn._xlws.FILTER(_xlfn.ANCHORARRAY($B$2),_xlfn.ANCHORARRAY($A$2)=$E389))</f>
        <v>#VALUE!</v>
      </c>
    </row>
    <row r="390" spans="6:6" x14ac:dyDescent="0.25">
      <c r="F390" t="e" cm="1" vm="1">
        <f t="array" ref="F390">TRANSPOSE(_xlfn._xlws.FILTER(_xlfn.ANCHORARRAY($B$2),_xlfn.ANCHORARRAY($A$2)=$E390))</f>
        <v>#VALUE!</v>
      </c>
    </row>
    <row r="391" spans="6:6" x14ac:dyDescent="0.25">
      <c r="F391" t="e" cm="1" vm="1">
        <f t="array" ref="F391">TRANSPOSE(_xlfn._xlws.FILTER(_xlfn.ANCHORARRAY($B$2),_xlfn.ANCHORARRAY($A$2)=$E391))</f>
        <v>#VALUE!</v>
      </c>
    </row>
    <row r="392" spans="6:6" x14ac:dyDescent="0.25">
      <c r="F392" t="e" cm="1" vm="1">
        <f t="array" ref="F392">TRANSPOSE(_xlfn._xlws.FILTER(_xlfn.ANCHORARRAY($B$2),_xlfn.ANCHORARRAY($A$2)=$E392))</f>
        <v>#VALUE!</v>
      </c>
    </row>
    <row r="393" spans="6:6" x14ac:dyDescent="0.25">
      <c r="F393" t="e" cm="1" vm="1">
        <f t="array" ref="F393">TRANSPOSE(_xlfn._xlws.FILTER(_xlfn.ANCHORARRAY($B$2),_xlfn.ANCHORARRAY($A$2)=$E393))</f>
        <v>#VALUE!</v>
      </c>
    </row>
    <row r="394" spans="6:6" x14ac:dyDescent="0.25">
      <c r="F394" t="e" cm="1" vm="1">
        <f t="array" ref="F394">TRANSPOSE(_xlfn._xlws.FILTER(_xlfn.ANCHORARRAY($B$2),_xlfn.ANCHORARRAY($A$2)=$E394))</f>
        <v>#VALUE!</v>
      </c>
    </row>
    <row r="395" spans="6:6" x14ac:dyDescent="0.25">
      <c r="F395" t="e" cm="1" vm="1">
        <f t="array" ref="F395">TRANSPOSE(_xlfn._xlws.FILTER(_xlfn.ANCHORARRAY($B$2),_xlfn.ANCHORARRAY($A$2)=$E395))</f>
        <v>#VALUE!</v>
      </c>
    </row>
    <row r="396" spans="6:6" x14ac:dyDescent="0.25">
      <c r="F396" t="e" cm="1" vm="1">
        <f t="array" ref="F396">TRANSPOSE(_xlfn._xlws.FILTER(_xlfn.ANCHORARRAY($B$2),_xlfn.ANCHORARRAY($A$2)=$E396))</f>
        <v>#VALUE!</v>
      </c>
    </row>
    <row r="397" spans="6:6" x14ac:dyDescent="0.25">
      <c r="F397" t="e" cm="1" vm="1">
        <f t="array" ref="F397">TRANSPOSE(_xlfn._xlws.FILTER(_xlfn.ANCHORARRAY($B$2),_xlfn.ANCHORARRAY($A$2)=$E397))</f>
        <v>#VALUE!</v>
      </c>
    </row>
    <row r="398" spans="6:6" x14ac:dyDescent="0.25">
      <c r="F398" t="e" cm="1" vm="1">
        <f t="array" ref="F398">TRANSPOSE(_xlfn._xlws.FILTER(_xlfn.ANCHORARRAY($B$2),_xlfn.ANCHORARRAY($A$2)=$E398))</f>
        <v>#VALUE!</v>
      </c>
    </row>
    <row r="399" spans="6:6" x14ac:dyDescent="0.25">
      <c r="F399" t="e" cm="1" vm="1">
        <f t="array" ref="F399">TRANSPOSE(_xlfn._xlws.FILTER(_xlfn.ANCHORARRAY($B$2),_xlfn.ANCHORARRAY($A$2)=$E399))</f>
        <v>#VALUE!</v>
      </c>
    </row>
    <row r="400" spans="6:6" x14ac:dyDescent="0.25">
      <c r="F400" t="e" cm="1" vm="1">
        <f t="array" ref="F400">TRANSPOSE(_xlfn._xlws.FILTER(_xlfn.ANCHORARRAY($B$2),_xlfn.ANCHORARRAY($A$2)=$E400))</f>
        <v>#VALUE!</v>
      </c>
    </row>
    <row r="401" spans="6:6" x14ac:dyDescent="0.25">
      <c r="F401" t="e" cm="1" vm="1">
        <f t="array" ref="F401">TRANSPOSE(_xlfn._xlws.FILTER(_xlfn.ANCHORARRAY($B$2),_xlfn.ANCHORARRAY($A$2)=$E401))</f>
        <v>#VALUE!</v>
      </c>
    </row>
    <row r="402" spans="6:6" x14ac:dyDescent="0.25">
      <c r="F402" t="e" cm="1" vm="1">
        <f t="array" ref="F402">TRANSPOSE(_xlfn._xlws.FILTER(_xlfn.ANCHORARRAY($B$2),_xlfn.ANCHORARRAY($A$2)=$E402))</f>
        <v>#VALUE!</v>
      </c>
    </row>
    <row r="403" spans="6:6" x14ac:dyDescent="0.25">
      <c r="F403" t="e" cm="1" vm="1">
        <f t="array" ref="F403">TRANSPOSE(_xlfn._xlws.FILTER(_xlfn.ANCHORARRAY($B$2),_xlfn.ANCHORARRAY($A$2)=$E403))</f>
        <v>#VALUE!</v>
      </c>
    </row>
    <row r="404" spans="6:6" x14ac:dyDescent="0.25">
      <c r="F404" t="e" cm="1" vm="1">
        <f t="array" ref="F404">TRANSPOSE(_xlfn._xlws.FILTER(_xlfn.ANCHORARRAY($B$2),_xlfn.ANCHORARRAY($A$2)=$E404))</f>
        <v>#VALUE!</v>
      </c>
    </row>
    <row r="405" spans="6:6" x14ac:dyDescent="0.25">
      <c r="F405" t="e" cm="1" vm="1">
        <f t="array" ref="F405">TRANSPOSE(_xlfn._xlws.FILTER(_xlfn.ANCHORARRAY($B$2),_xlfn.ANCHORARRAY($A$2)=$E405))</f>
        <v>#VALUE!</v>
      </c>
    </row>
    <row r="406" spans="6:6" x14ac:dyDescent="0.25">
      <c r="F406" t="e" cm="1" vm="1">
        <f t="array" ref="F406">TRANSPOSE(_xlfn._xlws.FILTER(_xlfn.ANCHORARRAY($B$2),_xlfn.ANCHORARRAY($A$2)=$E406))</f>
        <v>#VALUE!</v>
      </c>
    </row>
    <row r="407" spans="6:6" x14ac:dyDescent="0.25">
      <c r="F407" t="e" cm="1" vm="1">
        <f t="array" ref="F407">TRANSPOSE(_xlfn._xlws.FILTER(_xlfn.ANCHORARRAY($B$2),_xlfn.ANCHORARRAY($A$2)=$E407))</f>
        <v>#VALUE!</v>
      </c>
    </row>
    <row r="408" spans="6:6" x14ac:dyDescent="0.25">
      <c r="F408" t="e" cm="1" vm="1">
        <f t="array" ref="F408">TRANSPOSE(_xlfn._xlws.FILTER(_xlfn.ANCHORARRAY($B$2),_xlfn.ANCHORARRAY($A$2)=$E408))</f>
        <v>#VALUE!</v>
      </c>
    </row>
    <row r="409" spans="6:6" x14ac:dyDescent="0.25">
      <c r="F409" t="e" cm="1" vm="1">
        <f t="array" ref="F409">TRANSPOSE(_xlfn._xlws.FILTER(_xlfn.ANCHORARRAY($B$2),_xlfn.ANCHORARRAY($A$2)=$E409))</f>
        <v>#VALUE!</v>
      </c>
    </row>
    <row r="410" spans="6:6" x14ac:dyDescent="0.25">
      <c r="F410" t="e" cm="1" vm="1">
        <f t="array" ref="F410">TRANSPOSE(_xlfn._xlws.FILTER(_xlfn.ANCHORARRAY($B$2),_xlfn.ANCHORARRAY($A$2)=$E410))</f>
        <v>#VALUE!</v>
      </c>
    </row>
    <row r="411" spans="6:6" x14ac:dyDescent="0.25">
      <c r="F411" t="e" cm="1" vm="1">
        <f t="array" ref="F411">TRANSPOSE(_xlfn._xlws.FILTER(_xlfn.ANCHORARRAY($B$2),_xlfn.ANCHORARRAY($A$2)=$E411))</f>
        <v>#VALUE!</v>
      </c>
    </row>
    <row r="412" spans="6:6" x14ac:dyDescent="0.25">
      <c r="F412" t="e" cm="1" vm="1">
        <f t="array" ref="F412">TRANSPOSE(_xlfn._xlws.FILTER(_xlfn.ANCHORARRAY($B$2),_xlfn.ANCHORARRAY($A$2)=$E412))</f>
        <v>#VALUE!</v>
      </c>
    </row>
    <row r="413" spans="6:6" x14ac:dyDescent="0.25">
      <c r="F413" t="e" cm="1" vm="1">
        <f t="array" ref="F413">TRANSPOSE(_xlfn._xlws.FILTER(_xlfn.ANCHORARRAY($B$2),_xlfn.ANCHORARRAY($A$2)=$E413))</f>
        <v>#VALUE!</v>
      </c>
    </row>
    <row r="414" spans="6:6" x14ac:dyDescent="0.25">
      <c r="F414" t="e" cm="1" vm="1">
        <f t="array" ref="F414">TRANSPOSE(_xlfn._xlws.FILTER(_xlfn.ANCHORARRAY($B$2),_xlfn.ANCHORARRAY($A$2)=$E414))</f>
        <v>#VALUE!</v>
      </c>
    </row>
    <row r="415" spans="6:6" x14ac:dyDescent="0.25">
      <c r="F415" t="e" cm="1" vm="1">
        <f t="array" ref="F415">TRANSPOSE(_xlfn._xlws.FILTER(_xlfn.ANCHORARRAY($B$2),_xlfn.ANCHORARRAY($A$2)=$E415))</f>
        <v>#VALUE!</v>
      </c>
    </row>
    <row r="416" spans="6:6" x14ac:dyDescent="0.25">
      <c r="F416" t="e" cm="1" vm="1">
        <f t="array" ref="F416">TRANSPOSE(_xlfn._xlws.FILTER(_xlfn.ANCHORARRAY($B$2),_xlfn.ANCHORARRAY($A$2)=$E416))</f>
        <v>#VALUE!</v>
      </c>
    </row>
    <row r="417" spans="6:6" x14ac:dyDescent="0.25">
      <c r="F417" t="e" cm="1" vm="1">
        <f t="array" ref="F417">TRANSPOSE(_xlfn._xlws.FILTER(_xlfn.ANCHORARRAY($B$2),_xlfn.ANCHORARRAY($A$2)=$E417))</f>
        <v>#VALUE!</v>
      </c>
    </row>
    <row r="418" spans="6:6" x14ac:dyDescent="0.25">
      <c r="F418" t="e" cm="1" vm="1">
        <f t="array" ref="F418">TRANSPOSE(_xlfn._xlws.FILTER(_xlfn.ANCHORARRAY($B$2),_xlfn.ANCHORARRAY($A$2)=$E418))</f>
        <v>#VALUE!</v>
      </c>
    </row>
    <row r="419" spans="6:6" x14ac:dyDescent="0.25">
      <c r="F419" t="e" cm="1" vm="1">
        <f t="array" ref="F419">TRANSPOSE(_xlfn._xlws.FILTER(_xlfn.ANCHORARRAY($B$2),_xlfn.ANCHORARRAY($A$2)=$E419))</f>
        <v>#VALUE!</v>
      </c>
    </row>
    <row r="420" spans="6:6" x14ac:dyDescent="0.25">
      <c r="F420" t="e" cm="1" vm="1">
        <f t="array" ref="F420">TRANSPOSE(_xlfn._xlws.FILTER(_xlfn.ANCHORARRAY($B$2),_xlfn.ANCHORARRAY($A$2)=$E420))</f>
        <v>#VALUE!</v>
      </c>
    </row>
    <row r="421" spans="6:6" x14ac:dyDescent="0.25">
      <c r="F421" t="e" cm="1" vm="1">
        <f t="array" ref="F421">TRANSPOSE(_xlfn._xlws.FILTER(_xlfn.ANCHORARRAY($B$2),_xlfn.ANCHORARRAY($A$2)=$E421))</f>
        <v>#VALUE!</v>
      </c>
    </row>
    <row r="422" spans="6:6" x14ac:dyDescent="0.25">
      <c r="F422" t="e" cm="1" vm="1">
        <f t="array" ref="F422">TRANSPOSE(_xlfn._xlws.FILTER(_xlfn.ANCHORARRAY($B$2),_xlfn.ANCHORARRAY($A$2)=$E422))</f>
        <v>#VALUE!</v>
      </c>
    </row>
    <row r="423" spans="6:6" x14ac:dyDescent="0.25">
      <c r="F423" t="e" cm="1" vm="1">
        <f t="array" ref="F423">TRANSPOSE(_xlfn._xlws.FILTER(_xlfn.ANCHORARRAY($B$2),_xlfn.ANCHORARRAY($A$2)=$E423))</f>
        <v>#VALUE!</v>
      </c>
    </row>
    <row r="424" spans="6:6" x14ac:dyDescent="0.25">
      <c r="F424" t="e" cm="1" vm="1">
        <f t="array" ref="F424">TRANSPOSE(_xlfn._xlws.FILTER(_xlfn.ANCHORARRAY($B$2),_xlfn.ANCHORARRAY($A$2)=$E424))</f>
        <v>#VALUE!</v>
      </c>
    </row>
    <row r="425" spans="6:6" x14ac:dyDescent="0.25">
      <c r="F425" t="e" cm="1" vm="1">
        <f t="array" ref="F425">TRANSPOSE(_xlfn._xlws.FILTER(_xlfn.ANCHORARRAY($B$2),_xlfn.ANCHORARRAY($A$2)=$E425))</f>
        <v>#VALUE!</v>
      </c>
    </row>
    <row r="426" spans="6:6" x14ac:dyDescent="0.25">
      <c r="F426" t="e" cm="1" vm="1">
        <f t="array" ref="F426">TRANSPOSE(_xlfn._xlws.FILTER(_xlfn.ANCHORARRAY($B$2),_xlfn.ANCHORARRAY($A$2)=$E426))</f>
        <v>#VALUE!</v>
      </c>
    </row>
    <row r="427" spans="6:6" x14ac:dyDescent="0.25">
      <c r="F427" t="e" cm="1" vm="1">
        <f t="array" ref="F427">TRANSPOSE(_xlfn._xlws.FILTER(_xlfn.ANCHORARRAY($B$2),_xlfn.ANCHORARRAY($A$2)=$E427))</f>
        <v>#VALUE!</v>
      </c>
    </row>
    <row r="428" spans="6:6" x14ac:dyDescent="0.25">
      <c r="F428" t="e" cm="1" vm="1">
        <f t="array" ref="F428">TRANSPOSE(_xlfn._xlws.FILTER(_xlfn.ANCHORARRAY($B$2),_xlfn.ANCHORARRAY($A$2)=$E428))</f>
        <v>#VALUE!</v>
      </c>
    </row>
    <row r="429" spans="6:6" x14ac:dyDescent="0.25">
      <c r="F429" t="e" cm="1" vm="1">
        <f t="array" ref="F429">TRANSPOSE(_xlfn._xlws.FILTER(_xlfn.ANCHORARRAY($B$2),_xlfn.ANCHORARRAY($A$2)=$E429))</f>
        <v>#VALUE!</v>
      </c>
    </row>
    <row r="430" spans="6:6" x14ac:dyDescent="0.25">
      <c r="F430" t="e" cm="1" vm="1">
        <f t="array" ref="F430">TRANSPOSE(_xlfn._xlws.FILTER(_xlfn.ANCHORARRAY($B$2),_xlfn.ANCHORARRAY($A$2)=$E430))</f>
        <v>#VALUE!</v>
      </c>
    </row>
    <row r="431" spans="6:6" x14ac:dyDescent="0.25">
      <c r="F431" t="e" cm="1" vm="1">
        <f t="array" ref="F431">TRANSPOSE(_xlfn._xlws.FILTER(_xlfn.ANCHORARRAY($B$2),_xlfn.ANCHORARRAY($A$2)=$E431))</f>
        <v>#VALUE!</v>
      </c>
    </row>
    <row r="432" spans="6:6" x14ac:dyDescent="0.25">
      <c r="F432" t="e" cm="1" vm="1">
        <f t="array" ref="F432">TRANSPOSE(_xlfn._xlws.FILTER(_xlfn.ANCHORARRAY($B$2),_xlfn.ANCHORARRAY($A$2)=$E432))</f>
        <v>#VALUE!</v>
      </c>
    </row>
    <row r="433" spans="6:6" x14ac:dyDescent="0.25">
      <c r="F433" t="e" cm="1" vm="1">
        <f t="array" ref="F433">TRANSPOSE(_xlfn._xlws.FILTER(_xlfn.ANCHORARRAY($B$2),_xlfn.ANCHORARRAY($A$2)=$E433))</f>
        <v>#VALUE!</v>
      </c>
    </row>
    <row r="434" spans="6:6" x14ac:dyDescent="0.25">
      <c r="F434" t="e" cm="1" vm="1">
        <f t="array" ref="F434">TRANSPOSE(_xlfn._xlws.FILTER(_xlfn.ANCHORARRAY($B$2),_xlfn.ANCHORARRAY($A$2)=$E434))</f>
        <v>#VALUE!</v>
      </c>
    </row>
    <row r="435" spans="6:6" x14ac:dyDescent="0.25">
      <c r="F435" t="e" cm="1" vm="1">
        <f t="array" ref="F435">TRANSPOSE(_xlfn._xlws.FILTER(_xlfn.ANCHORARRAY($B$2),_xlfn.ANCHORARRAY($A$2)=$E435))</f>
        <v>#VALUE!</v>
      </c>
    </row>
    <row r="436" spans="6:6" x14ac:dyDescent="0.25">
      <c r="F436" t="e" cm="1" vm="1">
        <f t="array" ref="F436">TRANSPOSE(_xlfn._xlws.FILTER(_xlfn.ANCHORARRAY($B$2),_xlfn.ANCHORARRAY($A$2)=$E436))</f>
        <v>#VALUE!</v>
      </c>
    </row>
    <row r="437" spans="6:6" x14ac:dyDescent="0.25">
      <c r="F437" t="e" cm="1" vm="1">
        <f t="array" ref="F437">TRANSPOSE(_xlfn._xlws.FILTER(_xlfn.ANCHORARRAY($B$2),_xlfn.ANCHORARRAY($A$2)=$E437))</f>
        <v>#VALUE!</v>
      </c>
    </row>
    <row r="438" spans="6:6" x14ac:dyDescent="0.25">
      <c r="F438" t="e" cm="1" vm="1">
        <f t="array" ref="F438">TRANSPOSE(_xlfn._xlws.FILTER(_xlfn.ANCHORARRAY($B$2),_xlfn.ANCHORARRAY($A$2)=$E438))</f>
        <v>#VALUE!</v>
      </c>
    </row>
    <row r="439" spans="6:6" x14ac:dyDescent="0.25">
      <c r="F439" t="e" cm="1" vm="1">
        <f t="array" ref="F439">TRANSPOSE(_xlfn._xlws.FILTER(_xlfn.ANCHORARRAY($B$2),_xlfn.ANCHORARRAY($A$2)=$E439))</f>
        <v>#VALUE!</v>
      </c>
    </row>
    <row r="440" spans="6:6" x14ac:dyDescent="0.25">
      <c r="F440" t="e" cm="1" vm="1">
        <f t="array" ref="F440">TRANSPOSE(_xlfn._xlws.FILTER(_xlfn.ANCHORARRAY($B$2),_xlfn.ANCHORARRAY($A$2)=$E440))</f>
        <v>#VALUE!</v>
      </c>
    </row>
    <row r="441" spans="6:6" x14ac:dyDescent="0.25">
      <c r="F441" t="e" cm="1" vm="1">
        <f t="array" ref="F441">TRANSPOSE(_xlfn._xlws.FILTER(_xlfn.ANCHORARRAY($B$2),_xlfn.ANCHORARRAY($A$2)=$E441))</f>
        <v>#VALUE!</v>
      </c>
    </row>
    <row r="442" spans="6:6" x14ac:dyDescent="0.25">
      <c r="F442" t="e" cm="1" vm="1">
        <f t="array" ref="F442">TRANSPOSE(_xlfn._xlws.FILTER(_xlfn.ANCHORARRAY($B$2),_xlfn.ANCHORARRAY($A$2)=$E442))</f>
        <v>#VALUE!</v>
      </c>
    </row>
    <row r="443" spans="6:6" x14ac:dyDescent="0.25">
      <c r="F443" t="e" cm="1" vm="1">
        <f t="array" ref="F443">TRANSPOSE(_xlfn._xlws.FILTER(_xlfn.ANCHORARRAY($B$2),_xlfn.ANCHORARRAY($A$2)=$E443))</f>
        <v>#VALUE!</v>
      </c>
    </row>
    <row r="444" spans="6:6" x14ac:dyDescent="0.25">
      <c r="F444" t="e" cm="1" vm="1">
        <f t="array" ref="F444">TRANSPOSE(_xlfn._xlws.FILTER(_xlfn.ANCHORARRAY($B$2),_xlfn.ANCHORARRAY($A$2)=$E444))</f>
        <v>#VALUE!</v>
      </c>
    </row>
    <row r="445" spans="6:6" x14ac:dyDescent="0.25">
      <c r="F445" t="e" cm="1" vm="1">
        <f t="array" ref="F445">TRANSPOSE(_xlfn._xlws.FILTER(_xlfn.ANCHORARRAY($B$2),_xlfn.ANCHORARRAY($A$2)=$E445))</f>
        <v>#VALUE!</v>
      </c>
    </row>
    <row r="446" spans="6:6" x14ac:dyDescent="0.25">
      <c r="F446" t="e" cm="1" vm="1">
        <f t="array" ref="F446">TRANSPOSE(_xlfn._xlws.FILTER(_xlfn.ANCHORARRAY($B$2),_xlfn.ANCHORARRAY($A$2)=$E446))</f>
        <v>#VALUE!</v>
      </c>
    </row>
    <row r="447" spans="6:6" x14ac:dyDescent="0.25">
      <c r="F447" t="e" cm="1" vm="1">
        <f t="array" ref="F447">TRANSPOSE(_xlfn._xlws.FILTER(_xlfn.ANCHORARRAY($B$2),_xlfn.ANCHORARRAY($A$2)=$E447))</f>
        <v>#VALUE!</v>
      </c>
    </row>
    <row r="448" spans="6:6" x14ac:dyDescent="0.25">
      <c r="F448" t="e" cm="1" vm="1">
        <f t="array" ref="F448">TRANSPOSE(_xlfn._xlws.FILTER(_xlfn.ANCHORARRAY($B$2),_xlfn.ANCHORARRAY($A$2)=$E448))</f>
        <v>#VALUE!</v>
      </c>
    </row>
    <row r="449" spans="6:6" x14ac:dyDescent="0.25">
      <c r="F449" t="e" cm="1" vm="1">
        <f t="array" ref="F449">TRANSPOSE(_xlfn._xlws.FILTER(_xlfn.ANCHORARRAY($B$2),_xlfn.ANCHORARRAY($A$2)=$E449))</f>
        <v>#VALUE!</v>
      </c>
    </row>
    <row r="450" spans="6:6" x14ac:dyDescent="0.25">
      <c r="F450" t="e" cm="1" vm="1">
        <f t="array" ref="F450">TRANSPOSE(_xlfn._xlws.FILTER(_xlfn.ANCHORARRAY($B$2),_xlfn.ANCHORARRAY($A$2)=$E450))</f>
        <v>#VALUE!</v>
      </c>
    </row>
    <row r="451" spans="6:6" x14ac:dyDescent="0.25">
      <c r="F451" t="e" cm="1" vm="1">
        <f t="array" ref="F451">TRANSPOSE(_xlfn._xlws.FILTER(_xlfn.ANCHORARRAY($B$2),_xlfn.ANCHORARRAY($A$2)=$E451))</f>
        <v>#VALUE!</v>
      </c>
    </row>
    <row r="452" spans="6:6" x14ac:dyDescent="0.25">
      <c r="F452" t="e" cm="1" vm="1">
        <f t="array" ref="F452">TRANSPOSE(_xlfn._xlws.FILTER(_xlfn.ANCHORARRAY($B$2),_xlfn.ANCHORARRAY($A$2)=$E452))</f>
        <v>#VALUE!</v>
      </c>
    </row>
    <row r="453" spans="6:6" x14ac:dyDescent="0.25">
      <c r="F453" t="e" cm="1" vm="1">
        <f t="array" ref="F453">TRANSPOSE(_xlfn._xlws.FILTER(_xlfn.ANCHORARRAY($B$2),_xlfn.ANCHORARRAY($A$2)=$E453))</f>
        <v>#VALUE!</v>
      </c>
    </row>
    <row r="454" spans="6:6" x14ac:dyDescent="0.25">
      <c r="F454" t="e" cm="1" vm="1">
        <f t="array" ref="F454">TRANSPOSE(_xlfn._xlws.FILTER(_xlfn.ANCHORARRAY($B$2),_xlfn.ANCHORARRAY($A$2)=$E454))</f>
        <v>#VALUE!</v>
      </c>
    </row>
    <row r="455" spans="6:6" x14ac:dyDescent="0.25">
      <c r="F455" t="e" cm="1" vm="1">
        <f t="array" ref="F455">TRANSPOSE(_xlfn._xlws.FILTER(_xlfn.ANCHORARRAY($B$2),_xlfn.ANCHORARRAY($A$2)=$E455))</f>
        <v>#VALUE!</v>
      </c>
    </row>
    <row r="456" spans="6:6" x14ac:dyDescent="0.25">
      <c r="F456" t="e" cm="1" vm="1">
        <f t="array" ref="F456">TRANSPOSE(_xlfn._xlws.FILTER(_xlfn.ANCHORARRAY($B$2),_xlfn.ANCHORARRAY($A$2)=$E456))</f>
        <v>#VALUE!</v>
      </c>
    </row>
    <row r="457" spans="6:6" x14ac:dyDescent="0.25">
      <c r="F457" t="e" cm="1" vm="1">
        <f t="array" ref="F457">TRANSPOSE(_xlfn._xlws.FILTER(_xlfn.ANCHORARRAY($B$2),_xlfn.ANCHORARRAY($A$2)=$E457))</f>
        <v>#VALUE!</v>
      </c>
    </row>
    <row r="458" spans="6:6" x14ac:dyDescent="0.25">
      <c r="F458" t="e" cm="1" vm="1">
        <f t="array" ref="F458">TRANSPOSE(_xlfn._xlws.FILTER(_xlfn.ANCHORARRAY($B$2),_xlfn.ANCHORARRAY($A$2)=$E458))</f>
        <v>#VALUE!</v>
      </c>
    </row>
    <row r="459" spans="6:6" x14ac:dyDescent="0.25">
      <c r="F459" t="e" cm="1" vm="1">
        <f t="array" ref="F459">TRANSPOSE(_xlfn._xlws.FILTER(_xlfn.ANCHORARRAY($B$2),_xlfn.ANCHORARRAY($A$2)=$E459))</f>
        <v>#VALUE!</v>
      </c>
    </row>
    <row r="460" spans="6:6" x14ac:dyDescent="0.25">
      <c r="F460" t="e" cm="1" vm="1">
        <f t="array" ref="F460">TRANSPOSE(_xlfn._xlws.FILTER(_xlfn.ANCHORARRAY($B$2),_xlfn.ANCHORARRAY($A$2)=$E460))</f>
        <v>#VALUE!</v>
      </c>
    </row>
    <row r="461" spans="6:6" x14ac:dyDescent="0.25">
      <c r="F461" t="e" cm="1" vm="1">
        <f t="array" ref="F461">TRANSPOSE(_xlfn._xlws.FILTER(_xlfn.ANCHORARRAY($B$2),_xlfn.ANCHORARRAY($A$2)=$E461))</f>
        <v>#VALUE!</v>
      </c>
    </row>
    <row r="462" spans="6:6" x14ac:dyDescent="0.25">
      <c r="F462" t="e" cm="1" vm="1">
        <f t="array" ref="F462">TRANSPOSE(_xlfn._xlws.FILTER(_xlfn.ANCHORARRAY($B$2),_xlfn.ANCHORARRAY($A$2)=$E462))</f>
        <v>#VALUE!</v>
      </c>
    </row>
    <row r="463" spans="6:6" x14ac:dyDescent="0.25">
      <c r="F463" t="e" cm="1" vm="1">
        <f t="array" ref="F463">TRANSPOSE(_xlfn._xlws.FILTER(_xlfn.ANCHORARRAY($B$2),_xlfn.ANCHORARRAY($A$2)=$E463))</f>
        <v>#VALUE!</v>
      </c>
    </row>
    <row r="464" spans="6:6" x14ac:dyDescent="0.25">
      <c r="F464" t="e" cm="1" vm="1">
        <f t="array" ref="F464">TRANSPOSE(_xlfn._xlws.FILTER(_xlfn.ANCHORARRAY($B$2),_xlfn.ANCHORARRAY($A$2)=$E464))</f>
        <v>#VALUE!</v>
      </c>
    </row>
    <row r="465" spans="6:6" x14ac:dyDescent="0.25">
      <c r="F465" t="e" cm="1" vm="1">
        <f t="array" ref="F465">TRANSPOSE(_xlfn._xlws.FILTER(_xlfn.ANCHORARRAY($B$2),_xlfn.ANCHORARRAY($A$2)=$E465))</f>
        <v>#VALUE!</v>
      </c>
    </row>
    <row r="466" spans="6:6" x14ac:dyDescent="0.25">
      <c r="F466" t="e" cm="1" vm="1">
        <f t="array" ref="F466">TRANSPOSE(_xlfn._xlws.FILTER(_xlfn.ANCHORARRAY($B$2),_xlfn.ANCHORARRAY($A$2)=$E466))</f>
        <v>#VALUE!</v>
      </c>
    </row>
    <row r="467" spans="6:6" x14ac:dyDescent="0.25">
      <c r="F467" t="e" cm="1" vm="1">
        <f t="array" ref="F467">TRANSPOSE(_xlfn._xlws.FILTER(_xlfn.ANCHORARRAY($B$2),_xlfn.ANCHORARRAY($A$2)=$E467))</f>
        <v>#VALUE!</v>
      </c>
    </row>
    <row r="468" spans="6:6" x14ac:dyDescent="0.25">
      <c r="F468" t="e" cm="1" vm="1">
        <f t="array" ref="F468">TRANSPOSE(_xlfn._xlws.FILTER(_xlfn.ANCHORARRAY($B$2),_xlfn.ANCHORARRAY($A$2)=$E468))</f>
        <v>#VALUE!</v>
      </c>
    </row>
    <row r="469" spans="6:6" x14ac:dyDescent="0.25">
      <c r="F469" t="e" cm="1" vm="1">
        <f t="array" ref="F469">TRANSPOSE(_xlfn._xlws.FILTER(_xlfn.ANCHORARRAY($B$2),_xlfn.ANCHORARRAY($A$2)=$E469))</f>
        <v>#VALUE!</v>
      </c>
    </row>
    <row r="470" spans="6:6" x14ac:dyDescent="0.25">
      <c r="F470" t="e" cm="1" vm="1">
        <f t="array" ref="F470">TRANSPOSE(_xlfn._xlws.FILTER(_xlfn.ANCHORARRAY($B$2),_xlfn.ANCHORARRAY($A$2)=$E470))</f>
        <v>#VALUE!</v>
      </c>
    </row>
    <row r="471" spans="6:6" x14ac:dyDescent="0.25">
      <c r="F471" t="e" cm="1" vm="1">
        <f t="array" ref="F471">TRANSPOSE(_xlfn._xlws.FILTER(_xlfn.ANCHORARRAY($B$2),_xlfn.ANCHORARRAY($A$2)=$E471))</f>
        <v>#VALUE!</v>
      </c>
    </row>
    <row r="472" spans="6:6" x14ac:dyDescent="0.25">
      <c r="F472" t="e" cm="1" vm="1">
        <f t="array" ref="F472">TRANSPOSE(_xlfn._xlws.FILTER(_xlfn.ANCHORARRAY($B$2),_xlfn.ANCHORARRAY($A$2)=$E472))</f>
        <v>#VALUE!</v>
      </c>
    </row>
    <row r="473" spans="6:6" x14ac:dyDescent="0.25">
      <c r="F473" t="e" cm="1" vm="1">
        <f t="array" ref="F473">TRANSPOSE(_xlfn._xlws.FILTER(_xlfn.ANCHORARRAY($B$2),_xlfn.ANCHORARRAY($A$2)=$E473))</f>
        <v>#VALUE!</v>
      </c>
    </row>
    <row r="474" spans="6:6" x14ac:dyDescent="0.25">
      <c r="F474" t="e" cm="1" vm="1">
        <f t="array" ref="F474">TRANSPOSE(_xlfn._xlws.FILTER(_xlfn.ANCHORARRAY($B$2),_xlfn.ANCHORARRAY($A$2)=$E474))</f>
        <v>#VALUE!</v>
      </c>
    </row>
    <row r="475" spans="6:6" x14ac:dyDescent="0.25">
      <c r="F475" t="e" cm="1" vm="1">
        <f t="array" ref="F475">TRANSPOSE(_xlfn._xlws.FILTER(_xlfn.ANCHORARRAY($B$2),_xlfn.ANCHORARRAY($A$2)=$E475))</f>
        <v>#VALUE!</v>
      </c>
    </row>
    <row r="476" spans="6:6" x14ac:dyDescent="0.25">
      <c r="F476" t="e" cm="1" vm="1">
        <f t="array" ref="F476">TRANSPOSE(_xlfn._xlws.FILTER(_xlfn.ANCHORARRAY($B$2),_xlfn.ANCHORARRAY($A$2)=$E476))</f>
        <v>#VALUE!</v>
      </c>
    </row>
    <row r="477" spans="6:6" x14ac:dyDescent="0.25">
      <c r="F477" t="e" cm="1" vm="1">
        <f t="array" ref="F477">TRANSPOSE(_xlfn._xlws.FILTER(_xlfn.ANCHORARRAY($B$2),_xlfn.ANCHORARRAY($A$2)=$E477))</f>
        <v>#VALUE!</v>
      </c>
    </row>
    <row r="478" spans="6:6" x14ac:dyDescent="0.25">
      <c r="F478" t="e" cm="1" vm="1">
        <f t="array" ref="F478">TRANSPOSE(_xlfn._xlws.FILTER(_xlfn.ANCHORARRAY($B$2),_xlfn.ANCHORARRAY($A$2)=$E478))</f>
        <v>#VALUE!</v>
      </c>
    </row>
    <row r="479" spans="6:6" x14ac:dyDescent="0.25">
      <c r="F479" t="e" cm="1" vm="1">
        <f t="array" ref="F479">TRANSPOSE(_xlfn._xlws.FILTER(_xlfn.ANCHORARRAY($B$2),_xlfn.ANCHORARRAY($A$2)=$E479))</f>
        <v>#VALUE!</v>
      </c>
    </row>
    <row r="480" spans="6:6" x14ac:dyDescent="0.25">
      <c r="F480" t="e" cm="1" vm="1">
        <f t="array" ref="F480">TRANSPOSE(_xlfn._xlws.FILTER(_xlfn.ANCHORARRAY($B$2),_xlfn.ANCHORARRAY($A$2)=$E480))</f>
        <v>#VALUE!</v>
      </c>
    </row>
    <row r="481" spans="6:6" x14ac:dyDescent="0.25">
      <c r="F481" t="e" cm="1" vm="1">
        <f t="array" ref="F481">TRANSPOSE(_xlfn._xlws.FILTER(_xlfn.ANCHORARRAY($B$2),_xlfn.ANCHORARRAY($A$2)=$E481))</f>
        <v>#VALUE!</v>
      </c>
    </row>
    <row r="482" spans="6:6" x14ac:dyDescent="0.25">
      <c r="F482" t="e" cm="1" vm="1">
        <f t="array" ref="F482">TRANSPOSE(_xlfn._xlws.FILTER(_xlfn.ANCHORARRAY($B$2),_xlfn.ANCHORARRAY($A$2)=$E482))</f>
        <v>#VALUE!</v>
      </c>
    </row>
    <row r="483" spans="6:6" x14ac:dyDescent="0.25">
      <c r="F483" t="e" cm="1" vm="1">
        <f t="array" ref="F483">TRANSPOSE(_xlfn._xlws.FILTER(_xlfn.ANCHORARRAY($B$2),_xlfn.ANCHORARRAY($A$2)=$E483))</f>
        <v>#VALUE!</v>
      </c>
    </row>
    <row r="484" spans="6:6" x14ac:dyDescent="0.25">
      <c r="F484" t="e" cm="1" vm="1">
        <f t="array" ref="F484">TRANSPOSE(_xlfn._xlws.FILTER(_xlfn.ANCHORARRAY($B$2),_xlfn.ANCHORARRAY($A$2)=$E484))</f>
        <v>#VALUE!</v>
      </c>
    </row>
    <row r="485" spans="6:6" x14ac:dyDescent="0.25">
      <c r="F485" t="e" cm="1" vm="1">
        <f t="array" ref="F485">TRANSPOSE(_xlfn._xlws.FILTER(_xlfn.ANCHORARRAY($B$2),_xlfn.ANCHORARRAY($A$2)=$E485))</f>
        <v>#VALUE!</v>
      </c>
    </row>
    <row r="486" spans="6:6" x14ac:dyDescent="0.25">
      <c r="F486" t="e" cm="1" vm="1">
        <f t="array" ref="F486">TRANSPOSE(_xlfn._xlws.FILTER(_xlfn.ANCHORARRAY($B$2),_xlfn.ANCHORARRAY($A$2)=$E486))</f>
        <v>#VALUE!</v>
      </c>
    </row>
    <row r="487" spans="6:6" x14ac:dyDescent="0.25">
      <c r="F487" t="e" cm="1" vm="1">
        <f t="array" ref="F487">TRANSPOSE(_xlfn._xlws.FILTER(_xlfn.ANCHORARRAY($B$2),_xlfn.ANCHORARRAY($A$2)=$E487))</f>
        <v>#VALUE!</v>
      </c>
    </row>
    <row r="488" spans="6:6" x14ac:dyDescent="0.25">
      <c r="F488" t="e" cm="1" vm="1">
        <f t="array" ref="F488">TRANSPOSE(_xlfn._xlws.FILTER(_xlfn.ANCHORARRAY($B$2),_xlfn.ANCHORARRAY($A$2)=$E488))</f>
        <v>#VALUE!</v>
      </c>
    </row>
    <row r="489" spans="6:6" x14ac:dyDescent="0.25">
      <c r="F489" t="e" cm="1" vm="1">
        <f t="array" ref="F489">TRANSPOSE(_xlfn._xlws.FILTER(_xlfn.ANCHORARRAY($B$2),_xlfn.ANCHORARRAY($A$2)=$E489))</f>
        <v>#VALUE!</v>
      </c>
    </row>
    <row r="490" spans="6:6" x14ac:dyDescent="0.25">
      <c r="F490" t="e" cm="1" vm="1">
        <f t="array" ref="F490">TRANSPOSE(_xlfn._xlws.FILTER(_xlfn.ANCHORARRAY($B$2),_xlfn.ANCHORARRAY($A$2)=$E490))</f>
        <v>#VALUE!</v>
      </c>
    </row>
    <row r="491" spans="6:6" x14ac:dyDescent="0.25">
      <c r="F491" t="e" cm="1" vm="1">
        <f t="array" ref="F491">TRANSPOSE(_xlfn._xlws.FILTER(_xlfn.ANCHORARRAY($B$2),_xlfn.ANCHORARRAY($A$2)=$E491))</f>
        <v>#VALUE!</v>
      </c>
    </row>
    <row r="492" spans="6:6" x14ac:dyDescent="0.25">
      <c r="F492" t="e" cm="1" vm="1">
        <f t="array" ref="F492">TRANSPOSE(_xlfn._xlws.FILTER(_xlfn.ANCHORARRAY($B$2),_xlfn.ANCHORARRAY($A$2)=$E492))</f>
        <v>#VALUE!</v>
      </c>
    </row>
    <row r="493" spans="6:6" x14ac:dyDescent="0.25">
      <c r="F493" t="e" cm="1" vm="1">
        <f t="array" ref="F493">TRANSPOSE(_xlfn._xlws.FILTER(_xlfn.ANCHORARRAY($B$2),_xlfn.ANCHORARRAY($A$2)=$E493))</f>
        <v>#VALUE!</v>
      </c>
    </row>
    <row r="494" spans="6:6" x14ac:dyDescent="0.25">
      <c r="F494" t="e" cm="1" vm="1">
        <f t="array" ref="F494">TRANSPOSE(_xlfn._xlws.FILTER(_xlfn.ANCHORARRAY($B$2),_xlfn.ANCHORARRAY($A$2)=$E494))</f>
        <v>#VALUE!</v>
      </c>
    </row>
    <row r="495" spans="6:6" x14ac:dyDescent="0.25">
      <c r="F495" t="e" cm="1" vm="1">
        <f t="array" ref="F495">TRANSPOSE(_xlfn._xlws.FILTER(_xlfn.ANCHORARRAY($B$2),_xlfn.ANCHORARRAY($A$2)=$E495))</f>
        <v>#VALUE!</v>
      </c>
    </row>
    <row r="496" spans="6:6" x14ac:dyDescent="0.25">
      <c r="F496" t="e" cm="1" vm="1">
        <f t="array" ref="F496">TRANSPOSE(_xlfn._xlws.FILTER(_xlfn.ANCHORARRAY($B$2),_xlfn.ANCHORARRAY($A$2)=$E496))</f>
        <v>#VALUE!</v>
      </c>
    </row>
    <row r="497" spans="6:6" x14ac:dyDescent="0.25">
      <c r="F497" t="e" cm="1" vm="1">
        <f t="array" ref="F497">TRANSPOSE(_xlfn._xlws.FILTER(_xlfn.ANCHORARRAY($B$2),_xlfn.ANCHORARRAY($A$2)=$E497))</f>
        <v>#VALUE!</v>
      </c>
    </row>
    <row r="498" spans="6:6" x14ac:dyDescent="0.25">
      <c r="F498" t="e" cm="1" vm="1">
        <f t="array" ref="F498">TRANSPOSE(_xlfn._xlws.FILTER(_xlfn.ANCHORARRAY($B$2),_xlfn.ANCHORARRAY($A$2)=$E498))</f>
        <v>#VALUE!</v>
      </c>
    </row>
    <row r="499" spans="6:6" x14ac:dyDescent="0.25">
      <c r="F499" t="e" cm="1" vm="1">
        <f t="array" ref="F499">TRANSPOSE(_xlfn._xlws.FILTER(_xlfn.ANCHORARRAY($B$2),_xlfn.ANCHORARRAY($A$2)=$E499))</f>
        <v>#VALUE!</v>
      </c>
    </row>
    <row r="500" spans="6:6" x14ac:dyDescent="0.25">
      <c r="F500" t="e" cm="1" vm="1">
        <f t="array" ref="F500">TRANSPOSE(_xlfn._xlws.FILTER(_xlfn.ANCHORARRAY($B$2),_xlfn.ANCHORARRAY($A$2)=$E500))</f>
        <v>#VALUE!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364AD-7AA2-4F8C-9F60-CBDB2D45B16F}">
  <sheetPr codeName="Sheet4"/>
  <dimension ref="A1:L500"/>
  <sheetViews>
    <sheetView topLeftCell="A465" workbookViewId="0">
      <selection activeCell="F200" sqref="F200:F500"/>
    </sheetView>
  </sheetViews>
  <sheetFormatPr defaultRowHeight="15" x14ac:dyDescent="0.25"/>
  <cols>
    <col min="1" max="1" width="14.7109375" customWidth="1"/>
    <col min="5" max="5" width="34.28515625" bestFit="1" customWidth="1"/>
    <col min="6" max="6" width="17.5703125" bestFit="1" customWidth="1"/>
  </cols>
  <sheetData>
    <row r="1" spans="1:12" x14ac:dyDescent="0.25">
      <c r="A1" t="s">
        <v>1</v>
      </c>
      <c r="B1" t="s">
        <v>238</v>
      </c>
      <c r="D1" cm="1">
        <f t="array" ref="D1:D64">tbl_Extraction[No.]</f>
        <v>1</v>
      </c>
      <c r="E1" t="str" cm="1">
        <f t="array" ref="E1:E64">tbl_Extraction[Model]</f>
        <v>CR113_N_Case1,4_SLS_0.7EI_Hyd_a03BP1.0m</v>
      </c>
      <c r="F1" t="str" cm="1">
        <f t="array" ref="F1:L1">TRANSPOSE(_xlfn._xlws.FILTER(_xlfn.ANCHORARRAY($B$2),_xlfn.ANCHORARRAY($A$2)=$E1))</f>
        <v>Plate_1</v>
      </c>
      <c r="G1" t="str">
        <v>Plate_2</v>
      </c>
      <c r="H1" t="str">
        <v>Plate_3</v>
      </c>
      <c r="I1" t="str">
        <v>Plate_4</v>
      </c>
      <c r="J1" t="str">
        <v>Plate_5</v>
      </c>
      <c r="K1" t="str">
        <v>Plate_6</v>
      </c>
      <c r="L1" t="str">
        <v>Plate_7</v>
      </c>
    </row>
    <row r="2" spans="1:12" x14ac:dyDescent="0.25">
      <c r="A2" t="str" cm="1">
        <f t="array" ref="A2:A43">_xlfn._xlws.FILTER(tbl_AllElements[Model],tbl_AllElements[Element Type]=$B$1)</f>
        <v>CR113_N_Case1,4_SLS_0.7EI_Hyd_a03BP1.0m</v>
      </c>
      <c r="B2" t="str" cm="1">
        <f t="array" ref="B2:B43">_xlfn._xlws.FILTER(tbl_AllElements[Element Name],tbl_AllElements[Element Type]=$B$1)</f>
        <v>Plate_1</v>
      </c>
      <c r="D2">
        <v>2</v>
      </c>
      <c r="E2" t="str">
        <v>CR113_N_Case1,4_SLS_0.7EI_Hyd_a03BP1.0m</v>
      </c>
      <c r="F2" t="str" cm="1">
        <f t="array" ref="F2:L2">TRANSPOSE(_xlfn._xlws.FILTER(_xlfn.ANCHORARRAY($B$2),_xlfn.ANCHORARRAY($A$2)=$E2))</f>
        <v>Plate_1</v>
      </c>
      <c r="G2" t="str">
        <v>Plate_2</v>
      </c>
      <c r="H2" t="str">
        <v>Plate_3</v>
      </c>
      <c r="I2" t="str">
        <v>Plate_4</v>
      </c>
      <c r="J2" t="str">
        <v>Plate_5</v>
      </c>
      <c r="K2" t="str">
        <v>Plate_6</v>
      </c>
      <c r="L2" t="str">
        <v>Plate_7</v>
      </c>
    </row>
    <row r="3" spans="1:12" x14ac:dyDescent="0.25">
      <c r="A3" t="str">
        <v>CR113_N_Case1,4_SLS_0.7EI_Hyd_a03BP1.0m</v>
      </c>
      <c r="B3" t="str">
        <v>Plate_2</v>
      </c>
      <c r="D3">
        <v>3</v>
      </c>
      <c r="E3" t="str">
        <v>CR113_N_Case1,4_SLS_0.7EI_Hyd_a03BP1.0m</v>
      </c>
      <c r="F3" t="str" cm="1">
        <f t="array" ref="F3:L3">TRANSPOSE(_xlfn._xlws.FILTER(_xlfn.ANCHORARRAY($B$2),_xlfn.ANCHORARRAY($A$2)=$E3))</f>
        <v>Plate_1</v>
      </c>
      <c r="G3" t="str">
        <v>Plate_2</v>
      </c>
      <c r="H3" t="str">
        <v>Plate_3</v>
      </c>
      <c r="I3" t="str">
        <v>Plate_4</v>
      </c>
      <c r="J3" t="str">
        <v>Plate_5</v>
      </c>
      <c r="K3" t="str">
        <v>Plate_6</v>
      </c>
      <c r="L3" t="str">
        <v>Plate_7</v>
      </c>
    </row>
    <row r="4" spans="1:12" x14ac:dyDescent="0.25">
      <c r="A4" t="str">
        <v>CR113_N_Case1,4_SLS_0.7EI_Hyd_a03BP1.0m</v>
      </c>
      <c r="B4" t="str">
        <v>Plate_3</v>
      </c>
      <c r="D4">
        <v>4</v>
      </c>
      <c r="E4" t="str">
        <v>CR113_N_Case1,4_SLS_0.7EI_Hyd_a03BP1.0m</v>
      </c>
      <c r="F4" t="str" cm="1">
        <f t="array" ref="F4:L4">TRANSPOSE(_xlfn._xlws.FILTER(_xlfn.ANCHORARRAY($B$2),_xlfn.ANCHORARRAY($A$2)=$E4))</f>
        <v>Plate_1</v>
      </c>
      <c r="G4" t="str">
        <v>Plate_2</v>
      </c>
      <c r="H4" t="str">
        <v>Plate_3</v>
      </c>
      <c r="I4" t="str">
        <v>Plate_4</v>
      </c>
      <c r="J4" t="str">
        <v>Plate_5</v>
      </c>
      <c r="K4" t="str">
        <v>Plate_6</v>
      </c>
      <c r="L4" t="str">
        <v>Plate_7</v>
      </c>
    </row>
    <row r="5" spans="1:12" x14ac:dyDescent="0.25">
      <c r="A5" t="str">
        <v>CR113_N_Case1,4_SLS_0.7EI_Hyd_a03BP1.0m</v>
      </c>
      <c r="B5" t="str">
        <v>Plate_4</v>
      </c>
      <c r="D5">
        <v>5</v>
      </c>
      <c r="E5" t="str">
        <v>CR113_N_Case1,4_SLS_0.7EI_Hyd_a03BP1.0m</v>
      </c>
      <c r="F5" t="str" cm="1">
        <f t="array" ref="F5:L5">TRANSPOSE(_xlfn._xlws.FILTER(_xlfn.ANCHORARRAY($B$2),_xlfn.ANCHORARRAY($A$2)=$E5))</f>
        <v>Plate_1</v>
      </c>
      <c r="G5" t="str">
        <v>Plate_2</v>
      </c>
      <c r="H5" t="str">
        <v>Plate_3</v>
      </c>
      <c r="I5" t="str">
        <v>Plate_4</v>
      </c>
      <c r="J5" t="str">
        <v>Plate_5</v>
      </c>
      <c r="K5" t="str">
        <v>Plate_6</v>
      </c>
      <c r="L5" t="str">
        <v>Plate_7</v>
      </c>
    </row>
    <row r="6" spans="1:12" x14ac:dyDescent="0.25">
      <c r="A6" t="str">
        <v>CR113_N_Case1,4_SLS_0.7EI_Hyd_a03BP1.0m</v>
      </c>
      <c r="B6" t="str">
        <v>Plate_5</v>
      </c>
      <c r="D6">
        <v>6</v>
      </c>
      <c r="E6" t="str">
        <v>CR113_N_Case1,4_SLS_0.7EI_Hyd_a03BP1.0m</v>
      </c>
      <c r="F6" t="str" cm="1">
        <f t="array" ref="F6:L6">TRANSPOSE(_xlfn._xlws.FILTER(_xlfn.ANCHORARRAY($B$2),_xlfn.ANCHORARRAY($A$2)=$E6))</f>
        <v>Plate_1</v>
      </c>
      <c r="G6" t="str">
        <v>Plate_2</v>
      </c>
      <c r="H6" t="str">
        <v>Plate_3</v>
      </c>
      <c r="I6" t="str">
        <v>Plate_4</v>
      </c>
      <c r="J6" t="str">
        <v>Plate_5</v>
      </c>
      <c r="K6" t="str">
        <v>Plate_6</v>
      </c>
      <c r="L6" t="str">
        <v>Plate_7</v>
      </c>
    </row>
    <row r="7" spans="1:12" x14ac:dyDescent="0.25">
      <c r="A7" t="str">
        <v>CR113_N_Case1,4_SLS_0.7EI_Hyd_a03BP1.0m</v>
      </c>
      <c r="B7" t="str">
        <v>Plate_6</v>
      </c>
      <c r="D7">
        <v>7</v>
      </c>
      <c r="E7" t="str">
        <v>CR113_N_Case1,4_SLS_0.7EI_Hyd_a03BP1.0m</v>
      </c>
      <c r="F7" t="str" cm="1">
        <f t="array" ref="F7:L7">TRANSPOSE(_xlfn._xlws.FILTER(_xlfn.ANCHORARRAY($B$2),_xlfn.ANCHORARRAY($A$2)=$E7))</f>
        <v>Plate_1</v>
      </c>
      <c r="G7" t="str">
        <v>Plate_2</v>
      </c>
      <c r="H7" t="str">
        <v>Plate_3</v>
      </c>
      <c r="I7" t="str">
        <v>Plate_4</v>
      </c>
      <c r="J7" t="str">
        <v>Plate_5</v>
      </c>
      <c r="K7" t="str">
        <v>Plate_6</v>
      </c>
      <c r="L7" t="str">
        <v>Plate_7</v>
      </c>
    </row>
    <row r="8" spans="1:12" x14ac:dyDescent="0.25">
      <c r="A8" t="str">
        <v>CR113_N_Case1,4_SLS_0.7EI_Hyd_a03BP1.0m</v>
      </c>
      <c r="B8" t="str">
        <v>Plate_7</v>
      </c>
      <c r="D8">
        <v>8</v>
      </c>
      <c r="E8" t="str">
        <v>CR113_N_Case1,4_SLS_0.7EI_Hyd_a03BP1.0m</v>
      </c>
      <c r="F8" t="str" cm="1">
        <f t="array" ref="F8:L8">TRANSPOSE(_xlfn._xlws.FILTER(_xlfn.ANCHORARRAY($B$2),_xlfn.ANCHORARRAY($A$2)=$E8))</f>
        <v>Plate_1</v>
      </c>
      <c r="G8" t="str">
        <v>Plate_2</v>
      </c>
      <c r="H8" t="str">
        <v>Plate_3</v>
      </c>
      <c r="I8" t="str">
        <v>Plate_4</v>
      </c>
      <c r="J8" t="str">
        <v>Plate_5</v>
      </c>
      <c r="K8" t="str">
        <v>Plate_6</v>
      </c>
      <c r="L8" t="str">
        <v>Plate_7</v>
      </c>
    </row>
    <row r="9" spans="1:12" x14ac:dyDescent="0.25">
      <c r="A9" t="str">
        <v>CR113_N_Case2_ULS1_1.0EI_Hyd_a03BP1.0m</v>
      </c>
      <c r="B9" t="str">
        <v>Plate_1</v>
      </c>
      <c r="D9">
        <v>9</v>
      </c>
      <c r="E9" t="str">
        <v>CR113_N_Case1,4_SLS_0.7EI_Hyd_a03BP1.0m</v>
      </c>
      <c r="F9" t="str" cm="1">
        <f t="array" ref="F9:L9">TRANSPOSE(_xlfn._xlws.FILTER(_xlfn.ANCHORARRAY($B$2),_xlfn.ANCHORARRAY($A$2)=$E9))</f>
        <v>Plate_1</v>
      </c>
      <c r="G9" t="str">
        <v>Plate_2</v>
      </c>
      <c r="H9" t="str">
        <v>Plate_3</v>
      </c>
      <c r="I9" t="str">
        <v>Plate_4</v>
      </c>
      <c r="J9" t="str">
        <v>Plate_5</v>
      </c>
      <c r="K9" t="str">
        <v>Plate_6</v>
      </c>
      <c r="L9" t="str">
        <v>Plate_7</v>
      </c>
    </row>
    <row r="10" spans="1:12" x14ac:dyDescent="0.25">
      <c r="A10" t="str">
        <v>CR113_N_Case2_ULS1_1.0EI_Hyd_a03BP1.0m</v>
      </c>
      <c r="B10" t="str">
        <v>Plate_2</v>
      </c>
      <c r="D10">
        <v>10</v>
      </c>
      <c r="E10" t="str">
        <v>CR113_N_Case1,4_SLS_0.7EI_Hyd_a03BP1.0m</v>
      </c>
      <c r="F10" t="str" cm="1">
        <f t="array" ref="F10:L10">TRANSPOSE(_xlfn._xlws.FILTER(_xlfn.ANCHORARRAY($B$2),_xlfn.ANCHORARRAY($A$2)=$E10))</f>
        <v>Plate_1</v>
      </c>
      <c r="G10" t="str">
        <v>Plate_2</v>
      </c>
      <c r="H10" t="str">
        <v>Plate_3</v>
      </c>
      <c r="I10" t="str">
        <v>Plate_4</v>
      </c>
      <c r="J10" t="str">
        <v>Plate_5</v>
      </c>
      <c r="K10" t="str">
        <v>Plate_6</v>
      </c>
      <c r="L10" t="str">
        <v>Plate_7</v>
      </c>
    </row>
    <row r="11" spans="1:12" x14ac:dyDescent="0.25">
      <c r="A11" t="str">
        <v>CR113_N_Case2_ULS1_1.0EI_Hyd_a03BP1.0m</v>
      </c>
      <c r="B11" t="str">
        <v>Plate_3</v>
      </c>
      <c r="D11">
        <v>11</v>
      </c>
      <c r="E11" t="str">
        <v>CR113_N_Case1,4_SLS_0.7EI_Hyd_a03BP1.0m</v>
      </c>
      <c r="F11" t="str" cm="1">
        <f t="array" ref="F11:L11">TRANSPOSE(_xlfn._xlws.FILTER(_xlfn.ANCHORARRAY($B$2),_xlfn.ANCHORARRAY($A$2)=$E11))</f>
        <v>Plate_1</v>
      </c>
      <c r="G11" t="str">
        <v>Plate_2</v>
      </c>
      <c r="H11" t="str">
        <v>Plate_3</v>
      </c>
      <c r="I11" t="str">
        <v>Plate_4</v>
      </c>
      <c r="J11" t="str">
        <v>Plate_5</v>
      </c>
      <c r="K11" t="str">
        <v>Plate_6</v>
      </c>
      <c r="L11" t="str">
        <v>Plate_7</v>
      </c>
    </row>
    <row r="12" spans="1:12" x14ac:dyDescent="0.25">
      <c r="A12" t="str">
        <v>CR113_N_Case2_ULS1_1.0EI_Hyd_a03BP1.0m</v>
      </c>
      <c r="B12" t="str">
        <v>Plate_4</v>
      </c>
      <c r="D12">
        <v>12</v>
      </c>
      <c r="E12" t="str">
        <v>CR113_N_Case1,4_SLS_0.7EI_Hyd_a03BP1.0m</v>
      </c>
      <c r="F12" t="str" cm="1">
        <f t="array" ref="F12:L12">TRANSPOSE(_xlfn._xlws.FILTER(_xlfn.ANCHORARRAY($B$2),_xlfn.ANCHORARRAY($A$2)=$E12))</f>
        <v>Plate_1</v>
      </c>
      <c r="G12" t="str">
        <v>Plate_2</v>
      </c>
      <c r="H12" t="str">
        <v>Plate_3</v>
      </c>
      <c r="I12" t="str">
        <v>Plate_4</v>
      </c>
      <c r="J12" t="str">
        <v>Plate_5</v>
      </c>
      <c r="K12" t="str">
        <v>Plate_6</v>
      </c>
      <c r="L12" t="str">
        <v>Plate_7</v>
      </c>
    </row>
    <row r="13" spans="1:12" x14ac:dyDescent="0.25">
      <c r="A13" t="str">
        <v>CR113_N_Case2_ULS1_1.0EI_Hyd_a03BP1.0m</v>
      </c>
      <c r="B13" t="str">
        <v>Plate_5</v>
      </c>
      <c r="D13">
        <v>13</v>
      </c>
      <c r="E13" t="str">
        <v>CR113_N_Case1,4_SLS_0.7EI_Hyd_a03BP1.0m</v>
      </c>
      <c r="F13" t="str" cm="1">
        <f t="array" ref="F13:L13">TRANSPOSE(_xlfn._xlws.FILTER(_xlfn.ANCHORARRAY($B$2),_xlfn.ANCHORARRAY($A$2)=$E13))</f>
        <v>Plate_1</v>
      </c>
      <c r="G13" t="str">
        <v>Plate_2</v>
      </c>
      <c r="H13" t="str">
        <v>Plate_3</v>
      </c>
      <c r="I13" t="str">
        <v>Plate_4</v>
      </c>
      <c r="J13" t="str">
        <v>Plate_5</v>
      </c>
      <c r="K13" t="str">
        <v>Plate_6</v>
      </c>
      <c r="L13" t="str">
        <v>Plate_7</v>
      </c>
    </row>
    <row r="14" spans="1:12" x14ac:dyDescent="0.25">
      <c r="A14" t="str">
        <v>CR113_N_Case2_ULS1_1.0EI_Hyd_a03BP1.0m</v>
      </c>
      <c r="B14" t="str">
        <v>Plate_6</v>
      </c>
      <c r="D14">
        <v>14</v>
      </c>
      <c r="E14" t="str">
        <v>CR113_N_Case1,4_SLS_0.7EI_Hyd_a03BP1.0m</v>
      </c>
      <c r="F14" t="str" cm="1">
        <f t="array" ref="F14:L14">TRANSPOSE(_xlfn._xlws.FILTER(_xlfn.ANCHORARRAY($B$2),_xlfn.ANCHORARRAY($A$2)=$E14))</f>
        <v>Plate_1</v>
      </c>
      <c r="G14" t="str">
        <v>Plate_2</v>
      </c>
      <c r="H14" t="str">
        <v>Plate_3</v>
      </c>
      <c r="I14" t="str">
        <v>Plate_4</v>
      </c>
      <c r="J14" t="str">
        <v>Plate_5</v>
      </c>
      <c r="K14" t="str">
        <v>Plate_6</v>
      </c>
      <c r="L14" t="str">
        <v>Plate_7</v>
      </c>
    </row>
    <row r="15" spans="1:12" x14ac:dyDescent="0.25">
      <c r="A15" t="str">
        <v>CR113_N_Case2_ULS1_1.0EI_Hyd_a03BP1.0m</v>
      </c>
      <c r="B15" t="str">
        <v>Plate_7</v>
      </c>
      <c r="D15">
        <v>15</v>
      </c>
      <c r="E15" t="str">
        <v>CR113_N_Case1,4_SLS_0.7EI_Hyd_a03BP1.0m</v>
      </c>
      <c r="F15" t="str" cm="1">
        <f t="array" ref="F15:L15">TRANSPOSE(_xlfn._xlws.FILTER(_xlfn.ANCHORARRAY($B$2),_xlfn.ANCHORARRAY($A$2)=$E15))</f>
        <v>Plate_1</v>
      </c>
      <c r="G15" t="str">
        <v>Plate_2</v>
      </c>
      <c r="H15" t="str">
        <v>Plate_3</v>
      </c>
      <c r="I15" t="str">
        <v>Plate_4</v>
      </c>
      <c r="J15" t="str">
        <v>Plate_5</v>
      </c>
      <c r="K15" t="str">
        <v>Plate_6</v>
      </c>
      <c r="L15" t="str">
        <v>Plate_7</v>
      </c>
    </row>
    <row r="16" spans="1:12" x14ac:dyDescent="0.25">
      <c r="A16" t="str">
        <v>CR113_N_Case3_ULS2_1.0EI_Hyd_a03BP1.0m</v>
      </c>
      <c r="B16" t="str">
        <v>Plate_1</v>
      </c>
      <c r="D16">
        <v>16</v>
      </c>
      <c r="E16" t="str">
        <v>CR113_N_Case1,4_SLS_0.7EI_Hyd_a03BP1.0m</v>
      </c>
      <c r="F16" t="str" cm="1">
        <f t="array" ref="F16:L16">TRANSPOSE(_xlfn._xlws.FILTER(_xlfn.ANCHORARRAY($B$2),_xlfn.ANCHORARRAY($A$2)=$E16))</f>
        <v>Plate_1</v>
      </c>
      <c r="G16" t="str">
        <v>Plate_2</v>
      </c>
      <c r="H16" t="str">
        <v>Plate_3</v>
      </c>
      <c r="I16" t="str">
        <v>Plate_4</v>
      </c>
      <c r="J16" t="str">
        <v>Plate_5</v>
      </c>
      <c r="K16" t="str">
        <v>Plate_6</v>
      </c>
      <c r="L16" t="str">
        <v>Plate_7</v>
      </c>
    </row>
    <row r="17" spans="1:12" x14ac:dyDescent="0.25">
      <c r="A17" t="str">
        <v>CR113_N_Case3_ULS2_1.0EI_Hyd_a03BP1.0m</v>
      </c>
      <c r="B17" t="str">
        <v>Plate_2</v>
      </c>
      <c r="D17">
        <v>17</v>
      </c>
      <c r="E17" t="str">
        <v>CR113_N_Case1,4_SLS_0.7EI_Hyd_a03BP1.0m</v>
      </c>
      <c r="F17" t="str" cm="1">
        <f t="array" ref="F17:L17">TRANSPOSE(_xlfn._xlws.FILTER(_xlfn.ANCHORARRAY($B$2),_xlfn.ANCHORARRAY($A$2)=$E17))</f>
        <v>Plate_1</v>
      </c>
      <c r="G17" t="str">
        <v>Plate_2</v>
      </c>
      <c r="H17" t="str">
        <v>Plate_3</v>
      </c>
      <c r="I17" t="str">
        <v>Plate_4</v>
      </c>
      <c r="J17" t="str">
        <v>Plate_5</v>
      </c>
      <c r="K17" t="str">
        <v>Plate_6</v>
      </c>
      <c r="L17" t="str">
        <v>Plate_7</v>
      </c>
    </row>
    <row r="18" spans="1:12" x14ac:dyDescent="0.25">
      <c r="A18" t="str">
        <v>CR113_N_Case3_ULS2_1.0EI_Hyd_a03BP1.0m</v>
      </c>
      <c r="B18" t="str">
        <v>Plate_3</v>
      </c>
      <c r="D18">
        <v>18</v>
      </c>
      <c r="E18" t="str">
        <v>CR113_N_Case1,4_SLS_0.7EI_Hyd_a03BP1.0m</v>
      </c>
      <c r="F18" t="str" cm="1">
        <f t="array" ref="F18:L18">TRANSPOSE(_xlfn._xlws.FILTER(_xlfn.ANCHORARRAY($B$2),_xlfn.ANCHORARRAY($A$2)=$E18))</f>
        <v>Plate_1</v>
      </c>
      <c r="G18" t="str">
        <v>Plate_2</v>
      </c>
      <c r="H18" t="str">
        <v>Plate_3</v>
      </c>
      <c r="I18" t="str">
        <v>Plate_4</v>
      </c>
      <c r="J18" t="str">
        <v>Plate_5</v>
      </c>
      <c r="K18" t="str">
        <v>Plate_6</v>
      </c>
      <c r="L18" t="str">
        <v>Plate_7</v>
      </c>
    </row>
    <row r="19" spans="1:12" x14ac:dyDescent="0.25">
      <c r="A19" t="str">
        <v>CR113_N_Case3_ULS2_1.0EI_Hyd_a03BP1.0m</v>
      </c>
      <c r="B19" t="str">
        <v>Plate_4</v>
      </c>
      <c r="D19">
        <v>19</v>
      </c>
      <c r="E19" t="str">
        <v>CR113_N_Case1,4_SLS_0.7EI_Hyd_a03BP1.0m</v>
      </c>
      <c r="F19" t="str" cm="1">
        <f t="array" ref="F19:L19">TRANSPOSE(_xlfn._xlws.FILTER(_xlfn.ANCHORARRAY($B$2),_xlfn.ANCHORARRAY($A$2)=$E19))</f>
        <v>Plate_1</v>
      </c>
      <c r="G19" t="str">
        <v>Plate_2</v>
      </c>
      <c r="H19" t="str">
        <v>Plate_3</v>
      </c>
      <c r="I19" t="str">
        <v>Plate_4</v>
      </c>
      <c r="J19" t="str">
        <v>Plate_5</v>
      </c>
      <c r="K19" t="str">
        <v>Plate_6</v>
      </c>
      <c r="L19" t="str">
        <v>Plate_7</v>
      </c>
    </row>
    <row r="20" spans="1:12" x14ac:dyDescent="0.25">
      <c r="A20" t="str">
        <v>CR113_N_Case3_ULS2_1.0EI_Hyd_a03BP1.0m</v>
      </c>
      <c r="B20" t="str">
        <v>Plate_5</v>
      </c>
      <c r="D20">
        <v>20</v>
      </c>
      <c r="E20" t="str">
        <v>CR113_N_Case1,4_SLS_0.7EI_Hyd_a03BP1.0m</v>
      </c>
      <c r="F20" t="str" cm="1">
        <f t="array" ref="F20:L20">TRANSPOSE(_xlfn._xlws.FILTER(_xlfn.ANCHORARRAY($B$2),_xlfn.ANCHORARRAY($A$2)=$E20))</f>
        <v>Plate_1</v>
      </c>
      <c r="G20" t="str">
        <v>Plate_2</v>
      </c>
      <c r="H20" t="str">
        <v>Plate_3</v>
      </c>
      <c r="I20" t="str">
        <v>Plate_4</v>
      </c>
      <c r="J20" t="str">
        <v>Plate_5</v>
      </c>
      <c r="K20" t="str">
        <v>Plate_6</v>
      </c>
      <c r="L20" t="str">
        <v>Plate_7</v>
      </c>
    </row>
    <row r="21" spans="1:12" x14ac:dyDescent="0.25">
      <c r="A21" t="str">
        <v>CR113_N_Case3_ULS2_1.0EI_Hyd_a03BP1.0m</v>
      </c>
      <c r="B21" t="str">
        <v>Plate_6</v>
      </c>
      <c r="D21">
        <v>21</v>
      </c>
      <c r="E21" t="str">
        <v>CR113_N_Case1,4_SLS_0.7EI_Hyd_a03BP1.0m</v>
      </c>
      <c r="F21" t="str" cm="1">
        <f t="array" ref="F21:L21">TRANSPOSE(_xlfn._xlws.FILTER(_xlfn.ANCHORARRAY($B$2),_xlfn.ANCHORARRAY($A$2)=$E21))</f>
        <v>Plate_1</v>
      </c>
      <c r="G21" t="str">
        <v>Plate_2</v>
      </c>
      <c r="H21" t="str">
        <v>Plate_3</v>
      </c>
      <c r="I21" t="str">
        <v>Plate_4</v>
      </c>
      <c r="J21" t="str">
        <v>Plate_5</v>
      </c>
      <c r="K21" t="str">
        <v>Plate_6</v>
      </c>
      <c r="L21" t="str">
        <v>Plate_7</v>
      </c>
    </row>
    <row r="22" spans="1:12" x14ac:dyDescent="0.25">
      <c r="A22" t="str">
        <v>CR113_N_Case3_ULS2_1.0EI_Hyd_a03BP1.0m</v>
      </c>
      <c r="B22" t="str">
        <v>Plate_7</v>
      </c>
      <c r="D22">
        <v>22</v>
      </c>
      <c r="E22" t="str">
        <v>CR113_N_Case1,4_SLS_0.7EI_Hyd_a03BP1.0m</v>
      </c>
      <c r="F22" t="str" cm="1">
        <f t="array" ref="F22:L22">TRANSPOSE(_xlfn._xlws.FILTER(_xlfn.ANCHORARRAY($B$2),_xlfn.ANCHORARRAY($A$2)=$E22))</f>
        <v>Plate_1</v>
      </c>
      <c r="G22" t="str">
        <v>Plate_2</v>
      </c>
      <c r="H22" t="str">
        <v>Plate_3</v>
      </c>
      <c r="I22" t="str">
        <v>Plate_4</v>
      </c>
      <c r="J22" t="str">
        <v>Plate_5</v>
      </c>
      <c r="K22" t="str">
        <v>Plate_6</v>
      </c>
      <c r="L22" t="str">
        <v>Plate_7</v>
      </c>
    </row>
    <row r="23" spans="1:12" x14ac:dyDescent="0.25">
      <c r="A23" t="str">
        <v>CR113_N_Case5,8_SLS_0.7EI_SpG_a03BP1.0m</v>
      </c>
      <c r="B23" t="str">
        <v>Plate_1</v>
      </c>
      <c r="D23">
        <v>23</v>
      </c>
      <c r="E23" t="str">
        <v>CR113_N_Case1,4_SLS_0.7EI_Hyd_a03BP1.0m</v>
      </c>
      <c r="F23" t="str" cm="1">
        <f t="array" ref="F23:L23">TRANSPOSE(_xlfn._xlws.FILTER(_xlfn.ANCHORARRAY($B$2),_xlfn.ANCHORARRAY($A$2)=$E23))</f>
        <v>Plate_1</v>
      </c>
      <c r="G23" t="str">
        <v>Plate_2</v>
      </c>
      <c r="H23" t="str">
        <v>Plate_3</v>
      </c>
      <c r="I23" t="str">
        <v>Plate_4</v>
      </c>
      <c r="J23" t="str">
        <v>Plate_5</v>
      </c>
      <c r="K23" t="str">
        <v>Plate_6</v>
      </c>
      <c r="L23" t="str">
        <v>Plate_7</v>
      </c>
    </row>
    <row r="24" spans="1:12" x14ac:dyDescent="0.25">
      <c r="A24" t="str">
        <v>CR113_N_Case5,8_SLS_0.7EI_SpG_a03BP1.0m</v>
      </c>
      <c r="B24" t="str">
        <v>Plate_2</v>
      </c>
      <c r="D24">
        <v>24</v>
      </c>
      <c r="E24" t="str">
        <v>CR113_N_Case1,4_SLS_0.7EI_Hyd_a03BP1.0m</v>
      </c>
      <c r="F24" t="str" cm="1">
        <f t="array" ref="F24:L24">TRANSPOSE(_xlfn._xlws.FILTER(_xlfn.ANCHORARRAY($B$2),_xlfn.ANCHORARRAY($A$2)=$E24))</f>
        <v>Plate_1</v>
      </c>
      <c r="G24" t="str">
        <v>Plate_2</v>
      </c>
      <c r="H24" t="str">
        <v>Plate_3</v>
      </c>
      <c r="I24" t="str">
        <v>Plate_4</v>
      </c>
      <c r="J24" t="str">
        <v>Plate_5</v>
      </c>
      <c r="K24" t="str">
        <v>Plate_6</v>
      </c>
      <c r="L24" t="str">
        <v>Plate_7</v>
      </c>
    </row>
    <row r="25" spans="1:12" x14ac:dyDescent="0.25">
      <c r="A25" t="str">
        <v>CR113_N_Case5,8_SLS_0.7EI_SpG_a03BP1.0m</v>
      </c>
      <c r="B25" t="str">
        <v>Plate_3</v>
      </c>
      <c r="D25">
        <v>25</v>
      </c>
      <c r="E25" t="str">
        <v>CR113_N_Case1,4_SLS_0.7EI_Hyd_a03BP1.0m</v>
      </c>
      <c r="F25" t="str" cm="1">
        <f t="array" ref="F25:L25">TRANSPOSE(_xlfn._xlws.FILTER(_xlfn.ANCHORARRAY($B$2),_xlfn.ANCHORARRAY($A$2)=$E25))</f>
        <v>Plate_1</v>
      </c>
      <c r="G25" t="str">
        <v>Plate_2</v>
      </c>
      <c r="H25" t="str">
        <v>Plate_3</v>
      </c>
      <c r="I25" t="str">
        <v>Plate_4</v>
      </c>
      <c r="J25" t="str">
        <v>Plate_5</v>
      </c>
      <c r="K25" t="str">
        <v>Plate_6</v>
      </c>
      <c r="L25" t="str">
        <v>Plate_7</v>
      </c>
    </row>
    <row r="26" spans="1:12" x14ac:dyDescent="0.25">
      <c r="A26" t="str">
        <v>CR113_N_Case5,8_SLS_0.7EI_SpG_a03BP1.0m</v>
      </c>
      <c r="B26" t="str">
        <v>Plate_4</v>
      </c>
      <c r="D26">
        <v>26</v>
      </c>
      <c r="E26" t="str">
        <v>CR113_N_Case2_ULS1_1.0EI_Hyd_a03BP1.0m</v>
      </c>
      <c r="F26" t="str" cm="1">
        <f t="array" ref="F26:L26">TRANSPOSE(_xlfn._xlws.FILTER(_xlfn.ANCHORARRAY($B$2),_xlfn.ANCHORARRAY($A$2)=$E26))</f>
        <v>Plate_1</v>
      </c>
      <c r="G26" t="str">
        <v>Plate_2</v>
      </c>
      <c r="H26" t="str">
        <v>Plate_3</v>
      </c>
      <c r="I26" t="str">
        <v>Plate_4</v>
      </c>
      <c r="J26" t="str">
        <v>Plate_5</v>
      </c>
      <c r="K26" t="str">
        <v>Plate_6</v>
      </c>
      <c r="L26" t="str">
        <v>Plate_7</v>
      </c>
    </row>
    <row r="27" spans="1:12" x14ac:dyDescent="0.25">
      <c r="A27" t="str">
        <v>CR113_N_Case5,8_SLS_0.7EI_SpG_a03BP1.0m</v>
      </c>
      <c r="B27" t="str">
        <v>Plate_5</v>
      </c>
      <c r="D27">
        <v>27</v>
      </c>
      <c r="E27" t="str">
        <v>CR113_N_Case2_ULS1_1.0EI_Hyd_a03BP1.0m</v>
      </c>
      <c r="F27" t="str" cm="1">
        <f t="array" ref="F27:L27">TRANSPOSE(_xlfn._xlws.FILTER(_xlfn.ANCHORARRAY($B$2),_xlfn.ANCHORARRAY($A$2)=$E27))</f>
        <v>Plate_1</v>
      </c>
      <c r="G27" t="str">
        <v>Plate_2</v>
      </c>
      <c r="H27" t="str">
        <v>Plate_3</v>
      </c>
      <c r="I27" t="str">
        <v>Plate_4</v>
      </c>
      <c r="J27" t="str">
        <v>Plate_5</v>
      </c>
      <c r="K27" t="str">
        <v>Plate_6</v>
      </c>
      <c r="L27" t="str">
        <v>Plate_7</v>
      </c>
    </row>
    <row r="28" spans="1:12" x14ac:dyDescent="0.25">
      <c r="A28" t="str">
        <v>CR113_N_Case5,8_SLS_0.7EI_SpG_a03BP1.0m</v>
      </c>
      <c r="B28" t="str">
        <v>Plate_6</v>
      </c>
      <c r="D28">
        <v>28</v>
      </c>
      <c r="E28" t="str">
        <v>CR113_N_Case2_ULS1_1.0EI_Hyd_a03BP1.0m</v>
      </c>
      <c r="F28" t="str" cm="1">
        <f t="array" ref="F28:L28">TRANSPOSE(_xlfn._xlws.FILTER(_xlfn.ANCHORARRAY($B$2),_xlfn.ANCHORARRAY($A$2)=$E28))</f>
        <v>Plate_1</v>
      </c>
      <c r="G28" t="str">
        <v>Plate_2</v>
      </c>
      <c r="H28" t="str">
        <v>Plate_3</v>
      </c>
      <c r="I28" t="str">
        <v>Plate_4</v>
      </c>
      <c r="J28" t="str">
        <v>Plate_5</v>
      </c>
      <c r="K28" t="str">
        <v>Plate_6</v>
      </c>
      <c r="L28" t="str">
        <v>Plate_7</v>
      </c>
    </row>
    <row r="29" spans="1:12" x14ac:dyDescent="0.25">
      <c r="A29" t="str">
        <v>CR113_N_Case5,8_SLS_0.7EI_SpG_a03BP1.0m</v>
      </c>
      <c r="B29" t="str">
        <v>Plate_7</v>
      </c>
      <c r="D29">
        <v>29</v>
      </c>
      <c r="E29" t="str">
        <v>CR113_N_Case2_ULS1_1.0EI_Hyd_a03BP1.0m</v>
      </c>
      <c r="F29" t="str" cm="1">
        <f t="array" ref="F29:L29">TRANSPOSE(_xlfn._xlws.FILTER(_xlfn.ANCHORARRAY($B$2),_xlfn.ANCHORARRAY($A$2)=$E29))</f>
        <v>Plate_1</v>
      </c>
      <c r="G29" t="str">
        <v>Plate_2</v>
      </c>
      <c r="H29" t="str">
        <v>Plate_3</v>
      </c>
      <c r="I29" t="str">
        <v>Plate_4</v>
      </c>
      <c r="J29" t="str">
        <v>Plate_5</v>
      </c>
      <c r="K29" t="str">
        <v>Plate_6</v>
      </c>
      <c r="L29" t="str">
        <v>Plate_7</v>
      </c>
    </row>
    <row r="30" spans="1:12" x14ac:dyDescent="0.25">
      <c r="A30" t="str">
        <v>CR113_N_Case6,7_ULS1_1.0EI_SpG_a03BP1.0m</v>
      </c>
      <c r="B30" t="str">
        <v>Plate_1</v>
      </c>
      <c r="D30">
        <v>30</v>
      </c>
      <c r="E30" t="str">
        <v>CR113_N_Case3_ULS2_1.0EI_Hyd_a03BP1.0m</v>
      </c>
      <c r="F30" t="str" cm="1">
        <f t="array" ref="F30:L30">TRANSPOSE(_xlfn._xlws.FILTER(_xlfn.ANCHORARRAY($B$2),_xlfn.ANCHORARRAY($A$2)=$E30))</f>
        <v>Plate_1</v>
      </c>
      <c r="G30" t="str">
        <v>Plate_2</v>
      </c>
      <c r="H30" t="str">
        <v>Plate_3</v>
      </c>
      <c r="I30" t="str">
        <v>Plate_4</v>
      </c>
      <c r="J30" t="str">
        <v>Plate_5</v>
      </c>
      <c r="K30" t="str">
        <v>Plate_6</v>
      </c>
      <c r="L30" t="str">
        <v>Plate_7</v>
      </c>
    </row>
    <row r="31" spans="1:12" x14ac:dyDescent="0.25">
      <c r="A31" t="str">
        <v>CR113_N_Case6,7_ULS1_1.0EI_SpG_a03BP1.0m</v>
      </c>
      <c r="B31" t="str">
        <v>Plate_2</v>
      </c>
      <c r="D31">
        <v>31</v>
      </c>
      <c r="E31" t="str">
        <v>CR113_N_Case3_ULS2_1.0EI_Hyd_a03BP1.0m</v>
      </c>
      <c r="F31" t="str" cm="1">
        <f t="array" ref="F31:L31">TRANSPOSE(_xlfn._xlws.FILTER(_xlfn.ANCHORARRAY($B$2),_xlfn.ANCHORARRAY($A$2)=$E31))</f>
        <v>Plate_1</v>
      </c>
      <c r="G31" t="str">
        <v>Plate_2</v>
      </c>
      <c r="H31" t="str">
        <v>Plate_3</v>
      </c>
      <c r="I31" t="str">
        <v>Plate_4</v>
      </c>
      <c r="J31" t="str">
        <v>Plate_5</v>
      </c>
      <c r="K31" t="str">
        <v>Plate_6</v>
      </c>
      <c r="L31" t="str">
        <v>Plate_7</v>
      </c>
    </row>
    <row r="32" spans="1:12" x14ac:dyDescent="0.25">
      <c r="A32" t="str">
        <v>CR113_N_Case6,7_ULS1_1.0EI_SpG_a03BP1.0m</v>
      </c>
      <c r="B32" t="str">
        <v>Plate_3</v>
      </c>
      <c r="D32">
        <v>32</v>
      </c>
      <c r="E32" t="str">
        <v>CR113_N_Case3_ULS2_1.0EI_Hyd_a03BP1.0m</v>
      </c>
      <c r="F32" t="str" cm="1">
        <f t="array" ref="F32:L32">TRANSPOSE(_xlfn._xlws.FILTER(_xlfn.ANCHORARRAY($B$2),_xlfn.ANCHORARRAY($A$2)=$E32))</f>
        <v>Plate_1</v>
      </c>
      <c r="G32" t="str">
        <v>Plate_2</v>
      </c>
      <c r="H32" t="str">
        <v>Plate_3</v>
      </c>
      <c r="I32" t="str">
        <v>Plate_4</v>
      </c>
      <c r="J32" t="str">
        <v>Plate_5</v>
      </c>
      <c r="K32" t="str">
        <v>Plate_6</v>
      </c>
      <c r="L32" t="str">
        <v>Plate_7</v>
      </c>
    </row>
    <row r="33" spans="1:12" x14ac:dyDescent="0.25">
      <c r="A33" t="str">
        <v>CR113_N_Case6,7_ULS1_1.0EI_SpG_a03BP1.0m</v>
      </c>
      <c r="B33" t="str">
        <v>Plate_4</v>
      </c>
      <c r="D33">
        <v>33</v>
      </c>
      <c r="E33" t="str">
        <v>CR113_N_Case3_ULS2_1.0EI_Hyd_a03BP1.0m</v>
      </c>
      <c r="F33" t="str" cm="1">
        <f t="array" ref="F33:L33">TRANSPOSE(_xlfn._xlws.FILTER(_xlfn.ANCHORARRAY($B$2),_xlfn.ANCHORARRAY($A$2)=$E33))</f>
        <v>Plate_1</v>
      </c>
      <c r="G33" t="str">
        <v>Plate_2</v>
      </c>
      <c r="H33" t="str">
        <v>Plate_3</v>
      </c>
      <c r="I33" t="str">
        <v>Plate_4</v>
      </c>
      <c r="J33" t="str">
        <v>Plate_5</v>
      </c>
      <c r="K33" t="str">
        <v>Plate_6</v>
      </c>
      <c r="L33" t="str">
        <v>Plate_7</v>
      </c>
    </row>
    <row r="34" spans="1:12" x14ac:dyDescent="0.25">
      <c r="A34" t="str">
        <v>CR113_N_Case6,7_ULS1_1.0EI_SpG_a03BP1.0m</v>
      </c>
      <c r="B34" t="str">
        <v>Plate_5</v>
      </c>
      <c r="D34">
        <v>34</v>
      </c>
      <c r="E34" t="str">
        <v>CR113_N_Case5,8_SLS_0.7EI_SpG_a03BP1.0m</v>
      </c>
      <c r="F34" t="str" cm="1">
        <f t="array" ref="F34:L34">TRANSPOSE(_xlfn._xlws.FILTER(_xlfn.ANCHORARRAY($B$2),_xlfn.ANCHORARRAY($A$2)=$E34))</f>
        <v>Plate_1</v>
      </c>
      <c r="G34" t="str">
        <v>Plate_2</v>
      </c>
      <c r="H34" t="str">
        <v>Plate_3</v>
      </c>
      <c r="I34" t="str">
        <v>Plate_4</v>
      </c>
      <c r="J34" t="str">
        <v>Plate_5</v>
      </c>
      <c r="K34" t="str">
        <v>Plate_6</v>
      </c>
      <c r="L34" t="str">
        <v>Plate_7</v>
      </c>
    </row>
    <row r="35" spans="1:12" x14ac:dyDescent="0.25">
      <c r="A35" t="str">
        <v>CR113_N_Case6,7_ULS1_1.0EI_SpG_a03BP1.0m</v>
      </c>
      <c r="B35" t="str">
        <v>Plate_6</v>
      </c>
      <c r="D35">
        <v>35</v>
      </c>
      <c r="E35" t="str">
        <v>CR113_N_Case5,8_SLS_0.7EI_SpG_a03BP1.0m</v>
      </c>
      <c r="F35" t="str" cm="1">
        <f t="array" ref="F35:L35">TRANSPOSE(_xlfn._xlws.FILTER(_xlfn.ANCHORARRAY($B$2),_xlfn.ANCHORARRAY($A$2)=$E35))</f>
        <v>Plate_1</v>
      </c>
      <c r="G35" t="str">
        <v>Plate_2</v>
      </c>
      <c r="H35" t="str">
        <v>Plate_3</v>
      </c>
      <c r="I35" t="str">
        <v>Plate_4</v>
      </c>
      <c r="J35" t="str">
        <v>Plate_5</v>
      </c>
      <c r="K35" t="str">
        <v>Plate_6</v>
      </c>
      <c r="L35" t="str">
        <v>Plate_7</v>
      </c>
    </row>
    <row r="36" spans="1:12" x14ac:dyDescent="0.25">
      <c r="A36" t="str">
        <v>CR113_N_Case6,7_ULS1_1.0EI_SpG_a03BP1.0m</v>
      </c>
      <c r="B36" t="str">
        <v>Plate_7</v>
      </c>
      <c r="D36">
        <v>36</v>
      </c>
      <c r="E36" t="str">
        <v>CR113_N_Case5,8_SLS_0.7EI_SpG_a03BP1.0m</v>
      </c>
      <c r="F36" t="str" cm="1">
        <f t="array" ref="F36:L36">TRANSPOSE(_xlfn._xlws.FILTER(_xlfn.ANCHORARRAY($B$2),_xlfn.ANCHORARRAY($A$2)=$E36))</f>
        <v>Plate_1</v>
      </c>
      <c r="G36" t="str">
        <v>Plate_2</v>
      </c>
      <c r="H36" t="str">
        <v>Plate_3</v>
      </c>
      <c r="I36" t="str">
        <v>Plate_4</v>
      </c>
      <c r="J36" t="str">
        <v>Plate_5</v>
      </c>
      <c r="K36" t="str">
        <v>Plate_6</v>
      </c>
      <c r="L36" t="str">
        <v>Plate_7</v>
      </c>
    </row>
    <row r="37" spans="1:12" x14ac:dyDescent="0.25">
      <c r="A37" t="str">
        <v>CR113_N_CaseA_SLS_0.7EI_SpD_a03BP1.0m</v>
      </c>
      <c r="B37" t="str">
        <v>Plate_1</v>
      </c>
      <c r="D37">
        <v>37</v>
      </c>
      <c r="E37" t="str">
        <v>CR113_N_Case5,8_SLS_0.7EI_SpG_a03BP1.0m</v>
      </c>
      <c r="F37" t="str" cm="1">
        <f t="array" ref="F37:L37">TRANSPOSE(_xlfn._xlws.FILTER(_xlfn.ANCHORARRAY($B$2),_xlfn.ANCHORARRAY($A$2)=$E37))</f>
        <v>Plate_1</v>
      </c>
      <c r="G37" t="str">
        <v>Plate_2</v>
      </c>
      <c r="H37" t="str">
        <v>Plate_3</v>
      </c>
      <c r="I37" t="str">
        <v>Plate_4</v>
      </c>
      <c r="J37" t="str">
        <v>Plate_5</v>
      </c>
      <c r="K37" t="str">
        <v>Plate_6</v>
      </c>
      <c r="L37" t="str">
        <v>Plate_7</v>
      </c>
    </row>
    <row r="38" spans="1:12" x14ac:dyDescent="0.25">
      <c r="A38" t="str">
        <v>CR113_N_CaseA_SLS_0.7EI_SpD_a03BP1.0m</v>
      </c>
      <c r="B38" t="str">
        <v>Plate_2</v>
      </c>
      <c r="D38">
        <v>38</v>
      </c>
      <c r="E38" t="str">
        <v>CR113_N_Case5,8_SLS_0.7EI_SpG_a03BP1.0m</v>
      </c>
      <c r="F38" t="str" cm="1">
        <f t="array" ref="F38:L38">TRANSPOSE(_xlfn._xlws.FILTER(_xlfn.ANCHORARRAY($B$2),_xlfn.ANCHORARRAY($A$2)=$E38))</f>
        <v>Plate_1</v>
      </c>
      <c r="G38" t="str">
        <v>Plate_2</v>
      </c>
      <c r="H38" t="str">
        <v>Plate_3</v>
      </c>
      <c r="I38" t="str">
        <v>Plate_4</v>
      </c>
      <c r="J38" t="str">
        <v>Plate_5</v>
      </c>
      <c r="K38" t="str">
        <v>Plate_6</v>
      </c>
      <c r="L38" t="str">
        <v>Plate_7</v>
      </c>
    </row>
    <row r="39" spans="1:12" x14ac:dyDescent="0.25">
      <c r="A39" t="str">
        <v>CR113_N_CaseA_SLS_0.7EI_SpD_a03BP1.0m</v>
      </c>
      <c r="B39" t="str">
        <v>Plate_3</v>
      </c>
      <c r="D39">
        <v>39</v>
      </c>
      <c r="E39" t="str">
        <v>CR113_N_Case5,8_SLS_0.7EI_SpG_a03BP1.0m</v>
      </c>
      <c r="F39" t="str" cm="1">
        <f t="array" ref="F39:L39">TRANSPOSE(_xlfn._xlws.FILTER(_xlfn.ANCHORARRAY($B$2),_xlfn.ANCHORARRAY($A$2)=$E39))</f>
        <v>Plate_1</v>
      </c>
      <c r="G39" t="str">
        <v>Plate_2</v>
      </c>
      <c r="H39" t="str">
        <v>Plate_3</v>
      </c>
      <c r="I39" t="str">
        <v>Plate_4</v>
      </c>
      <c r="J39" t="str">
        <v>Plate_5</v>
      </c>
      <c r="K39" t="str">
        <v>Plate_6</v>
      </c>
      <c r="L39" t="str">
        <v>Plate_7</v>
      </c>
    </row>
    <row r="40" spans="1:12" x14ac:dyDescent="0.25">
      <c r="A40" t="str">
        <v>CR113_N_CaseA_SLS_0.7EI_SpD_a03BP1.0m</v>
      </c>
      <c r="B40" t="str">
        <v>Plate_4</v>
      </c>
      <c r="D40">
        <v>40</v>
      </c>
      <c r="E40" t="str">
        <v>CR113_N_Case5,8_SLS_0.7EI_SpG_a03BP1.0m</v>
      </c>
      <c r="F40" t="str" cm="1">
        <f t="array" ref="F40:L40">TRANSPOSE(_xlfn._xlws.FILTER(_xlfn.ANCHORARRAY($B$2),_xlfn.ANCHORARRAY($A$2)=$E40))</f>
        <v>Plate_1</v>
      </c>
      <c r="G40" t="str">
        <v>Plate_2</v>
      </c>
      <c r="H40" t="str">
        <v>Plate_3</v>
      </c>
      <c r="I40" t="str">
        <v>Plate_4</v>
      </c>
      <c r="J40" t="str">
        <v>Plate_5</v>
      </c>
      <c r="K40" t="str">
        <v>Plate_6</v>
      </c>
      <c r="L40" t="str">
        <v>Plate_7</v>
      </c>
    </row>
    <row r="41" spans="1:12" x14ac:dyDescent="0.25">
      <c r="A41" t="str">
        <v>CR113_N_CaseA_SLS_0.7EI_SpD_a03BP1.0m</v>
      </c>
      <c r="B41" t="str">
        <v>Plate_5</v>
      </c>
      <c r="D41">
        <v>41</v>
      </c>
      <c r="E41" t="str">
        <v>CR113_N_Case5,8_SLS_0.7EI_SpG_a03BP1.0m</v>
      </c>
      <c r="F41" t="str" cm="1">
        <f t="array" ref="F41:L41">TRANSPOSE(_xlfn._xlws.FILTER(_xlfn.ANCHORARRAY($B$2),_xlfn.ANCHORARRAY($A$2)=$E41))</f>
        <v>Plate_1</v>
      </c>
      <c r="G41" t="str">
        <v>Plate_2</v>
      </c>
      <c r="H41" t="str">
        <v>Plate_3</v>
      </c>
      <c r="I41" t="str">
        <v>Plate_4</v>
      </c>
      <c r="J41" t="str">
        <v>Plate_5</v>
      </c>
      <c r="K41" t="str">
        <v>Plate_6</v>
      </c>
      <c r="L41" t="str">
        <v>Plate_7</v>
      </c>
    </row>
    <row r="42" spans="1:12" x14ac:dyDescent="0.25">
      <c r="A42" t="str">
        <v>CR113_N_CaseA_SLS_0.7EI_SpD_a03BP1.0m</v>
      </c>
      <c r="B42" t="str">
        <v>Plate_6</v>
      </c>
      <c r="D42">
        <v>42</v>
      </c>
      <c r="E42" t="str">
        <v>CR113_N_Case5,8_SLS_0.7EI_SpG_a03BP1.0m</v>
      </c>
      <c r="F42" t="str" cm="1">
        <f t="array" ref="F42:L42">TRANSPOSE(_xlfn._xlws.FILTER(_xlfn.ANCHORARRAY($B$2),_xlfn.ANCHORARRAY($A$2)=$E42))</f>
        <v>Plate_1</v>
      </c>
      <c r="G42" t="str">
        <v>Plate_2</v>
      </c>
      <c r="H42" t="str">
        <v>Plate_3</v>
      </c>
      <c r="I42" t="str">
        <v>Plate_4</v>
      </c>
      <c r="J42" t="str">
        <v>Plate_5</v>
      </c>
      <c r="K42" t="str">
        <v>Plate_6</v>
      </c>
      <c r="L42" t="str">
        <v>Plate_7</v>
      </c>
    </row>
    <row r="43" spans="1:12" x14ac:dyDescent="0.25">
      <c r="A43" t="str">
        <v>CR113_N_CaseA_SLS_0.7EI_SpD_a03BP1.0m</v>
      </c>
      <c r="B43" t="str">
        <v>Plate_7</v>
      </c>
      <c r="D43">
        <v>43</v>
      </c>
      <c r="E43" t="str">
        <v>CR113_N_Case5,8_SLS_0.7EI_SpG_a03BP1.0m</v>
      </c>
      <c r="F43" t="str" cm="1">
        <f t="array" ref="F43:L43">TRANSPOSE(_xlfn._xlws.FILTER(_xlfn.ANCHORARRAY($B$2),_xlfn.ANCHORARRAY($A$2)=$E43))</f>
        <v>Plate_1</v>
      </c>
      <c r="G43" t="str">
        <v>Plate_2</v>
      </c>
      <c r="H43" t="str">
        <v>Plate_3</v>
      </c>
      <c r="I43" t="str">
        <v>Plate_4</v>
      </c>
      <c r="J43" t="str">
        <v>Plate_5</v>
      </c>
      <c r="K43" t="str">
        <v>Plate_6</v>
      </c>
      <c r="L43" t="str">
        <v>Plate_7</v>
      </c>
    </row>
    <row r="44" spans="1:12" x14ac:dyDescent="0.25">
      <c r="D44">
        <v>44</v>
      </c>
      <c r="E44" t="str">
        <v>CR113_N_Case5,8_SLS_0.7EI_SpG_a03BP1.0m</v>
      </c>
      <c r="F44" t="str" cm="1">
        <f t="array" ref="F44:L44">TRANSPOSE(_xlfn._xlws.FILTER(_xlfn.ANCHORARRAY($B$2),_xlfn.ANCHORARRAY($A$2)=$E44))</f>
        <v>Plate_1</v>
      </c>
      <c r="G44" t="str">
        <v>Plate_2</v>
      </c>
      <c r="H44" t="str">
        <v>Plate_3</v>
      </c>
      <c r="I44" t="str">
        <v>Plate_4</v>
      </c>
      <c r="J44" t="str">
        <v>Plate_5</v>
      </c>
      <c r="K44" t="str">
        <v>Plate_6</v>
      </c>
      <c r="L44" t="str">
        <v>Plate_7</v>
      </c>
    </row>
    <row r="45" spans="1:12" x14ac:dyDescent="0.25">
      <c r="D45">
        <v>45</v>
      </c>
      <c r="E45" t="str">
        <v>CR113_N_Case5,8_SLS_0.7EI_SpG_a03BP1.0m</v>
      </c>
      <c r="F45" t="str" cm="1">
        <f t="array" ref="F45:L45">TRANSPOSE(_xlfn._xlws.FILTER(_xlfn.ANCHORARRAY($B$2),_xlfn.ANCHORARRAY($A$2)=$E45))</f>
        <v>Plate_1</v>
      </c>
      <c r="G45" t="str">
        <v>Plate_2</v>
      </c>
      <c r="H45" t="str">
        <v>Plate_3</v>
      </c>
      <c r="I45" t="str">
        <v>Plate_4</v>
      </c>
      <c r="J45" t="str">
        <v>Plate_5</v>
      </c>
      <c r="K45" t="str">
        <v>Plate_6</v>
      </c>
      <c r="L45" t="str">
        <v>Plate_7</v>
      </c>
    </row>
    <row r="46" spans="1:12" x14ac:dyDescent="0.25">
      <c r="D46">
        <v>46</v>
      </c>
      <c r="E46" t="str">
        <v>CR113_N_Case5,8_SLS_0.7EI_SpG_a03BP1.0m</v>
      </c>
      <c r="F46" t="str" cm="1">
        <f t="array" ref="F46:L46">TRANSPOSE(_xlfn._xlws.FILTER(_xlfn.ANCHORARRAY($B$2),_xlfn.ANCHORARRAY($A$2)=$E46))</f>
        <v>Plate_1</v>
      </c>
      <c r="G46" t="str">
        <v>Plate_2</v>
      </c>
      <c r="H46" t="str">
        <v>Plate_3</v>
      </c>
      <c r="I46" t="str">
        <v>Plate_4</v>
      </c>
      <c r="J46" t="str">
        <v>Plate_5</v>
      </c>
      <c r="K46" t="str">
        <v>Plate_6</v>
      </c>
      <c r="L46" t="str">
        <v>Plate_7</v>
      </c>
    </row>
    <row r="47" spans="1:12" x14ac:dyDescent="0.25">
      <c r="D47">
        <v>47</v>
      </c>
      <c r="E47" t="str">
        <v>CR113_N_Case5,8_SLS_0.7EI_SpG_a03BP1.0m</v>
      </c>
      <c r="F47" t="str" cm="1">
        <f t="array" ref="F47:L47">TRANSPOSE(_xlfn._xlws.FILTER(_xlfn.ANCHORARRAY($B$2),_xlfn.ANCHORARRAY($A$2)=$E47))</f>
        <v>Plate_1</v>
      </c>
      <c r="G47" t="str">
        <v>Plate_2</v>
      </c>
      <c r="H47" t="str">
        <v>Plate_3</v>
      </c>
      <c r="I47" t="str">
        <v>Plate_4</v>
      </c>
      <c r="J47" t="str">
        <v>Plate_5</v>
      </c>
      <c r="K47" t="str">
        <v>Plate_6</v>
      </c>
      <c r="L47" t="str">
        <v>Plate_7</v>
      </c>
    </row>
    <row r="48" spans="1:12" x14ac:dyDescent="0.25">
      <c r="D48">
        <v>48</v>
      </c>
      <c r="E48" t="str">
        <v>CR113_N_Case5,8_SLS_0.7EI_SpG_a03BP1.0m</v>
      </c>
      <c r="F48" t="str" cm="1">
        <f t="array" ref="F48:L48">TRANSPOSE(_xlfn._xlws.FILTER(_xlfn.ANCHORARRAY($B$2),_xlfn.ANCHORARRAY($A$2)=$E48))</f>
        <v>Plate_1</v>
      </c>
      <c r="G48" t="str">
        <v>Plate_2</v>
      </c>
      <c r="H48" t="str">
        <v>Plate_3</v>
      </c>
      <c r="I48" t="str">
        <v>Plate_4</v>
      </c>
      <c r="J48" t="str">
        <v>Plate_5</v>
      </c>
      <c r="K48" t="str">
        <v>Plate_6</v>
      </c>
      <c r="L48" t="str">
        <v>Plate_7</v>
      </c>
    </row>
    <row r="49" spans="4:12" x14ac:dyDescent="0.25">
      <c r="D49">
        <v>49</v>
      </c>
      <c r="E49" t="str">
        <v>CR113_N_Case5,8_SLS_0.7EI_SpG_a03BP1.0m</v>
      </c>
      <c r="F49" t="str" cm="1">
        <f t="array" ref="F49:L49">TRANSPOSE(_xlfn._xlws.FILTER(_xlfn.ANCHORARRAY($B$2),_xlfn.ANCHORARRAY($A$2)=$E49))</f>
        <v>Plate_1</v>
      </c>
      <c r="G49" t="str">
        <v>Plate_2</v>
      </c>
      <c r="H49" t="str">
        <v>Plate_3</v>
      </c>
      <c r="I49" t="str">
        <v>Plate_4</v>
      </c>
      <c r="J49" t="str">
        <v>Plate_5</v>
      </c>
      <c r="K49" t="str">
        <v>Plate_6</v>
      </c>
      <c r="L49" t="str">
        <v>Plate_7</v>
      </c>
    </row>
    <row r="50" spans="4:12" x14ac:dyDescent="0.25">
      <c r="D50">
        <v>50</v>
      </c>
      <c r="E50" t="str">
        <v>CR113_N_Case5,8_SLS_0.7EI_SpG_a03BP1.0m</v>
      </c>
      <c r="F50" t="str" cm="1">
        <f t="array" ref="F50:L50">TRANSPOSE(_xlfn._xlws.FILTER(_xlfn.ANCHORARRAY($B$2),_xlfn.ANCHORARRAY($A$2)=$E50))</f>
        <v>Plate_1</v>
      </c>
      <c r="G50" t="str">
        <v>Plate_2</v>
      </c>
      <c r="H50" t="str">
        <v>Plate_3</v>
      </c>
      <c r="I50" t="str">
        <v>Plate_4</v>
      </c>
      <c r="J50" t="str">
        <v>Plate_5</v>
      </c>
      <c r="K50" t="str">
        <v>Plate_6</v>
      </c>
      <c r="L50" t="str">
        <v>Plate_7</v>
      </c>
    </row>
    <row r="51" spans="4:12" x14ac:dyDescent="0.25">
      <c r="D51">
        <v>51</v>
      </c>
      <c r="E51" t="str">
        <v>CR113_N_Case5,8_SLS_0.7EI_SpG_a03BP1.0m</v>
      </c>
      <c r="F51" t="str" cm="1">
        <f t="array" ref="F51:L51">TRANSPOSE(_xlfn._xlws.FILTER(_xlfn.ANCHORARRAY($B$2),_xlfn.ANCHORARRAY($A$2)=$E51))</f>
        <v>Plate_1</v>
      </c>
      <c r="G51" t="str">
        <v>Plate_2</v>
      </c>
      <c r="H51" t="str">
        <v>Plate_3</v>
      </c>
      <c r="I51" t="str">
        <v>Plate_4</v>
      </c>
      <c r="J51" t="str">
        <v>Plate_5</v>
      </c>
      <c r="K51" t="str">
        <v>Plate_6</v>
      </c>
      <c r="L51" t="str">
        <v>Plate_7</v>
      </c>
    </row>
    <row r="52" spans="4:12" x14ac:dyDescent="0.25">
      <c r="D52">
        <v>52</v>
      </c>
      <c r="E52" t="str">
        <v>CR113_N_Case5,8_SLS_0.7EI_SpG_a03BP1.0m</v>
      </c>
      <c r="F52" t="str" cm="1">
        <f t="array" ref="F52:L52">TRANSPOSE(_xlfn._xlws.FILTER(_xlfn.ANCHORARRAY($B$2),_xlfn.ANCHORARRAY($A$2)=$E52))</f>
        <v>Plate_1</v>
      </c>
      <c r="G52" t="str">
        <v>Plate_2</v>
      </c>
      <c r="H52" t="str">
        <v>Plate_3</v>
      </c>
      <c r="I52" t="str">
        <v>Plate_4</v>
      </c>
      <c r="J52" t="str">
        <v>Plate_5</v>
      </c>
      <c r="K52" t="str">
        <v>Plate_6</v>
      </c>
      <c r="L52" t="str">
        <v>Plate_7</v>
      </c>
    </row>
    <row r="53" spans="4:12" x14ac:dyDescent="0.25">
      <c r="D53">
        <v>53</v>
      </c>
      <c r="E53" t="str">
        <v>CR113_N_Case5,8_SLS_0.7EI_SpG_a03BP1.0m</v>
      </c>
      <c r="F53" t="str" cm="1">
        <f t="array" ref="F53:L53">TRANSPOSE(_xlfn._xlws.FILTER(_xlfn.ANCHORARRAY($B$2),_xlfn.ANCHORARRAY($A$2)=$E53))</f>
        <v>Plate_1</v>
      </c>
      <c r="G53" t="str">
        <v>Plate_2</v>
      </c>
      <c r="H53" t="str">
        <v>Plate_3</v>
      </c>
      <c r="I53" t="str">
        <v>Plate_4</v>
      </c>
      <c r="J53" t="str">
        <v>Plate_5</v>
      </c>
      <c r="K53" t="str">
        <v>Plate_6</v>
      </c>
      <c r="L53" t="str">
        <v>Plate_7</v>
      </c>
    </row>
    <row r="54" spans="4:12" x14ac:dyDescent="0.25">
      <c r="D54">
        <v>54</v>
      </c>
      <c r="E54" t="str">
        <v>CR113_N_Case5,8_SLS_0.7EI_SpG_a03BP1.0m</v>
      </c>
      <c r="F54" t="str" cm="1">
        <f t="array" ref="F54:L54">TRANSPOSE(_xlfn._xlws.FILTER(_xlfn.ANCHORARRAY($B$2),_xlfn.ANCHORARRAY($A$2)=$E54))</f>
        <v>Plate_1</v>
      </c>
      <c r="G54" t="str">
        <v>Plate_2</v>
      </c>
      <c r="H54" t="str">
        <v>Plate_3</v>
      </c>
      <c r="I54" t="str">
        <v>Plate_4</v>
      </c>
      <c r="J54" t="str">
        <v>Plate_5</v>
      </c>
      <c r="K54" t="str">
        <v>Plate_6</v>
      </c>
      <c r="L54" t="str">
        <v>Plate_7</v>
      </c>
    </row>
    <row r="55" spans="4:12" x14ac:dyDescent="0.25">
      <c r="D55">
        <v>55</v>
      </c>
      <c r="E55" t="str">
        <v>CR113_N_Case5,8_SLS_0.7EI_SpG_a03BP1.0m</v>
      </c>
      <c r="F55" t="str" cm="1">
        <f t="array" ref="F55:L55">TRANSPOSE(_xlfn._xlws.FILTER(_xlfn.ANCHORARRAY($B$2),_xlfn.ANCHORARRAY($A$2)=$E55))</f>
        <v>Plate_1</v>
      </c>
      <c r="G55" t="str">
        <v>Plate_2</v>
      </c>
      <c r="H55" t="str">
        <v>Plate_3</v>
      </c>
      <c r="I55" t="str">
        <v>Plate_4</v>
      </c>
      <c r="J55" t="str">
        <v>Plate_5</v>
      </c>
      <c r="K55" t="str">
        <v>Plate_6</v>
      </c>
      <c r="L55" t="str">
        <v>Plate_7</v>
      </c>
    </row>
    <row r="56" spans="4:12" x14ac:dyDescent="0.25">
      <c r="D56">
        <v>56</v>
      </c>
      <c r="E56" t="str">
        <v>CR113_N_Case6,7_ULS1_1.0EI_SpG_a03BP1.0m</v>
      </c>
      <c r="F56" t="str" cm="1">
        <f t="array" ref="F56:L56">TRANSPOSE(_xlfn._xlws.FILTER(_xlfn.ANCHORARRAY($B$2),_xlfn.ANCHORARRAY($A$2)=$E56))</f>
        <v>Plate_1</v>
      </c>
      <c r="G56" t="str">
        <v>Plate_2</v>
      </c>
      <c r="H56" t="str">
        <v>Plate_3</v>
      </c>
      <c r="I56" t="str">
        <v>Plate_4</v>
      </c>
      <c r="J56" t="str">
        <v>Plate_5</v>
      </c>
      <c r="K56" t="str">
        <v>Plate_6</v>
      </c>
      <c r="L56" t="str">
        <v>Plate_7</v>
      </c>
    </row>
    <row r="57" spans="4:12" x14ac:dyDescent="0.25">
      <c r="D57">
        <v>57</v>
      </c>
      <c r="E57" t="str">
        <v>CR113_N_Case6,7_ULS1_1.0EI_SpG_a03BP1.0m</v>
      </c>
      <c r="F57" t="str" cm="1">
        <f t="array" ref="F57:L57">TRANSPOSE(_xlfn._xlws.FILTER(_xlfn.ANCHORARRAY($B$2),_xlfn.ANCHORARRAY($A$2)=$E57))</f>
        <v>Plate_1</v>
      </c>
      <c r="G57" t="str">
        <v>Plate_2</v>
      </c>
      <c r="H57" t="str">
        <v>Plate_3</v>
      </c>
      <c r="I57" t="str">
        <v>Plate_4</v>
      </c>
      <c r="J57" t="str">
        <v>Plate_5</v>
      </c>
      <c r="K57" t="str">
        <v>Plate_6</v>
      </c>
      <c r="L57" t="str">
        <v>Plate_7</v>
      </c>
    </row>
    <row r="58" spans="4:12" x14ac:dyDescent="0.25">
      <c r="D58">
        <v>58</v>
      </c>
      <c r="E58" t="str">
        <v>CR113_N_Case6,7_ULS1_1.0EI_SpG_a03BP1.0m</v>
      </c>
      <c r="F58" t="str" cm="1">
        <f t="array" ref="F58:L58">TRANSPOSE(_xlfn._xlws.FILTER(_xlfn.ANCHORARRAY($B$2),_xlfn.ANCHORARRAY($A$2)=$E58))</f>
        <v>Plate_1</v>
      </c>
      <c r="G58" t="str">
        <v>Plate_2</v>
      </c>
      <c r="H58" t="str">
        <v>Plate_3</v>
      </c>
      <c r="I58" t="str">
        <v>Plate_4</v>
      </c>
      <c r="J58" t="str">
        <v>Plate_5</v>
      </c>
      <c r="K58" t="str">
        <v>Plate_6</v>
      </c>
      <c r="L58" t="str">
        <v>Plate_7</v>
      </c>
    </row>
    <row r="59" spans="4:12" x14ac:dyDescent="0.25">
      <c r="D59">
        <v>59</v>
      </c>
      <c r="E59" t="str">
        <v>CR113_N_Case6,7_ULS1_1.0EI_SpG_a03BP1.0m</v>
      </c>
      <c r="F59" t="str" cm="1">
        <f t="array" ref="F59:L59">TRANSPOSE(_xlfn._xlws.FILTER(_xlfn.ANCHORARRAY($B$2),_xlfn.ANCHORARRAY($A$2)=$E59))</f>
        <v>Plate_1</v>
      </c>
      <c r="G59" t="str">
        <v>Plate_2</v>
      </c>
      <c r="H59" t="str">
        <v>Plate_3</v>
      </c>
      <c r="I59" t="str">
        <v>Plate_4</v>
      </c>
      <c r="J59" t="str">
        <v>Plate_5</v>
      </c>
      <c r="K59" t="str">
        <v>Plate_6</v>
      </c>
      <c r="L59" t="str">
        <v>Plate_7</v>
      </c>
    </row>
    <row r="60" spans="4:12" x14ac:dyDescent="0.25">
      <c r="D60">
        <v>60</v>
      </c>
      <c r="E60" t="str">
        <v>CR113_N_Case6,7_ULS1_1.0EI_SpG_a03BP1.0m</v>
      </c>
      <c r="F60" t="str" cm="1">
        <f t="array" ref="F60:L60">TRANSPOSE(_xlfn._xlws.FILTER(_xlfn.ANCHORARRAY($B$2),_xlfn.ANCHORARRAY($A$2)=$E60))</f>
        <v>Plate_1</v>
      </c>
      <c r="G60" t="str">
        <v>Plate_2</v>
      </c>
      <c r="H60" t="str">
        <v>Plate_3</v>
      </c>
      <c r="I60" t="str">
        <v>Plate_4</v>
      </c>
      <c r="J60" t="str">
        <v>Plate_5</v>
      </c>
      <c r="K60" t="str">
        <v>Plate_6</v>
      </c>
      <c r="L60" t="str">
        <v>Plate_7</v>
      </c>
    </row>
    <row r="61" spans="4:12" x14ac:dyDescent="0.25">
      <c r="D61">
        <v>61</v>
      </c>
      <c r="E61" t="str">
        <v>CR113_N_Case6,7_ULS1_1.0EI_SpG_a03BP1.0m</v>
      </c>
      <c r="F61" t="str" cm="1">
        <f t="array" ref="F61:L61">TRANSPOSE(_xlfn._xlws.FILTER(_xlfn.ANCHORARRAY($B$2),_xlfn.ANCHORARRAY($A$2)=$E61))</f>
        <v>Plate_1</v>
      </c>
      <c r="G61" t="str">
        <v>Plate_2</v>
      </c>
      <c r="H61" t="str">
        <v>Plate_3</v>
      </c>
      <c r="I61" t="str">
        <v>Plate_4</v>
      </c>
      <c r="J61" t="str">
        <v>Plate_5</v>
      </c>
      <c r="K61" t="str">
        <v>Plate_6</v>
      </c>
      <c r="L61" t="str">
        <v>Plate_7</v>
      </c>
    </row>
    <row r="62" spans="4:12" x14ac:dyDescent="0.25">
      <c r="D62">
        <v>62</v>
      </c>
      <c r="E62" t="str">
        <v>CR113_N_Case6,7_ULS1_1.0EI_SpG_a03BP1.0m</v>
      </c>
      <c r="F62" t="str" cm="1">
        <f t="array" ref="F62:L62">TRANSPOSE(_xlfn._xlws.FILTER(_xlfn.ANCHORARRAY($B$2),_xlfn.ANCHORARRAY($A$2)=$E62))</f>
        <v>Plate_1</v>
      </c>
      <c r="G62" t="str">
        <v>Plate_2</v>
      </c>
      <c r="H62" t="str">
        <v>Plate_3</v>
      </c>
      <c r="I62" t="str">
        <v>Plate_4</v>
      </c>
      <c r="J62" t="str">
        <v>Plate_5</v>
      </c>
      <c r="K62" t="str">
        <v>Plate_6</v>
      </c>
      <c r="L62" t="str">
        <v>Plate_7</v>
      </c>
    </row>
    <row r="63" spans="4:12" x14ac:dyDescent="0.25">
      <c r="D63">
        <v>63</v>
      </c>
      <c r="E63" t="str">
        <v>CR113_N_Case6,7_ULS1_1.0EI_SpG_a03BP1.0m</v>
      </c>
      <c r="F63" t="str" cm="1">
        <f t="array" ref="F63:L63">TRANSPOSE(_xlfn._xlws.FILTER(_xlfn.ANCHORARRAY($B$2),_xlfn.ANCHORARRAY($A$2)=$E63))</f>
        <v>Plate_1</v>
      </c>
      <c r="G63" t="str">
        <v>Plate_2</v>
      </c>
      <c r="H63" t="str">
        <v>Plate_3</v>
      </c>
      <c r="I63" t="str">
        <v>Plate_4</v>
      </c>
      <c r="J63" t="str">
        <v>Plate_5</v>
      </c>
      <c r="K63" t="str">
        <v>Plate_6</v>
      </c>
      <c r="L63" t="str">
        <v>Plate_7</v>
      </c>
    </row>
    <row r="64" spans="4:12" x14ac:dyDescent="0.25">
      <c r="D64">
        <v>64</v>
      </c>
      <c r="E64" t="str">
        <v>CR113_N_Case6,7_ULS1_1.0EI_SpG_a03BP1.0m</v>
      </c>
      <c r="F64" t="str" cm="1">
        <f t="array" ref="F64:L64">TRANSPOSE(_xlfn._xlws.FILTER(_xlfn.ANCHORARRAY($B$2),_xlfn.ANCHORARRAY($A$2)=$E64))</f>
        <v>Plate_1</v>
      </c>
      <c r="G64" t="str">
        <v>Plate_2</v>
      </c>
      <c r="H64" t="str">
        <v>Plate_3</v>
      </c>
      <c r="I64" t="str">
        <v>Plate_4</v>
      </c>
      <c r="J64" t="str">
        <v>Plate_5</v>
      </c>
      <c r="K64" t="str">
        <v>Plate_6</v>
      </c>
      <c r="L64" t="str">
        <v>Plate_7</v>
      </c>
    </row>
    <row r="65" spans="6:6" x14ac:dyDescent="0.25">
      <c r="F65" t="e" cm="1" vm="1">
        <f t="array" ref="F65">TRANSPOSE(_xlfn._xlws.FILTER(_xlfn.ANCHORARRAY($B$2),_xlfn.ANCHORARRAY($A$2)=$E65))</f>
        <v>#VALUE!</v>
      </c>
    </row>
    <row r="66" spans="6:6" x14ac:dyDescent="0.25">
      <c r="F66" t="e" cm="1" vm="1">
        <f t="array" ref="F66">TRANSPOSE(_xlfn._xlws.FILTER(_xlfn.ANCHORARRAY($B$2),_xlfn.ANCHORARRAY($A$2)=$E66))</f>
        <v>#VALUE!</v>
      </c>
    </row>
    <row r="67" spans="6:6" x14ac:dyDescent="0.25">
      <c r="F67" t="e" cm="1" vm="1">
        <f t="array" ref="F67">TRANSPOSE(_xlfn._xlws.FILTER(_xlfn.ANCHORARRAY($B$2),_xlfn.ANCHORARRAY($A$2)=$E67))</f>
        <v>#VALUE!</v>
      </c>
    </row>
    <row r="68" spans="6:6" x14ac:dyDescent="0.25">
      <c r="F68" t="e" cm="1" vm="1">
        <f t="array" ref="F68">TRANSPOSE(_xlfn._xlws.FILTER(_xlfn.ANCHORARRAY($B$2),_xlfn.ANCHORARRAY($A$2)=$E68))</f>
        <v>#VALUE!</v>
      </c>
    </row>
    <row r="69" spans="6:6" x14ac:dyDescent="0.25">
      <c r="F69" t="e" cm="1" vm="1">
        <f t="array" ref="F69">TRANSPOSE(_xlfn._xlws.FILTER(_xlfn.ANCHORARRAY($B$2),_xlfn.ANCHORARRAY($A$2)=$E69))</f>
        <v>#VALUE!</v>
      </c>
    </row>
    <row r="70" spans="6:6" x14ac:dyDescent="0.25">
      <c r="F70" t="e" cm="1" vm="1">
        <f t="array" ref="F70">TRANSPOSE(_xlfn._xlws.FILTER(_xlfn.ANCHORARRAY($B$2),_xlfn.ANCHORARRAY($A$2)=$E70))</f>
        <v>#VALUE!</v>
      </c>
    </row>
    <row r="71" spans="6:6" x14ac:dyDescent="0.25">
      <c r="F71" t="e" cm="1" vm="1">
        <f t="array" ref="F71">TRANSPOSE(_xlfn._xlws.FILTER(_xlfn.ANCHORARRAY($B$2),_xlfn.ANCHORARRAY($A$2)=$E71))</f>
        <v>#VALUE!</v>
      </c>
    </row>
    <row r="72" spans="6:6" x14ac:dyDescent="0.25">
      <c r="F72" t="e" cm="1" vm="1">
        <f t="array" ref="F72">TRANSPOSE(_xlfn._xlws.FILTER(_xlfn.ANCHORARRAY($B$2),_xlfn.ANCHORARRAY($A$2)=$E72))</f>
        <v>#VALUE!</v>
      </c>
    </row>
    <row r="73" spans="6:6" x14ac:dyDescent="0.25">
      <c r="F73" t="e" cm="1" vm="1">
        <f t="array" ref="F73">TRANSPOSE(_xlfn._xlws.FILTER(_xlfn.ANCHORARRAY($B$2),_xlfn.ANCHORARRAY($A$2)=$E73))</f>
        <v>#VALUE!</v>
      </c>
    </row>
    <row r="74" spans="6:6" x14ac:dyDescent="0.25">
      <c r="F74" t="e" cm="1" vm="1">
        <f t="array" ref="F74">TRANSPOSE(_xlfn._xlws.FILTER(_xlfn.ANCHORARRAY($B$2),_xlfn.ANCHORARRAY($A$2)=$E74))</f>
        <v>#VALUE!</v>
      </c>
    </row>
    <row r="75" spans="6:6" x14ac:dyDescent="0.25">
      <c r="F75" t="e" cm="1" vm="1">
        <f t="array" ref="F75">TRANSPOSE(_xlfn._xlws.FILTER(_xlfn.ANCHORARRAY($B$2),_xlfn.ANCHORARRAY($A$2)=$E75))</f>
        <v>#VALUE!</v>
      </c>
    </row>
    <row r="76" spans="6:6" x14ac:dyDescent="0.25">
      <c r="F76" t="e" cm="1" vm="1">
        <f t="array" ref="F76">TRANSPOSE(_xlfn._xlws.FILTER(_xlfn.ANCHORARRAY($B$2),_xlfn.ANCHORARRAY($A$2)=$E76))</f>
        <v>#VALUE!</v>
      </c>
    </row>
    <row r="77" spans="6:6" x14ac:dyDescent="0.25">
      <c r="F77" t="e" cm="1" vm="1">
        <f t="array" ref="F77">TRANSPOSE(_xlfn._xlws.FILTER(_xlfn.ANCHORARRAY($B$2),_xlfn.ANCHORARRAY($A$2)=$E77))</f>
        <v>#VALUE!</v>
      </c>
    </row>
    <row r="78" spans="6:6" x14ac:dyDescent="0.25">
      <c r="F78" t="e" cm="1" vm="1">
        <f t="array" ref="F78">TRANSPOSE(_xlfn._xlws.FILTER(_xlfn.ANCHORARRAY($B$2),_xlfn.ANCHORARRAY($A$2)=$E78))</f>
        <v>#VALUE!</v>
      </c>
    </row>
    <row r="79" spans="6:6" x14ac:dyDescent="0.25">
      <c r="F79" t="e" cm="1" vm="1">
        <f t="array" ref="F79">TRANSPOSE(_xlfn._xlws.FILTER(_xlfn.ANCHORARRAY($B$2),_xlfn.ANCHORARRAY($A$2)=$E79))</f>
        <v>#VALUE!</v>
      </c>
    </row>
    <row r="80" spans="6:6" x14ac:dyDescent="0.25">
      <c r="F80" t="e" cm="1" vm="1">
        <f t="array" ref="F80">TRANSPOSE(_xlfn._xlws.FILTER(_xlfn.ANCHORARRAY($B$2),_xlfn.ANCHORARRAY($A$2)=$E80))</f>
        <v>#VALUE!</v>
      </c>
    </row>
    <row r="81" spans="6:6" x14ac:dyDescent="0.25">
      <c r="F81" t="e" cm="1" vm="1">
        <f t="array" ref="F81">TRANSPOSE(_xlfn._xlws.FILTER(_xlfn.ANCHORARRAY($B$2),_xlfn.ANCHORARRAY($A$2)=$E81))</f>
        <v>#VALUE!</v>
      </c>
    </row>
    <row r="82" spans="6:6" x14ac:dyDescent="0.25">
      <c r="F82" t="e" cm="1" vm="1">
        <f t="array" ref="F82">TRANSPOSE(_xlfn._xlws.FILTER(_xlfn.ANCHORARRAY($B$2),_xlfn.ANCHORARRAY($A$2)=$E82))</f>
        <v>#VALUE!</v>
      </c>
    </row>
    <row r="83" spans="6:6" x14ac:dyDescent="0.25">
      <c r="F83" t="e" cm="1" vm="1">
        <f t="array" ref="F83">TRANSPOSE(_xlfn._xlws.FILTER(_xlfn.ANCHORARRAY($B$2),_xlfn.ANCHORARRAY($A$2)=$E83))</f>
        <v>#VALUE!</v>
      </c>
    </row>
    <row r="84" spans="6:6" x14ac:dyDescent="0.25">
      <c r="F84" t="e" cm="1" vm="1">
        <f t="array" ref="F84">TRANSPOSE(_xlfn._xlws.FILTER(_xlfn.ANCHORARRAY($B$2),_xlfn.ANCHORARRAY($A$2)=$E84))</f>
        <v>#VALUE!</v>
      </c>
    </row>
    <row r="85" spans="6:6" x14ac:dyDescent="0.25">
      <c r="F85" t="e" cm="1" vm="1">
        <f t="array" ref="F85">TRANSPOSE(_xlfn._xlws.FILTER(_xlfn.ANCHORARRAY($B$2),_xlfn.ANCHORARRAY($A$2)=$E85))</f>
        <v>#VALUE!</v>
      </c>
    </row>
    <row r="86" spans="6:6" x14ac:dyDescent="0.25">
      <c r="F86" t="e" cm="1" vm="1">
        <f t="array" ref="F86">TRANSPOSE(_xlfn._xlws.FILTER(_xlfn.ANCHORARRAY($B$2),_xlfn.ANCHORARRAY($A$2)=$E86))</f>
        <v>#VALUE!</v>
      </c>
    </row>
    <row r="87" spans="6:6" x14ac:dyDescent="0.25">
      <c r="F87" t="e" cm="1" vm="1">
        <f t="array" ref="F87">TRANSPOSE(_xlfn._xlws.FILTER(_xlfn.ANCHORARRAY($B$2),_xlfn.ANCHORARRAY($A$2)=$E87))</f>
        <v>#VALUE!</v>
      </c>
    </row>
    <row r="88" spans="6:6" x14ac:dyDescent="0.25">
      <c r="F88" t="e" cm="1" vm="1">
        <f t="array" ref="F88">TRANSPOSE(_xlfn._xlws.FILTER(_xlfn.ANCHORARRAY($B$2),_xlfn.ANCHORARRAY($A$2)=$E88))</f>
        <v>#VALUE!</v>
      </c>
    </row>
    <row r="89" spans="6:6" x14ac:dyDescent="0.25">
      <c r="F89" t="e" cm="1" vm="1">
        <f t="array" ref="F89">TRANSPOSE(_xlfn._xlws.FILTER(_xlfn.ANCHORARRAY($B$2),_xlfn.ANCHORARRAY($A$2)=$E89))</f>
        <v>#VALUE!</v>
      </c>
    </row>
    <row r="90" spans="6:6" x14ac:dyDescent="0.25">
      <c r="F90" t="e" cm="1" vm="1">
        <f t="array" ref="F90">TRANSPOSE(_xlfn._xlws.FILTER(_xlfn.ANCHORARRAY($B$2),_xlfn.ANCHORARRAY($A$2)=$E90))</f>
        <v>#VALUE!</v>
      </c>
    </row>
    <row r="91" spans="6:6" x14ac:dyDescent="0.25">
      <c r="F91" t="e" cm="1" vm="1">
        <f t="array" ref="F91">TRANSPOSE(_xlfn._xlws.FILTER(_xlfn.ANCHORARRAY($B$2),_xlfn.ANCHORARRAY($A$2)=$E91))</f>
        <v>#VALUE!</v>
      </c>
    </row>
    <row r="92" spans="6:6" x14ac:dyDescent="0.25">
      <c r="F92" t="e" cm="1" vm="1">
        <f t="array" ref="F92">TRANSPOSE(_xlfn._xlws.FILTER(_xlfn.ANCHORARRAY($B$2),_xlfn.ANCHORARRAY($A$2)=$E92))</f>
        <v>#VALUE!</v>
      </c>
    </row>
    <row r="93" spans="6:6" x14ac:dyDescent="0.25">
      <c r="F93" t="e" cm="1" vm="1">
        <f t="array" ref="F93">TRANSPOSE(_xlfn._xlws.FILTER(_xlfn.ANCHORARRAY($B$2),_xlfn.ANCHORARRAY($A$2)=$E93))</f>
        <v>#VALUE!</v>
      </c>
    </row>
    <row r="94" spans="6:6" x14ac:dyDescent="0.25">
      <c r="F94" t="e" cm="1" vm="1">
        <f t="array" ref="F94">TRANSPOSE(_xlfn._xlws.FILTER(_xlfn.ANCHORARRAY($B$2),_xlfn.ANCHORARRAY($A$2)=$E94))</f>
        <v>#VALUE!</v>
      </c>
    </row>
    <row r="95" spans="6:6" x14ac:dyDescent="0.25">
      <c r="F95" t="e" cm="1" vm="1">
        <f t="array" ref="F95">TRANSPOSE(_xlfn._xlws.FILTER(_xlfn.ANCHORARRAY($B$2),_xlfn.ANCHORARRAY($A$2)=$E95))</f>
        <v>#VALUE!</v>
      </c>
    </row>
    <row r="96" spans="6:6" x14ac:dyDescent="0.25">
      <c r="F96" t="e" cm="1" vm="1">
        <f t="array" ref="F96">TRANSPOSE(_xlfn._xlws.FILTER(_xlfn.ANCHORARRAY($B$2),_xlfn.ANCHORARRAY($A$2)=$E96))</f>
        <v>#VALUE!</v>
      </c>
    </row>
    <row r="97" spans="6:6" x14ac:dyDescent="0.25">
      <c r="F97" t="e" cm="1" vm="1">
        <f t="array" ref="F97">TRANSPOSE(_xlfn._xlws.FILTER(_xlfn.ANCHORARRAY($B$2),_xlfn.ANCHORARRAY($A$2)=$E97))</f>
        <v>#VALUE!</v>
      </c>
    </row>
    <row r="98" spans="6:6" x14ac:dyDescent="0.25">
      <c r="F98" t="e" cm="1" vm="1">
        <f t="array" ref="F98">TRANSPOSE(_xlfn._xlws.FILTER(_xlfn.ANCHORARRAY($B$2),_xlfn.ANCHORARRAY($A$2)=$E98))</f>
        <v>#VALUE!</v>
      </c>
    </row>
    <row r="99" spans="6:6" x14ac:dyDescent="0.25">
      <c r="F99" t="e" cm="1" vm="1">
        <f t="array" ref="F99">TRANSPOSE(_xlfn._xlws.FILTER(_xlfn.ANCHORARRAY($B$2),_xlfn.ANCHORARRAY($A$2)=$E99))</f>
        <v>#VALUE!</v>
      </c>
    </row>
    <row r="100" spans="6:6" x14ac:dyDescent="0.25">
      <c r="F100" t="e" cm="1" vm="1">
        <f t="array" ref="F100">TRANSPOSE(_xlfn._xlws.FILTER(_xlfn.ANCHORARRAY($B$2),_xlfn.ANCHORARRAY($A$2)=$E100))</f>
        <v>#VALUE!</v>
      </c>
    </row>
    <row r="101" spans="6:6" x14ac:dyDescent="0.25">
      <c r="F101" t="e" cm="1" vm="1">
        <f t="array" ref="F101">TRANSPOSE(_xlfn._xlws.FILTER(_xlfn.ANCHORARRAY($B$2),_xlfn.ANCHORARRAY($A$2)=$E101))</f>
        <v>#VALUE!</v>
      </c>
    </row>
    <row r="102" spans="6:6" x14ac:dyDescent="0.25">
      <c r="F102" t="e" cm="1" vm="1">
        <f t="array" ref="F102">TRANSPOSE(_xlfn._xlws.FILTER(_xlfn.ANCHORARRAY($B$2),_xlfn.ANCHORARRAY($A$2)=$E102))</f>
        <v>#VALUE!</v>
      </c>
    </row>
    <row r="103" spans="6:6" x14ac:dyDescent="0.25">
      <c r="F103" t="e" cm="1" vm="1">
        <f t="array" ref="F103">TRANSPOSE(_xlfn._xlws.FILTER(_xlfn.ANCHORARRAY($B$2),_xlfn.ANCHORARRAY($A$2)=$E103))</f>
        <v>#VALUE!</v>
      </c>
    </row>
    <row r="104" spans="6:6" x14ac:dyDescent="0.25">
      <c r="F104" t="e" cm="1" vm="1">
        <f t="array" ref="F104">TRANSPOSE(_xlfn._xlws.FILTER(_xlfn.ANCHORARRAY($B$2),_xlfn.ANCHORARRAY($A$2)=$E104))</f>
        <v>#VALUE!</v>
      </c>
    </row>
    <row r="105" spans="6:6" x14ac:dyDescent="0.25">
      <c r="F105" t="e" cm="1" vm="1">
        <f t="array" ref="F105">TRANSPOSE(_xlfn._xlws.FILTER(_xlfn.ANCHORARRAY($B$2),_xlfn.ANCHORARRAY($A$2)=$E105))</f>
        <v>#VALUE!</v>
      </c>
    </row>
    <row r="106" spans="6:6" x14ac:dyDescent="0.25">
      <c r="F106" t="e" cm="1" vm="1">
        <f t="array" ref="F106">TRANSPOSE(_xlfn._xlws.FILTER(_xlfn.ANCHORARRAY($B$2),_xlfn.ANCHORARRAY($A$2)=$E106))</f>
        <v>#VALUE!</v>
      </c>
    </row>
    <row r="107" spans="6:6" x14ac:dyDescent="0.25">
      <c r="F107" t="e" cm="1" vm="1">
        <f t="array" ref="F107">TRANSPOSE(_xlfn._xlws.FILTER(_xlfn.ANCHORARRAY($B$2),_xlfn.ANCHORARRAY($A$2)=$E107))</f>
        <v>#VALUE!</v>
      </c>
    </row>
    <row r="108" spans="6:6" x14ac:dyDescent="0.25">
      <c r="F108" t="e" cm="1" vm="1">
        <f t="array" ref="F108">TRANSPOSE(_xlfn._xlws.FILTER(_xlfn.ANCHORARRAY($B$2),_xlfn.ANCHORARRAY($A$2)=$E108))</f>
        <v>#VALUE!</v>
      </c>
    </row>
    <row r="109" spans="6:6" x14ac:dyDescent="0.25">
      <c r="F109" t="e" cm="1" vm="1">
        <f t="array" ref="F109">TRANSPOSE(_xlfn._xlws.FILTER(_xlfn.ANCHORARRAY($B$2),_xlfn.ANCHORARRAY($A$2)=$E109))</f>
        <v>#VALUE!</v>
      </c>
    </row>
    <row r="110" spans="6:6" x14ac:dyDescent="0.25">
      <c r="F110" t="e" cm="1" vm="1">
        <f t="array" ref="F110">TRANSPOSE(_xlfn._xlws.FILTER(_xlfn.ANCHORARRAY($B$2),_xlfn.ANCHORARRAY($A$2)=$E110))</f>
        <v>#VALUE!</v>
      </c>
    </row>
    <row r="111" spans="6:6" x14ac:dyDescent="0.25">
      <c r="F111" t="e" cm="1" vm="1">
        <f t="array" ref="F111">TRANSPOSE(_xlfn._xlws.FILTER(_xlfn.ANCHORARRAY($B$2),_xlfn.ANCHORARRAY($A$2)=$E111))</f>
        <v>#VALUE!</v>
      </c>
    </row>
    <row r="112" spans="6:6" x14ac:dyDescent="0.25">
      <c r="F112" t="e" cm="1" vm="1">
        <f t="array" ref="F112">TRANSPOSE(_xlfn._xlws.FILTER(_xlfn.ANCHORARRAY($B$2),_xlfn.ANCHORARRAY($A$2)=$E112))</f>
        <v>#VALUE!</v>
      </c>
    </row>
    <row r="113" spans="6:6" x14ac:dyDescent="0.25">
      <c r="F113" t="e" cm="1" vm="1">
        <f t="array" ref="F113">TRANSPOSE(_xlfn._xlws.FILTER(_xlfn.ANCHORARRAY($B$2),_xlfn.ANCHORARRAY($A$2)=$E113))</f>
        <v>#VALUE!</v>
      </c>
    </row>
    <row r="114" spans="6:6" x14ac:dyDescent="0.25">
      <c r="F114" t="e" cm="1" vm="1">
        <f t="array" ref="F114">TRANSPOSE(_xlfn._xlws.FILTER(_xlfn.ANCHORARRAY($B$2),_xlfn.ANCHORARRAY($A$2)=$E114))</f>
        <v>#VALUE!</v>
      </c>
    </row>
    <row r="115" spans="6:6" x14ac:dyDescent="0.25">
      <c r="F115" t="e" cm="1" vm="1">
        <f t="array" ref="F115">TRANSPOSE(_xlfn._xlws.FILTER(_xlfn.ANCHORARRAY($B$2),_xlfn.ANCHORARRAY($A$2)=$E115))</f>
        <v>#VALUE!</v>
      </c>
    </row>
    <row r="116" spans="6:6" x14ac:dyDescent="0.25">
      <c r="F116" t="e" cm="1" vm="1">
        <f t="array" ref="F116">TRANSPOSE(_xlfn._xlws.FILTER(_xlfn.ANCHORARRAY($B$2),_xlfn.ANCHORARRAY($A$2)=$E116))</f>
        <v>#VALUE!</v>
      </c>
    </row>
    <row r="117" spans="6:6" x14ac:dyDescent="0.25">
      <c r="F117" t="e" cm="1" vm="1">
        <f t="array" ref="F117">TRANSPOSE(_xlfn._xlws.FILTER(_xlfn.ANCHORARRAY($B$2),_xlfn.ANCHORARRAY($A$2)=$E117))</f>
        <v>#VALUE!</v>
      </c>
    </row>
    <row r="118" spans="6:6" x14ac:dyDescent="0.25">
      <c r="F118" t="e" cm="1" vm="1">
        <f t="array" ref="F118">TRANSPOSE(_xlfn._xlws.FILTER(_xlfn.ANCHORARRAY($B$2),_xlfn.ANCHORARRAY($A$2)=$E118))</f>
        <v>#VALUE!</v>
      </c>
    </row>
    <row r="119" spans="6:6" x14ac:dyDescent="0.25">
      <c r="F119" t="e" cm="1" vm="1">
        <f t="array" ref="F119">TRANSPOSE(_xlfn._xlws.FILTER(_xlfn.ANCHORARRAY($B$2),_xlfn.ANCHORARRAY($A$2)=$E119))</f>
        <v>#VALUE!</v>
      </c>
    </row>
    <row r="120" spans="6:6" x14ac:dyDescent="0.25">
      <c r="F120" t="e" cm="1" vm="1">
        <f t="array" ref="F120">TRANSPOSE(_xlfn._xlws.FILTER(_xlfn.ANCHORARRAY($B$2),_xlfn.ANCHORARRAY($A$2)=$E120))</f>
        <v>#VALUE!</v>
      </c>
    </row>
    <row r="121" spans="6:6" x14ac:dyDescent="0.25">
      <c r="F121" t="e" cm="1" vm="1">
        <f t="array" ref="F121">TRANSPOSE(_xlfn._xlws.FILTER(_xlfn.ANCHORARRAY($B$2),_xlfn.ANCHORARRAY($A$2)=$E121))</f>
        <v>#VALUE!</v>
      </c>
    </row>
    <row r="122" spans="6:6" x14ac:dyDescent="0.25">
      <c r="F122" t="e" cm="1" vm="1">
        <f t="array" ref="F122">TRANSPOSE(_xlfn._xlws.FILTER(_xlfn.ANCHORARRAY($B$2),_xlfn.ANCHORARRAY($A$2)=$E122))</f>
        <v>#VALUE!</v>
      </c>
    </row>
    <row r="123" spans="6:6" x14ac:dyDescent="0.25">
      <c r="F123" t="e" cm="1" vm="1">
        <f t="array" ref="F123">TRANSPOSE(_xlfn._xlws.FILTER(_xlfn.ANCHORARRAY($B$2),_xlfn.ANCHORARRAY($A$2)=$E123))</f>
        <v>#VALUE!</v>
      </c>
    </row>
    <row r="124" spans="6:6" x14ac:dyDescent="0.25">
      <c r="F124" t="e" cm="1" vm="1">
        <f t="array" ref="F124">TRANSPOSE(_xlfn._xlws.FILTER(_xlfn.ANCHORARRAY($B$2),_xlfn.ANCHORARRAY($A$2)=$E124))</f>
        <v>#VALUE!</v>
      </c>
    </row>
    <row r="125" spans="6:6" x14ac:dyDescent="0.25">
      <c r="F125" t="e" cm="1" vm="1">
        <f t="array" ref="F125">TRANSPOSE(_xlfn._xlws.FILTER(_xlfn.ANCHORARRAY($B$2),_xlfn.ANCHORARRAY($A$2)=$E125))</f>
        <v>#VALUE!</v>
      </c>
    </row>
    <row r="126" spans="6:6" x14ac:dyDescent="0.25">
      <c r="F126" t="e" cm="1" vm="1">
        <f t="array" ref="F126">TRANSPOSE(_xlfn._xlws.FILTER(_xlfn.ANCHORARRAY($B$2),_xlfn.ANCHORARRAY($A$2)=$E126))</f>
        <v>#VALUE!</v>
      </c>
    </row>
    <row r="127" spans="6:6" x14ac:dyDescent="0.25">
      <c r="F127" t="e" cm="1" vm="1">
        <f t="array" ref="F127">TRANSPOSE(_xlfn._xlws.FILTER(_xlfn.ANCHORARRAY($B$2),_xlfn.ANCHORARRAY($A$2)=$E127))</f>
        <v>#VALUE!</v>
      </c>
    </row>
    <row r="128" spans="6:6" x14ac:dyDescent="0.25">
      <c r="F128" t="e" cm="1" vm="1">
        <f t="array" ref="F128">TRANSPOSE(_xlfn._xlws.FILTER(_xlfn.ANCHORARRAY($B$2),_xlfn.ANCHORARRAY($A$2)=$E128))</f>
        <v>#VALUE!</v>
      </c>
    </row>
    <row r="129" spans="6:6" x14ac:dyDescent="0.25">
      <c r="F129" t="e" cm="1" vm="1">
        <f t="array" ref="F129">TRANSPOSE(_xlfn._xlws.FILTER(_xlfn.ANCHORARRAY($B$2),_xlfn.ANCHORARRAY($A$2)=$E129))</f>
        <v>#VALUE!</v>
      </c>
    </row>
    <row r="130" spans="6:6" x14ac:dyDescent="0.25">
      <c r="F130" t="e" cm="1" vm="1">
        <f t="array" ref="F130">TRANSPOSE(_xlfn._xlws.FILTER(_xlfn.ANCHORARRAY($B$2),_xlfn.ANCHORARRAY($A$2)=$E130))</f>
        <v>#VALUE!</v>
      </c>
    </row>
    <row r="131" spans="6:6" x14ac:dyDescent="0.25">
      <c r="F131" t="e" cm="1" vm="1">
        <f t="array" ref="F131">TRANSPOSE(_xlfn._xlws.FILTER(_xlfn.ANCHORARRAY($B$2),_xlfn.ANCHORARRAY($A$2)=$E131))</f>
        <v>#VALUE!</v>
      </c>
    </row>
    <row r="132" spans="6:6" x14ac:dyDescent="0.25">
      <c r="F132" t="e" cm="1" vm="1">
        <f t="array" ref="F132">TRANSPOSE(_xlfn._xlws.FILTER(_xlfn.ANCHORARRAY($B$2),_xlfn.ANCHORARRAY($A$2)=$E132))</f>
        <v>#VALUE!</v>
      </c>
    </row>
    <row r="133" spans="6:6" x14ac:dyDescent="0.25">
      <c r="F133" t="e" cm="1" vm="1">
        <f t="array" ref="F133">TRANSPOSE(_xlfn._xlws.FILTER(_xlfn.ANCHORARRAY($B$2),_xlfn.ANCHORARRAY($A$2)=$E133))</f>
        <v>#VALUE!</v>
      </c>
    </row>
    <row r="134" spans="6:6" x14ac:dyDescent="0.25">
      <c r="F134" t="e" cm="1" vm="1">
        <f t="array" ref="F134">TRANSPOSE(_xlfn._xlws.FILTER(_xlfn.ANCHORARRAY($B$2),_xlfn.ANCHORARRAY($A$2)=$E134))</f>
        <v>#VALUE!</v>
      </c>
    </row>
    <row r="135" spans="6:6" x14ac:dyDescent="0.25">
      <c r="F135" t="e" cm="1" vm="1">
        <f t="array" ref="F135">TRANSPOSE(_xlfn._xlws.FILTER(_xlfn.ANCHORARRAY($B$2),_xlfn.ANCHORARRAY($A$2)=$E135))</f>
        <v>#VALUE!</v>
      </c>
    </row>
    <row r="136" spans="6:6" x14ac:dyDescent="0.25">
      <c r="F136" t="e" cm="1" vm="1">
        <f t="array" ref="F136">TRANSPOSE(_xlfn._xlws.FILTER(_xlfn.ANCHORARRAY($B$2),_xlfn.ANCHORARRAY($A$2)=$E136))</f>
        <v>#VALUE!</v>
      </c>
    </row>
    <row r="137" spans="6:6" x14ac:dyDescent="0.25">
      <c r="F137" t="e" cm="1" vm="1">
        <f t="array" ref="F137">TRANSPOSE(_xlfn._xlws.FILTER(_xlfn.ANCHORARRAY($B$2),_xlfn.ANCHORARRAY($A$2)=$E137))</f>
        <v>#VALUE!</v>
      </c>
    </row>
    <row r="138" spans="6:6" x14ac:dyDescent="0.25">
      <c r="F138" t="e" cm="1" vm="1">
        <f t="array" ref="F138">TRANSPOSE(_xlfn._xlws.FILTER(_xlfn.ANCHORARRAY($B$2),_xlfn.ANCHORARRAY($A$2)=$E138))</f>
        <v>#VALUE!</v>
      </c>
    </row>
    <row r="139" spans="6:6" x14ac:dyDescent="0.25">
      <c r="F139" t="e" cm="1" vm="1">
        <f t="array" ref="F139">TRANSPOSE(_xlfn._xlws.FILTER(_xlfn.ANCHORARRAY($B$2),_xlfn.ANCHORARRAY($A$2)=$E139))</f>
        <v>#VALUE!</v>
      </c>
    </row>
    <row r="140" spans="6:6" x14ac:dyDescent="0.25">
      <c r="F140" t="e" cm="1" vm="1">
        <f t="array" ref="F140">TRANSPOSE(_xlfn._xlws.FILTER(_xlfn.ANCHORARRAY($B$2),_xlfn.ANCHORARRAY($A$2)=$E140))</f>
        <v>#VALUE!</v>
      </c>
    </row>
    <row r="141" spans="6:6" x14ac:dyDescent="0.25">
      <c r="F141" t="e" cm="1" vm="1">
        <f t="array" ref="F141">TRANSPOSE(_xlfn._xlws.FILTER(_xlfn.ANCHORARRAY($B$2),_xlfn.ANCHORARRAY($A$2)=$E141))</f>
        <v>#VALUE!</v>
      </c>
    </row>
    <row r="142" spans="6:6" x14ac:dyDescent="0.25">
      <c r="F142" t="e" cm="1" vm="1">
        <f t="array" ref="F142">TRANSPOSE(_xlfn._xlws.FILTER(_xlfn.ANCHORARRAY($B$2),_xlfn.ANCHORARRAY($A$2)=$E142))</f>
        <v>#VALUE!</v>
      </c>
    </row>
    <row r="143" spans="6:6" x14ac:dyDescent="0.25">
      <c r="F143" t="e" cm="1" vm="1">
        <f t="array" ref="F143">TRANSPOSE(_xlfn._xlws.FILTER(_xlfn.ANCHORARRAY($B$2),_xlfn.ANCHORARRAY($A$2)=$E143))</f>
        <v>#VALUE!</v>
      </c>
    </row>
    <row r="144" spans="6:6" x14ac:dyDescent="0.25">
      <c r="F144" t="e" cm="1" vm="1">
        <f t="array" ref="F144">TRANSPOSE(_xlfn._xlws.FILTER(_xlfn.ANCHORARRAY($B$2),_xlfn.ANCHORARRAY($A$2)=$E144))</f>
        <v>#VALUE!</v>
      </c>
    </row>
    <row r="145" spans="6:6" x14ac:dyDescent="0.25">
      <c r="F145" t="e" cm="1" vm="1">
        <f t="array" ref="F145">TRANSPOSE(_xlfn._xlws.FILTER(_xlfn.ANCHORARRAY($B$2),_xlfn.ANCHORARRAY($A$2)=$E145))</f>
        <v>#VALUE!</v>
      </c>
    </row>
    <row r="146" spans="6:6" x14ac:dyDescent="0.25">
      <c r="F146" t="e" cm="1" vm="1">
        <f t="array" ref="F146">TRANSPOSE(_xlfn._xlws.FILTER(_xlfn.ANCHORARRAY($B$2),_xlfn.ANCHORARRAY($A$2)=$E146))</f>
        <v>#VALUE!</v>
      </c>
    </row>
    <row r="147" spans="6:6" x14ac:dyDescent="0.25">
      <c r="F147" t="e" cm="1" vm="1">
        <f t="array" ref="F147">TRANSPOSE(_xlfn._xlws.FILTER(_xlfn.ANCHORARRAY($B$2),_xlfn.ANCHORARRAY($A$2)=$E147))</f>
        <v>#VALUE!</v>
      </c>
    </row>
    <row r="148" spans="6:6" x14ac:dyDescent="0.25">
      <c r="F148" t="e" cm="1" vm="1">
        <f t="array" ref="F148">TRANSPOSE(_xlfn._xlws.FILTER(_xlfn.ANCHORARRAY($B$2),_xlfn.ANCHORARRAY($A$2)=$E148))</f>
        <v>#VALUE!</v>
      </c>
    </row>
    <row r="149" spans="6:6" x14ac:dyDescent="0.25">
      <c r="F149" t="e" cm="1" vm="1">
        <f t="array" ref="F149">TRANSPOSE(_xlfn._xlws.FILTER(_xlfn.ANCHORARRAY($B$2),_xlfn.ANCHORARRAY($A$2)=$E149))</f>
        <v>#VALUE!</v>
      </c>
    </row>
    <row r="150" spans="6:6" x14ac:dyDescent="0.25">
      <c r="F150" t="e" cm="1" vm="1">
        <f t="array" ref="F150">TRANSPOSE(_xlfn._xlws.FILTER(_xlfn.ANCHORARRAY($B$2),_xlfn.ANCHORARRAY($A$2)=$E150))</f>
        <v>#VALUE!</v>
      </c>
    </row>
    <row r="151" spans="6:6" x14ac:dyDescent="0.25">
      <c r="F151" t="e" cm="1" vm="1">
        <f t="array" ref="F151">TRANSPOSE(_xlfn._xlws.FILTER(_xlfn.ANCHORARRAY($B$2),_xlfn.ANCHORARRAY($A$2)=$E151))</f>
        <v>#VALUE!</v>
      </c>
    </row>
    <row r="152" spans="6:6" x14ac:dyDescent="0.25">
      <c r="F152" t="e" cm="1" vm="1">
        <f t="array" ref="F152">TRANSPOSE(_xlfn._xlws.FILTER(_xlfn.ANCHORARRAY($B$2),_xlfn.ANCHORARRAY($A$2)=$E152))</f>
        <v>#VALUE!</v>
      </c>
    </row>
    <row r="153" spans="6:6" x14ac:dyDescent="0.25">
      <c r="F153" t="e" cm="1" vm="1">
        <f t="array" ref="F153">TRANSPOSE(_xlfn._xlws.FILTER(_xlfn.ANCHORARRAY($B$2),_xlfn.ANCHORARRAY($A$2)=$E153))</f>
        <v>#VALUE!</v>
      </c>
    </row>
    <row r="154" spans="6:6" x14ac:dyDescent="0.25">
      <c r="F154" t="e" cm="1" vm="1">
        <f t="array" ref="F154">TRANSPOSE(_xlfn._xlws.FILTER(_xlfn.ANCHORARRAY($B$2),_xlfn.ANCHORARRAY($A$2)=$E154))</f>
        <v>#VALUE!</v>
      </c>
    </row>
    <row r="155" spans="6:6" x14ac:dyDescent="0.25">
      <c r="F155" t="e" cm="1" vm="1">
        <f t="array" ref="F155">TRANSPOSE(_xlfn._xlws.FILTER(_xlfn.ANCHORARRAY($B$2),_xlfn.ANCHORARRAY($A$2)=$E155))</f>
        <v>#VALUE!</v>
      </c>
    </row>
    <row r="156" spans="6:6" x14ac:dyDescent="0.25">
      <c r="F156" t="e" cm="1" vm="1">
        <f t="array" ref="F156">TRANSPOSE(_xlfn._xlws.FILTER(_xlfn.ANCHORARRAY($B$2),_xlfn.ANCHORARRAY($A$2)=$E156))</f>
        <v>#VALUE!</v>
      </c>
    </row>
    <row r="157" spans="6:6" x14ac:dyDescent="0.25">
      <c r="F157" t="e" cm="1" vm="1">
        <f t="array" ref="F157">TRANSPOSE(_xlfn._xlws.FILTER(_xlfn.ANCHORARRAY($B$2),_xlfn.ANCHORARRAY($A$2)=$E157))</f>
        <v>#VALUE!</v>
      </c>
    </row>
    <row r="158" spans="6:6" x14ac:dyDescent="0.25">
      <c r="F158" t="e" cm="1" vm="1">
        <f t="array" ref="F158">TRANSPOSE(_xlfn._xlws.FILTER(_xlfn.ANCHORARRAY($B$2),_xlfn.ANCHORARRAY($A$2)=$E158))</f>
        <v>#VALUE!</v>
      </c>
    </row>
    <row r="159" spans="6:6" x14ac:dyDescent="0.25">
      <c r="F159" t="e" cm="1" vm="1">
        <f t="array" ref="F159">TRANSPOSE(_xlfn._xlws.FILTER(_xlfn.ANCHORARRAY($B$2),_xlfn.ANCHORARRAY($A$2)=$E159))</f>
        <v>#VALUE!</v>
      </c>
    </row>
    <row r="160" spans="6:6" x14ac:dyDescent="0.25">
      <c r="F160" t="e" cm="1" vm="1">
        <f t="array" ref="F160">TRANSPOSE(_xlfn._xlws.FILTER(_xlfn.ANCHORARRAY($B$2),_xlfn.ANCHORARRAY($A$2)=$E160))</f>
        <v>#VALUE!</v>
      </c>
    </row>
    <row r="161" spans="6:6" x14ac:dyDescent="0.25">
      <c r="F161" t="e" cm="1" vm="1">
        <f t="array" ref="F161">TRANSPOSE(_xlfn._xlws.FILTER(_xlfn.ANCHORARRAY($B$2),_xlfn.ANCHORARRAY($A$2)=$E161))</f>
        <v>#VALUE!</v>
      </c>
    </row>
    <row r="162" spans="6:6" x14ac:dyDescent="0.25">
      <c r="F162" t="e" cm="1" vm="1">
        <f t="array" ref="F162">TRANSPOSE(_xlfn._xlws.FILTER(_xlfn.ANCHORARRAY($B$2),_xlfn.ANCHORARRAY($A$2)=$E162))</f>
        <v>#VALUE!</v>
      </c>
    </row>
    <row r="163" spans="6:6" x14ac:dyDescent="0.25">
      <c r="F163" t="e" cm="1" vm="1">
        <f t="array" ref="F163">TRANSPOSE(_xlfn._xlws.FILTER(_xlfn.ANCHORARRAY($B$2),_xlfn.ANCHORARRAY($A$2)=$E163))</f>
        <v>#VALUE!</v>
      </c>
    </row>
    <row r="164" spans="6:6" x14ac:dyDescent="0.25">
      <c r="F164" t="e" cm="1" vm="1">
        <f t="array" ref="F164">TRANSPOSE(_xlfn._xlws.FILTER(_xlfn.ANCHORARRAY($B$2),_xlfn.ANCHORARRAY($A$2)=$E164))</f>
        <v>#VALUE!</v>
      </c>
    </row>
    <row r="165" spans="6:6" x14ac:dyDescent="0.25">
      <c r="F165" t="e" cm="1" vm="1">
        <f t="array" ref="F165">TRANSPOSE(_xlfn._xlws.FILTER(_xlfn.ANCHORARRAY($B$2),_xlfn.ANCHORARRAY($A$2)=$E165))</f>
        <v>#VALUE!</v>
      </c>
    </row>
    <row r="166" spans="6:6" x14ac:dyDescent="0.25">
      <c r="F166" t="e" cm="1" vm="1">
        <f t="array" ref="F166">TRANSPOSE(_xlfn._xlws.FILTER(_xlfn.ANCHORARRAY($B$2),_xlfn.ANCHORARRAY($A$2)=$E166))</f>
        <v>#VALUE!</v>
      </c>
    </row>
    <row r="167" spans="6:6" x14ac:dyDescent="0.25">
      <c r="F167" t="e" cm="1" vm="1">
        <f t="array" ref="F167">TRANSPOSE(_xlfn._xlws.FILTER(_xlfn.ANCHORARRAY($B$2),_xlfn.ANCHORARRAY($A$2)=$E167))</f>
        <v>#VALUE!</v>
      </c>
    </row>
    <row r="168" spans="6:6" x14ac:dyDescent="0.25">
      <c r="F168" t="e" cm="1" vm="1">
        <f t="array" ref="F168">TRANSPOSE(_xlfn._xlws.FILTER(_xlfn.ANCHORARRAY($B$2),_xlfn.ANCHORARRAY($A$2)=$E168))</f>
        <v>#VALUE!</v>
      </c>
    </row>
    <row r="169" spans="6:6" x14ac:dyDescent="0.25">
      <c r="F169" t="e" cm="1" vm="1">
        <f t="array" ref="F169">TRANSPOSE(_xlfn._xlws.FILTER(_xlfn.ANCHORARRAY($B$2),_xlfn.ANCHORARRAY($A$2)=$E169))</f>
        <v>#VALUE!</v>
      </c>
    </row>
    <row r="170" spans="6:6" x14ac:dyDescent="0.25">
      <c r="F170" t="e" cm="1" vm="1">
        <f t="array" ref="F170">TRANSPOSE(_xlfn._xlws.FILTER(_xlfn.ANCHORARRAY($B$2),_xlfn.ANCHORARRAY($A$2)=$E170))</f>
        <v>#VALUE!</v>
      </c>
    </row>
    <row r="171" spans="6:6" x14ac:dyDescent="0.25">
      <c r="F171" t="e" cm="1" vm="1">
        <f t="array" ref="F171">TRANSPOSE(_xlfn._xlws.FILTER(_xlfn.ANCHORARRAY($B$2),_xlfn.ANCHORARRAY($A$2)=$E171))</f>
        <v>#VALUE!</v>
      </c>
    </row>
    <row r="172" spans="6:6" x14ac:dyDescent="0.25">
      <c r="F172" t="e" cm="1" vm="1">
        <f t="array" ref="F172">TRANSPOSE(_xlfn._xlws.FILTER(_xlfn.ANCHORARRAY($B$2),_xlfn.ANCHORARRAY($A$2)=$E172))</f>
        <v>#VALUE!</v>
      </c>
    </row>
    <row r="173" spans="6:6" x14ac:dyDescent="0.25">
      <c r="F173" t="e" cm="1" vm="1">
        <f t="array" ref="F173">TRANSPOSE(_xlfn._xlws.FILTER(_xlfn.ANCHORARRAY($B$2),_xlfn.ANCHORARRAY($A$2)=$E173))</f>
        <v>#VALUE!</v>
      </c>
    </row>
    <row r="174" spans="6:6" x14ac:dyDescent="0.25">
      <c r="F174" t="e" cm="1" vm="1">
        <f t="array" ref="F174">TRANSPOSE(_xlfn._xlws.FILTER(_xlfn.ANCHORARRAY($B$2),_xlfn.ANCHORARRAY($A$2)=$E174))</f>
        <v>#VALUE!</v>
      </c>
    </row>
    <row r="175" spans="6:6" x14ac:dyDescent="0.25">
      <c r="F175" t="e" cm="1" vm="1">
        <f t="array" ref="F175">TRANSPOSE(_xlfn._xlws.FILTER(_xlfn.ANCHORARRAY($B$2),_xlfn.ANCHORARRAY($A$2)=$E175))</f>
        <v>#VALUE!</v>
      </c>
    </row>
    <row r="176" spans="6:6" x14ac:dyDescent="0.25">
      <c r="F176" t="e" cm="1" vm="1">
        <f t="array" ref="F176">TRANSPOSE(_xlfn._xlws.FILTER(_xlfn.ANCHORARRAY($B$2),_xlfn.ANCHORARRAY($A$2)=$E176))</f>
        <v>#VALUE!</v>
      </c>
    </row>
    <row r="177" spans="6:6" x14ac:dyDescent="0.25">
      <c r="F177" t="e" cm="1" vm="1">
        <f t="array" ref="F177">TRANSPOSE(_xlfn._xlws.FILTER(_xlfn.ANCHORARRAY($B$2),_xlfn.ANCHORARRAY($A$2)=$E177))</f>
        <v>#VALUE!</v>
      </c>
    </row>
    <row r="178" spans="6:6" x14ac:dyDescent="0.25">
      <c r="F178" t="e" cm="1" vm="1">
        <f t="array" ref="F178">TRANSPOSE(_xlfn._xlws.FILTER(_xlfn.ANCHORARRAY($B$2),_xlfn.ANCHORARRAY($A$2)=$E178))</f>
        <v>#VALUE!</v>
      </c>
    </row>
    <row r="179" spans="6:6" x14ac:dyDescent="0.25">
      <c r="F179" t="e" cm="1" vm="1">
        <f t="array" ref="F179">TRANSPOSE(_xlfn._xlws.FILTER(_xlfn.ANCHORARRAY($B$2),_xlfn.ANCHORARRAY($A$2)=$E179))</f>
        <v>#VALUE!</v>
      </c>
    </row>
    <row r="180" spans="6:6" x14ac:dyDescent="0.25">
      <c r="F180" t="e" cm="1" vm="1">
        <f t="array" ref="F180">TRANSPOSE(_xlfn._xlws.FILTER(_xlfn.ANCHORARRAY($B$2),_xlfn.ANCHORARRAY($A$2)=$E180))</f>
        <v>#VALUE!</v>
      </c>
    </row>
    <row r="181" spans="6:6" x14ac:dyDescent="0.25">
      <c r="F181" t="e" cm="1" vm="1">
        <f t="array" ref="F181">TRANSPOSE(_xlfn._xlws.FILTER(_xlfn.ANCHORARRAY($B$2),_xlfn.ANCHORARRAY($A$2)=$E181))</f>
        <v>#VALUE!</v>
      </c>
    </row>
    <row r="182" spans="6:6" x14ac:dyDescent="0.25">
      <c r="F182" t="e" cm="1" vm="1">
        <f t="array" ref="F182">TRANSPOSE(_xlfn._xlws.FILTER(_xlfn.ANCHORARRAY($B$2),_xlfn.ANCHORARRAY($A$2)=$E182))</f>
        <v>#VALUE!</v>
      </c>
    </row>
    <row r="183" spans="6:6" x14ac:dyDescent="0.25">
      <c r="F183" t="e" cm="1" vm="1">
        <f t="array" ref="F183">TRANSPOSE(_xlfn._xlws.FILTER(_xlfn.ANCHORARRAY($B$2),_xlfn.ANCHORARRAY($A$2)=$E183))</f>
        <v>#VALUE!</v>
      </c>
    </row>
    <row r="184" spans="6:6" x14ac:dyDescent="0.25">
      <c r="F184" t="e" cm="1" vm="1">
        <f t="array" ref="F184">TRANSPOSE(_xlfn._xlws.FILTER(_xlfn.ANCHORARRAY($B$2),_xlfn.ANCHORARRAY($A$2)=$E184))</f>
        <v>#VALUE!</v>
      </c>
    </row>
    <row r="185" spans="6:6" x14ac:dyDescent="0.25">
      <c r="F185" t="e" cm="1" vm="1">
        <f t="array" ref="F185">TRANSPOSE(_xlfn._xlws.FILTER(_xlfn.ANCHORARRAY($B$2),_xlfn.ANCHORARRAY($A$2)=$E185))</f>
        <v>#VALUE!</v>
      </c>
    </row>
    <row r="186" spans="6:6" x14ac:dyDescent="0.25">
      <c r="F186" t="e" cm="1" vm="1">
        <f t="array" ref="F186">TRANSPOSE(_xlfn._xlws.FILTER(_xlfn.ANCHORARRAY($B$2),_xlfn.ANCHORARRAY($A$2)=$E186))</f>
        <v>#VALUE!</v>
      </c>
    </row>
    <row r="187" spans="6:6" x14ac:dyDescent="0.25">
      <c r="F187" t="e" cm="1" vm="1">
        <f t="array" ref="F187">TRANSPOSE(_xlfn._xlws.FILTER(_xlfn.ANCHORARRAY($B$2),_xlfn.ANCHORARRAY($A$2)=$E187))</f>
        <v>#VALUE!</v>
      </c>
    </row>
    <row r="188" spans="6:6" x14ac:dyDescent="0.25">
      <c r="F188" t="e" cm="1" vm="1">
        <f t="array" ref="F188">TRANSPOSE(_xlfn._xlws.FILTER(_xlfn.ANCHORARRAY($B$2),_xlfn.ANCHORARRAY($A$2)=$E188))</f>
        <v>#VALUE!</v>
      </c>
    </row>
    <row r="189" spans="6:6" x14ac:dyDescent="0.25">
      <c r="F189" t="e" cm="1" vm="1">
        <f t="array" ref="F189">TRANSPOSE(_xlfn._xlws.FILTER(_xlfn.ANCHORARRAY($B$2),_xlfn.ANCHORARRAY($A$2)=$E189))</f>
        <v>#VALUE!</v>
      </c>
    </row>
    <row r="190" spans="6:6" x14ac:dyDescent="0.25">
      <c r="F190" t="e" cm="1" vm="1">
        <f t="array" ref="F190">TRANSPOSE(_xlfn._xlws.FILTER(_xlfn.ANCHORARRAY($B$2),_xlfn.ANCHORARRAY($A$2)=$E190))</f>
        <v>#VALUE!</v>
      </c>
    </row>
    <row r="191" spans="6:6" x14ac:dyDescent="0.25">
      <c r="F191" t="e" cm="1" vm="1">
        <f t="array" ref="F191">TRANSPOSE(_xlfn._xlws.FILTER(_xlfn.ANCHORARRAY($B$2),_xlfn.ANCHORARRAY($A$2)=$E191))</f>
        <v>#VALUE!</v>
      </c>
    </row>
    <row r="192" spans="6:6" x14ac:dyDescent="0.25">
      <c r="F192" t="e" cm="1" vm="1">
        <f t="array" ref="F192">TRANSPOSE(_xlfn._xlws.FILTER(_xlfn.ANCHORARRAY($B$2),_xlfn.ANCHORARRAY($A$2)=$E192))</f>
        <v>#VALUE!</v>
      </c>
    </row>
    <row r="193" spans="6:6" x14ac:dyDescent="0.25">
      <c r="F193" t="e" cm="1" vm="1">
        <f t="array" ref="F193">TRANSPOSE(_xlfn._xlws.FILTER(_xlfn.ANCHORARRAY($B$2),_xlfn.ANCHORARRAY($A$2)=$E193))</f>
        <v>#VALUE!</v>
      </c>
    </row>
    <row r="194" spans="6:6" x14ac:dyDescent="0.25">
      <c r="F194" t="e" cm="1" vm="1">
        <f t="array" ref="F194">TRANSPOSE(_xlfn._xlws.FILTER(_xlfn.ANCHORARRAY($B$2),_xlfn.ANCHORARRAY($A$2)=$E194))</f>
        <v>#VALUE!</v>
      </c>
    </row>
    <row r="195" spans="6:6" x14ac:dyDescent="0.25">
      <c r="F195" t="e" cm="1" vm="1">
        <f t="array" ref="F195">TRANSPOSE(_xlfn._xlws.FILTER(_xlfn.ANCHORARRAY($B$2),_xlfn.ANCHORARRAY($A$2)=$E195))</f>
        <v>#VALUE!</v>
      </c>
    </row>
    <row r="196" spans="6:6" x14ac:dyDescent="0.25">
      <c r="F196" t="e" cm="1" vm="1">
        <f t="array" ref="F196">TRANSPOSE(_xlfn._xlws.FILTER(_xlfn.ANCHORARRAY($B$2),_xlfn.ANCHORARRAY($A$2)=$E196))</f>
        <v>#VALUE!</v>
      </c>
    </row>
    <row r="197" spans="6:6" x14ac:dyDescent="0.25">
      <c r="F197" t="e" cm="1" vm="1">
        <f t="array" ref="F197">TRANSPOSE(_xlfn._xlws.FILTER(_xlfn.ANCHORARRAY($B$2),_xlfn.ANCHORARRAY($A$2)=$E197))</f>
        <v>#VALUE!</v>
      </c>
    </row>
    <row r="198" spans="6:6" x14ac:dyDescent="0.25">
      <c r="F198" t="e" cm="1" vm="1">
        <f t="array" ref="F198">TRANSPOSE(_xlfn._xlws.FILTER(_xlfn.ANCHORARRAY($B$2),_xlfn.ANCHORARRAY($A$2)=$E198))</f>
        <v>#VALUE!</v>
      </c>
    </row>
    <row r="199" spans="6:6" x14ac:dyDescent="0.25">
      <c r="F199" t="e" cm="1" vm="1">
        <f t="array" ref="F199">TRANSPOSE(_xlfn._xlws.FILTER(_xlfn.ANCHORARRAY($B$2),_xlfn.ANCHORARRAY($A$2)=$E199))</f>
        <v>#VALUE!</v>
      </c>
    </row>
    <row r="200" spans="6:6" x14ac:dyDescent="0.25">
      <c r="F200" t="e" cm="1" vm="1">
        <f t="array" ref="F200">TRANSPOSE(_xlfn._xlws.FILTER(_xlfn.ANCHORARRAY($B$2),_xlfn.ANCHORARRAY($A$2)=$E200))</f>
        <v>#VALUE!</v>
      </c>
    </row>
    <row r="201" spans="6:6" x14ac:dyDescent="0.25">
      <c r="F201" t="e" cm="1" vm="1">
        <f t="array" ref="F201">TRANSPOSE(_xlfn._xlws.FILTER(_xlfn.ANCHORARRAY($B$2),_xlfn.ANCHORARRAY($A$2)=$E201))</f>
        <v>#VALUE!</v>
      </c>
    </row>
    <row r="202" spans="6:6" x14ac:dyDescent="0.25">
      <c r="F202" t="e" cm="1" vm="1">
        <f t="array" ref="F202">TRANSPOSE(_xlfn._xlws.FILTER(_xlfn.ANCHORARRAY($B$2),_xlfn.ANCHORARRAY($A$2)=$E202))</f>
        <v>#VALUE!</v>
      </c>
    </row>
    <row r="203" spans="6:6" x14ac:dyDescent="0.25">
      <c r="F203" t="e" cm="1" vm="1">
        <f t="array" ref="F203">TRANSPOSE(_xlfn._xlws.FILTER(_xlfn.ANCHORARRAY($B$2),_xlfn.ANCHORARRAY($A$2)=$E203))</f>
        <v>#VALUE!</v>
      </c>
    </row>
    <row r="204" spans="6:6" x14ac:dyDescent="0.25">
      <c r="F204" t="e" cm="1" vm="1">
        <f t="array" ref="F204">TRANSPOSE(_xlfn._xlws.FILTER(_xlfn.ANCHORARRAY($B$2),_xlfn.ANCHORARRAY($A$2)=$E204))</f>
        <v>#VALUE!</v>
      </c>
    </row>
    <row r="205" spans="6:6" x14ac:dyDescent="0.25">
      <c r="F205" t="e" cm="1" vm="1">
        <f t="array" ref="F205">TRANSPOSE(_xlfn._xlws.FILTER(_xlfn.ANCHORARRAY($B$2),_xlfn.ANCHORARRAY($A$2)=$E205))</f>
        <v>#VALUE!</v>
      </c>
    </row>
    <row r="206" spans="6:6" x14ac:dyDescent="0.25">
      <c r="F206" t="e" cm="1" vm="1">
        <f t="array" ref="F206">TRANSPOSE(_xlfn._xlws.FILTER(_xlfn.ANCHORARRAY($B$2),_xlfn.ANCHORARRAY($A$2)=$E206))</f>
        <v>#VALUE!</v>
      </c>
    </row>
    <row r="207" spans="6:6" x14ac:dyDescent="0.25">
      <c r="F207" t="e" cm="1" vm="1">
        <f t="array" ref="F207">TRANSPOSE(_xlfn._xlws.FILTER(_xlfn.ANCHORARRAY($B$2),_xlfn.ANCHORARRAY($A$2)=$E207))</f>
        <v>#VALUE!</v>
      </c>
    </row>
    <row r="208" spans="6:6" x14ac:dyDescent="0.25">
      <c r="F208" t="e" cm="1" vm="1">
        <f t="array" ref="F208">TRANSPOSE(_xlfn._xlws.FILTER(_xlfn.ANCHORARRAY($B$2),_xlfn.ANCHORARRAY($A$2)=$E208))</f>
        <v>#VALUE!</v>
      </c>
    </row>
    <row r="209" spans="6:6" x14ac:dyDescent="0.25">
      <c r="F209" t="e" cm="1" vm="1">
        <f t="array" ref="F209">TRANSPOSE(_xlfn._xlws.FILTER(_xlfn.ANCHORARRAY($B$2),_xlfn.ANCHORARRAY($A$2)=$E209))</f>
        <v>#VALUE!</v>
      </c>
    </row>
    <row r="210" spans="6:6" x14ac:dyDescent="0.25">
      <c r="F210" t="e" cm="1" vm="1">
        <f t="array" ref="F210">TRANSPOSE(_xlfn._xlws.FILTER(_xlfn.ANCHORARRAY($B$2),_xlfn.ANCHORARRAY($A$2)=$E210))</f>
        <v>#VALUE!</v>
      </c>
    </row>
    <row r="211" spans="6:6" x14ac:dyDescent="0.25">
      <c r="F211" t="e" cm="1" vm="1">
        <f t="array" ref="F211">TRANSPOSE(_xlfn._xlws.FILTER(_xlfn.ANCHORARRAY($B$2),_xlfn.ANCHORARRAY($A$2)=$E211))</f>
        <v>#VALUE!</v>
      </c>
    </row>
    <row r="212" spans="6:6" x14ac:dyDescent="0.25">
      <c r="F212" t="e" cm="1" vm="1">
        <f t="array" ref="F212">TRANSPOSE(_xlfn._xlws.FILTER(_xlfn.ANCHORARRAY($B$2),_xlfn.ANCHORARRAY($A$2)=$E212))</f>
        <v>#VALUE!</v>
      </c>
    </row>
    <row r="213" spans="6:6" x14ac:dyDescent="0.25">
      <c r="F213" t="e" cm="1" vm="1">
        <f t="array" ref="F213">TRANSPOSE(_xlfn._xlws.FILTER(_xlfn.ANCHORARRAY($B$2),_xlfn.ANCHORARRAY($A$2)=$E213))</f>
        <v>#VALUE!</v>
      </c>
    </row>
    <row r="214" spans="6:6" x14ac:dyDescent="0.25">
      <c r="F214" t="e" cm="1" vm="1">
        <f t="array" ref="F214">TRANSPOSE(_xlfn._xlws.FILTER(_xlfn.ANCHORARRAY($B$2),_xlfn.ANCHORARRAY($A$2)=$E214))</f>
        <v>#VALUE!</v>
      </c>
    </row>
    <row r="215" spans="6:6" x14ac:dyDescent="0.25">
      <c r="F215" t="e" cm="1" vm="1">
        <f t="array" ref="F215">TRANSPOSE(_xlfn._xlws.FILTER(_xlfn.ANCHORARRAY($B$2),_xlfn.ANCHORARRAY($A$2)=$E215))</f>
        <v>#VALUE!</v>
      </c>
    </row>
    <row r="216" spans="6:6" x14ac:dyDescent="0.25">
      <c r="F216" t="e" cm="1" vm="1">
        <f t="array" ref="F216">TRANSPOSE(_xlfn._xlws.FILTER(_xlfn.ANCHORARRAY($B$2),_xlfn.ANCHORARRAY($A$2)=$E216))</f>
        <v>#VALUE!</v>
      </c>
    </row>
    <row r="217" spans="6:6" x14ac:dyDescent="0.25">
      <c r="F217" t="e" cm="1" vm="1">
        <f t="array" ref="F217">TRANSPOSE(_xlfn._xlws.FILTER(_xlfn.ANCHORARRAY($B$2),_xlfn.ANCHORARRAY($A$2)=$E217))</f>
        <v>#VALUE!</v>
      </c>
    </row>
    <row r="218" spans="6:6" x14ac:dyDescent="0.25">
      <c r="F218" t="e" cm="1" vm="1">
        <f t="array" ref="F218">TRANSPOSE(_xlfn._xlws.FILTER(_xlfn.ANCHORARRAY($B$2),_xlfn.ANCHORARRAY($A$2)=$E218))</f>
        <v>#VALUE!</v>
      </c>
    </row>
    <row r="219" spans="6:6" x14ac:dyDescent="0.25">
      <c r="F219" t="e" cm="1" vm="1">
        <f t="array" ref="F219">TRANSPOSE(_xlfn._xlws.FILTER(_xlfn.ANCHORARRAY($B$2),_xlfn.ANCHORARRAY($A$2)=$E219))</f>
        <v>#VALUE!</v>
      </c>
    </row>
    <row r="220" spans="6:6" x14ac:dyDescent="0.25">
      <c r="F220" t="e" cm="1" vm="1">
        <f t="array" ref="F220">TRANSPOSE(_xlfn._xlws.FILTER(_xlfn.ANCHORARRAY($B$2),_xlfn.ANCHORARRAY($A$2)=$E220))</f>
        <v>#VALUE!</v>
      </c>
    </row>
    <row r="221" spans="6:6" x14ac:dyDescent="0.25">
      <c r="F221" t="e" cm="1" vm="1">
        <f t="array" ref="F221">TRANSPOSE(_xlfn._xlws.FILTER(_xlfn.ANCHORARRAY($B$2),_xlfn.ANCHORARRAY($A$2)=$E221))</f>
        <v>#VALUE!</v>
      </c>
    </row>
    <row r="222" spans="6:6" x14ac:dyDescent="0.25">
      <c r="F222" t="e" cm="1" vm="1">
        <f t="array" ref="F222">TRANSPOSE(_xlfn._xlws.FILTER(_xlfn.ANCHORARRAY($B$2),_xlfn.ANCHORARRAY($A$2)=$E222))</f>
        <v>#VALUE!</v>
      </c>
    </row>
    <row r="223" spans="6:6" x14ac:dyDescent="0.25">
      <c r="F223" t="e" cm="1" vm="1">
        <f t="array" ref="F223">TRANSPOSE(_xlfn._xlws.FILTER(_xlfn.ANCHORARRAY($B$2),_xlfn.ANCHORARRAY($A$2)=$E223))</f>
        <v>#VALUE!</v>
      </c>
    </row>
    <row r="224" spans="6:6" x14ac:dyDescent="0.25">
      <c r="F224" t="e" cm="1" vm="1">
        <f t="array" ref="F224">TRANSPOSE(_xlfn._xlws.FILTER(_xlfn.ANCHORARRAY($B$2),_xlfn.ANCHORARRAY($A$2)=$E224))</f>
        <v>#VALUE!</v>
      </c>
    </row>
    <row r="225" spans="6:6" x14ac:dyDescent="0.25">
      <c r="F225" t="e" cm="1" vm="1">
        <f t="array" ref="F225">TRANSPOSE(_xlfn._xlws.FILTER(_xlfn.ANCHORARRAY($B$2),_xlfn.ANCHORARRAY($A$2)=$E225))</f>
        <v>#VALUE!</v>
      </c>
    </row>
    <row r="226" spans="6:6" x14ac:dyDescent="0.25">
      <c r="F226" t="e" cm="1" vm="1">
        <f t="array" ref="F226">TRANSPOSE(_xlfn._xlws.FILTER(_xlfn.ANCHORARRAY($B$2),_xlfn.ANCHORARRAY($A$2)=$E226))</f>
        <v>#VALUE!</v>
      </c>
    </row>
    <row r="227" spans="6:6" x14ac:dyDescent="0.25">
      <c r="F227" t="e" cm="1" vm="1">
        <f t="array" ref="F227">TRANSPOSE(_xlfn._xlws.FILTER(_xlfn.ANCHORARRAY($B$2),_xlfn.ANCHORARRAY($A$2)=$E227))</f>
        <v>#VALUE!</v>
      </c>
    </row>
    <row r="228" spans="6:6" x14ac:dyDescent="0.25">
      <c r="F228" t="e" cm="1" vm="1">
        <f t="array" ref="F228">TRANSPOSE(_xlfn._xlws.FILTER(_xlfn.ANCHORARRAY($B$2),_xlfn.ANCHORARRAY($A$2)=$E228))</f>
        <v>#VALUE!</v>
      </c>
    </row>
    <row r="229" spans="6:6" x14ac:dyDescent="0.25">
      <c r="F229" t="e" cm="1" vm="1">
        <f t="array" ref="F229">TRANSPOSE(_xlfn._xlws.FILTER(_xlfn.ANCHORARRAY($B$2),_xlfn.ANCHORARRAY($A$2)=$E229))</f>
        <v>#VALUE!</v>
      </c>
    </row>
    <row r="230" spans="6:6" x14ac:dyDescent="0.25">
      <c r="F230" t="e" cm="1" vm="1">
        <f t="array" ref="F230">TRANSPOSE(_xlfn._xlws.FILTER(_xlfn.ANCHORARRAY($B$2),_xlfn.ANCHORARRAY($A$2)=$E230))</f>
        <v>#VALUE!</v>
      </c>
    </row>
    <row r="231" spans="6:6" x14ac:dyDescent="0.25">
      <c r="F231" t="e" cm="1" vm="1">
        <f t="array" ref="F231">TRANSPOSE(_xlfn._xlws.FILTER(_xlfn.ANCHORARRAY($B$2),_xlfn.ANCHORARRAY($A$2)=$E231))</f>
        <v>#VALUE!</v>
      </c>
    </row>
    <row r="232" spans="6:6" x14ac:dyDescent="0.25">
      <c r="F232" t="e" cm="1" vm="1">
        <f t="array" ref="F232">TRANSPOSE(_xlfn._xlws.FILTER(_xlfn.ANCHORARRAY($B$2),_xlfn.ANCHORARRAY($A$2)=$E232))</f>
        <v>#VALUE!</v>
      </c>
    </row>
    <row r="233" spans="6:6" x14ac:dyDescent="0.25">
      <c r="F233" t="e" cm="1" vm="1">
        <f t="array" ref="F233">TRANSPOSE(_xlfn._xlws.FILTER(_xlfn.ANCHORARRAY($B$2),_xlfn.ANCHORARRAY($A$2)=$E233))</f>
        <v>#VALUE!</v>
      </c>
    </row>
    <row r="234" spans="6:6" x14ac:dyDescent="0.25">
      <c r="F234" t="e" cm="1" vm="1">
        <f t="array" ref="F234">TRANSPOSE(_xlfn._xlws.FILTER(_xlfn.ANCHORARRAY($B$2),_xlfn.ANCHORARRAY($A$2)=$E234))</f>
        <v>#VALUE!</v>
      </c>
    </row>
    <row r="235" spans="6:6" x14ac:dyDescent="0.25">
      <c r="F235" t="e" cm="1" vm="1">
        <f t="array" ref="F235">TRANSPOSE(_xlfn._xlws.FILTER(_xlfn.ANCHORARRAY($B$2),_xlfn.ANCHORARRAY($A$2)=$E235))</f>
        <v>#VALUE!</v>
      </c>
    </row>
    <row r="236" spans="6:6" x14ac:dyDescent="0.25">
      <c r="F236" t="e" cm="1" vm="1">
        <f t="array" ref="F236">TRANSPOSE(_xlfn._xlws.FILTER(_xlfn.ANCHORARRAY($B$2),_xlfn.ANCHORARRAY($A$2)=$E236))</f>
        <v>#VALUE!</v>
      </c>
    </row>
    <row r="237" spans="6:6" x14ac:dyDescent="0.25">
      <c r="F237" t="e" cm="1" vm="1">
        <f t="array" ref="F237">TRANSPOSE(_xlfn._xlws.FILTER(_xlfn.ANCHORARRAY($B$2),_xlfn.ANCHORARRAY($A$2)=$E237))</f>
        <v>#VALUE!</v>
      </c>
    </row>
    <row r="238" spans="6:6" x14ac:dyDescent="0.25">
      <c r="F238" t="e" cm="1" vm="1">
        <f t="array" ref="F238">TRANSPOSE(_xlfn._xlws.FILTER(_xlfn.ANCHORARRAY($B$2),_xlfn.ANCHORARRAY($A$2)=$E238))</f>
        <v>#VALUE!</v>
      </c>
    </row>
    <row r="239" spans="6:6" x14ac:dyDescent="0.25">
      <c r="F239" t="e" cm="1" vm="1">
        <f t="array" ref="F239">TRANSPOSE(_xlfn._xlws.FILTER(_xlfn.ANCHORARRAY($B$2),_xlfn.ANCHORARRAY($A$2)=$E239))</f>
        <v>#VALUE!</v>
      </c>
    </row>
    <row r="240" spans="6:6" x14ac:dyDescent="0.25">
      <c r="F240" t="e" cm="1" vm="1">
        <f t="array" ref="F240">TRANSPOSE(_xlfn._xlws.FILTER(_xlfn.ANCHORARRAY($B$2),_xlfn.ANCHORARRAY($A$2)=$E240))</f>
        <v>#VALUE!</v>
      </c>
    </row>
    <row r="241" spans="6:6" x14ac:dyDescent="0.25">
      <c r="F241" t="e" cm="1" vm="1">
        <f t="array" ref="F241">TRANSPOSE(_xlfn._xlws.FILTER(_xlfn.ANCHORARRAY($B$2),_xlfn.ANCHORARRAY($A$2)=$E241))</f>
        <v>#VALUE!</v>
      </c>
    </row>
    <row r="242" spans="6:6" x14ac:dyDescent="0.25">
      <c r="F242" t="e" cm="1" vm="1">
        <f t="array" ref="F242">TRANSPOSE(_xlfn._xlws.FILTER(_xlfn.ANCHORARRAY($B$2),_xlfn.ANCHORARRAY($A$2)=$E242))</f>
        <v>#VALUE!</v>
      </c>
    </row>
    <row r="243" spans="6:6" x14ac:dyDescent="0.25">
      <c r="F243" t="e" cm="1" vm="1">
        <f t="array" ref="F243">TRANSPOSE(_xlfn._xlws.FILTER(_xlfn.ANCHORARRAY($B$2),_xlfn.ANCHORARRAY($A$2)=$E243))</f>
        <v>#VALUE!</v>
      </c>
    </row>
    <row r="244" spans="6:6" x14ac:dyDescent="0.25">
      <c r="F244" t="e" cm="1" vm="1">
        <f t="array" ref="F244">TRANSPOSE(_xlfn._xlws.FILTER(_xlfn.ANCHORARRAY($B$2),_xlfn.ANCHORARRAY($A$2)=$E244))</f>
        <v>#VALUE!</v>
      </c>
    </row>
    <row r="245" spans="6:6" x14ac:dyDescent="0.25">
      <c r="F245" t="e" cm="1" vm="1">
        <f t="array" ref="F245">TRANSPOSE(_xlfn._xlws.FILTER(_xlfn.ANCHORARRAY($B$2),_xlfn.ANCHORARRAY($A$2)=$E245))</f>
        <v>#VALUE!</v>
      </c>
    </row>
    <row r="246" spans="6:6" x14ac:dyDescent="0.25">
      <c r="F246" t="e" cm="1" vm="1">
        <f t="array" ref="F246">TRANSPOSE(_xlfn._xlws.FILTER(_xlfn.ANCHORARRAY($B$2),_xlfn.ANCHORARRAY($A$2)=$E246))</f>
        <v>#VALUE!</v>
      </c>
    </row>
    <row r="247" spans="6:6" x14ac:dyDescent="0.25">
      <c r="F247" t="e" cm="1" vm="1">
        <f t="array" ref="F247">TRANSPOSE(_xlfn._xlws.FILTER(_xlfn.ANCHORARRAY($B$2),_xlfn.ANCHORARRAY($A$2)=$E247))</f>
        <v>#VALUE!</v>
      </c>
    </row>
    <row r="248" spans="6:6" x14ac:dyDescent="0.25">
      <c r="F248" t="e" cm="1" vm="1">
        <f t="array" ref="F248">TRANSPOSE(_xlfn._xlws.FILTER(_xlfn.ANCHORARRAY($B$2),_xlfn.ANCHORARRAY($A$2)=$E248))</f>
        <v>#VALUE!</v>
      </c>
    </row>
    <row r="249" spans="6:6" x14ac:dyDescent="0.25">
      <c r="F249" t="e" cm="1" vm="1">
        <f t="array" ref="F249">TRANSPOSE(_xlfn._xlws.FILTER(_xlfn.ANCHORARRAY($B$2),_xlfn.ANCHORARRAY($A$2)=$E249))</f>
        <v>#VALUE!</v>
      </c>
    </row>
    <row r="250" spans="6:6" x14ac:dyDescent="0.25">
      <c r="F250" t="e" cm="1" vm="1">
        <f t="array" ref="F250">TRANSPOSE(_xlfn._xlws.FILTER(_xlfn.ANCHORARRAY($B$2),_xlfn.ANCHORARRAY($A$2)=$E250))</f>
        <v>#VALUE!</v>
      </c>
    </row>
    <row r="251" spans="6:6" x14ac:dyDescent="0.25">
      <c r="F251" t="e" cm="1" vm="1">
        <f t="array" ref="F251">TRANSPOSE(_xlfn._xlws.FILTER(_xlfn.ANCHORARRAY($B$2),_xlfn.ANCHORARRAY($A$2)=$E251))</f>
        <v>#VALUE!</v>
      </c>
    </row>
    <row r="252" spans="6:6" x14ac:dyDescent="0.25">
      <c r="F252" t="e" cm="1" vm="1">
        <f t="array" ref="F252">TRANSPOSE(_xlfn._xlws.FILTER(_xlfn.ANCHORARRAY($B$2),_xlfn.ANCHORARRAY($A$2)=$E252))</f>
        <v>#VALUE!</v>
      </c>
    </row>
    <row r="253" spans="6:6" x14ac:dyDescent="0.25">
      <c r="F253" t="e" cm="1" vm="1">
        <f t="array" ref="F253">TRANSPOSE(_xlfn._xlws.FILTER(_xlfn.ANCHORARRAY($B$2),_xlfn.ANCHORARRAY($A$2)=$E253))</f>
        <v>#VALUE!</v>
      </c>
    </row>
    <row r="254" spans="6:6" x14ac:dyDescent="0.25">
      <c r="F254" t="e" cm="1" vm="1">
        <f t="array" ref="F254">TRANSPOSE(_xlfn._xlws.FILTER(_xlfn.ANCHORARRAY($B$2),_xlfn.ANCHORARRAY($A$2)=$E254))</f>
        <v>#VALUE!</v>
      </c>
    </row>
    <row r="255" spans="6:6" x14ac:dyDescent="0.25">
      <c r="F255" t="e" cm="1" vm="1">
        <f t="array" ref="F255">TRANSPOSE(_xlfn._xlws.FILTER(_xlfn.ANCHORARRAY($B$2),_xlfn.ANCHORARRAY($A$2)=$E255))</f>
        <v>#VALUE!</v>
      </c>
    </row>
    <row r="256" spans="6:6" x14ac:dyDescent="0.25">
      <c r="F256" t="e" cm="1" vm="1">
        <f t="array" ref="F256">TRANSPOSE(_xlfn._xlws.FILTER(_xlfn.ANCHORARRAY($B$2),_xlfn.ANCHORARRAY($A$2)=$E256))</f>
        <v>#VALUE!</v>
      </c>
    </row>
    <row r="257" spans="6:6" x14ac:dyDescent="0.25">
      <c r="F257" t="e" cm="1" vm="1">
        <f t="array" ref="F257">TRANSPOSE(_xlfn._xlws.FILTER(_xlfn.ANCHORARRAY($B$2),_xlfn.ANCHORARRAY($A$2)=$E257))</f>
        <v>#VALUE!</v>
      </c>
    </row>
    <row r="258" spans="6:6" x14ac:dyDescent="0.25">
      <c r="F258" t="e" cm="1" vm="1">
        <f t="array" ref="F258">TRANSPOSE(_xlfn._xlws.FILTER(_xlfn.ANCHORARRAY($B$2),_xlfn.ANCHORARRAY($A$2)=$E258))</f>
        <v>#VALUE!</v>
      </c>
    </row>
    <row r="259" spans="6:6" x14ac:dyDescent="0.25">
      <c r="F259" t="e" cm="1" vm="1">
        <f t="array" ref="F259">TRANSPOSE(_xlfn._xlws.FILTER(_xlfn.ANCHORARRAY($B$2),_xlfn.ANCHORARRAY($A$2)=$E259))</f>
        <v>#VALUE!</v>
      </c>
    </row>
    <row r="260" spans="6:6" x14ac:dyDescent="0.25">
      <c r="F260" t="e" cm="1" vm="1">
        <f t="array" ref="F260">TRANSPOSE(_xlfn._xlws.FILTER(_xlfn.ANCHORARRAY($B$2),_xlfn.ANCHORARRAY($A$2)=$E260))</f>
        <v>#VALUE!</v>
      </c>
    </row>
    <row r="261" spans="6:6" x14ac:dyDescent="0.25">
      <c r="F261" t="e" cm="1" vm="1">
        <f t="array" ref="F261">TRANSPOSE(_xlfn._xlws.FILTER(_xlfn.ANCHORARRAY($B$2),_xlfn.ANCHORARRAY($A$2)=$E261))</f>
        <v>#VALUE!</v>
      </c>
    </row>
    <row r="262" spans="6:6" x14ac:dyDescent="0.25">
      <c r="F262" t="e" cm="1" vm="1">
        <f t="array" ref="F262">TRANSPOSE(_xlfn._xlws.FILTER(_xlfn.ANCHORARRAY($B$2),_xlfn.ANCHORARRAY($A$2)=$E262))</f>
        <v>#VALUE!</v>
      </c>
    </row>
    <row r="263" spans="6:6" x14ac:dyDescent="0.25">
      <c r="F263" t="e" cm="1" vm="1">
        <f t="array" ref="F263">TRANSPOSE(_xlfn._xlws.FILTER(_xlfn.ANCHORARRAY($B$2),_xlfn.ANCHORARRAY($A$2)=$E263))</f>
        <v>#VALUE!</v>
      </c>
    </row>
    <row r="264" spans="6:6" x14ac:dyDescent="0.25">
      <c r="F264" t="e" cm="1" vm="1">
        <f t="array" ref="F264">TRANSPOSE(_xlfn._xlws.FILTER(_xlfn.ANCHORARRAY($B$2),_xlfn.ANCHORARRAY($A$2)=$E264))</f>
        <v>#VALUE!</v>
      </c>
    </row>
    <row r="265" spans="6:6" x14ac:dyDescent="0.25">
      <c r="F265" t="e" cm="1" vm="1">
        <f t="array" ref="F265">TRANSPOSE(_xlfn._xlws.FILTER(_xlfn.ANCHORARRAY($B$2),_xlfn.ANCHORARRAY($A$2)=$E265))</f>
        <v>#VALUE!</v>
      </c>
    </row>
    <row r="266" spans="6:6" x14ac:dyDescent="0.25">
      <c r="F266" t="e" cm="1" vm="1">
        <f t="array" ref="F266">TRANSPOSE(_xlfn._xlws.FILTER(_xlfn.ANCHORARRAY($B$2),_xlfn.ANCHORARRAY($A$2)=$E266))</f>
        <v>#VALUE!</v>
      </c>
    </row>
    <row r="267" spans="6:6" x14ac:dyDescent="0.25">
      <c r="F267" t="e" cm="1" vm="1">
        <f t="array" ref="F267">TRANSPOSE(_xlfn._xlws.FILTER(_xlfn.ANCHORARRAY($B$2),_xlfn.ANCHORARRAY($A$2)=$E267))</f>
        <v>#VALUE!</v>
      </c>
    </row>
    <row r="268" spans="6:6" x14ac:dyDescent="0.25">
      <c r="F268" t="e" cm="1" vm="1">
        <f t="array" ref="F268">TRANSPOSE(_xlfn._xlws.FILTER(_xlfn.ANCHORARRAY($B$2),_xlfn.ANCHORARRAY($A$2)=$E268))</f>
        <v>#VALUE!</v>
      </c>
    </row>
    <row r="269" spans="6:6" x14ac:dyDescent="0.25">
      <c r="F269" t="e" cm="1" vm="1">
        <f t="array" ref="F269">TRANSPOSE(_xlfn._xlws.FILTER(_xlfn.ANCHORARRAY($B$2),_xlfn.ANCHORARRAY($A$2)=$E269))</f>
        <v>#VALUE!</v>
      </c>
    </row>
    <row r="270" spans="6:6" x14ac:dyDescent="0.25">
      <c r="F270" t="e" cm="1" vm="1">
        <f t="array" ref="F270">TRANSPOSE(_xlfn._xlws.FILTER(_xlfn.ANCHORARRAY($B$2),_xlfn.ANCHORARRAY($A$2)=$E270))</f>
        <v>#VALUE!</v>
      </c>
    </row>
    <row r="271" spans="6:6" x14ac:dyDescent="0.25">
      <c r="F271" t="e" cm="1" vm="1">
        <f t="array" ref="F271">TRANSPOSE(_xlfn._xlws.FILTER(_xlfn.ANCHORARRAY($B$2),_xlfn.ANCHORARRAY($A$2)=$E271))</f>
        <v>#VALUE!</v>
      </c>
    </row>
    <row r="272" spans="6:6" x14ac:dyDescent="0.25">
      <c r="F272" t="e" cm="1" vm="1">
        <f t="array" ref="F272">TRANSPOSE(_xlfn._xlws.FILTER(_xlfn.ANCHORARRAY($B$2),_xlfn.ANCHORARRAY($A$2)=$E272))</f>
        <v>#VALUE!</v>
      </c>
    </row>
    <row r="273" spans="6:6" x14ac:dyDescent="0.25">
      <c r="F273" t="e" cm="1" vm="1">
        <f t="array" ref="F273">TRANSPOSE(_xlfn._xlws.FILTER(_xlfn.ANCHORARRAY($B$2),_xlfn.ANCHORARRAY($A$2)=$E273))</f>
        <v>#VALUE!</v>
      </c>
    </row>
    <row r="274" spans="6:6" x14ac:dyDescent="0.25">
      <c r="F274" t="e" cm="1" vm="1">
        <f t="array" ref="F274">TRANSPOSE(_xlfn._xlws.FILTER(_xlfn.ANCHORARRAY($B$2),_xlfn.ANCHORARRAY($A$2)=$E274))</f>
        <v>#VALUE!</v>
      </c>
    </row>
    <row r="275" spans="6:6" x14ac:dyDescent="0.25">
      <c r="F275" t="e" cm="1" vm="1">
        <f t="array" ref="F275">TRANSPOSE(_xlfn._xlws.FILTER(_xlfn.ANCHORARRAY($B$2),_xlfn.ANCHORARRAY($A$2)=$E275))</f>
        <v>#VALUE!</v>
      </c>
    </row>
    <row r="276" spans="6:6" x14ac:dyDescent="0.25">
      <c r="F276" t="e" cm="1" vm="1">
        <f t="array" ref="F276">TRANSPOSE(_xlfn._xlws.FILTER(_xlfn.ANCHORARRAY($B$2),_xlfn.ANCHORARRAY($A$2)=$E276))</f>
        <v>#VALUE!</v>
      </c>
    </row>
    <row r="277" spans="6:6" x14ac:dyDescent="0.25">
      <c r="F277" t="e" cm="1" vm="1">
        <f t="array" ref="F277">TRANSPOSE(_xlfn._xlws.FILTER(_xlfn.ANCHORARRAY($B$2),_xlfn.ANCHORARRAY($A$2)=$E277))</f>
        <v>#VALUE!</v>
      </c>
    </row>
    <row r="278" spans="6:6" x14ac:dyDescent="0.25">
      <c r="F278" t="e" cm="1" vm="1">
        <f t="array" ref="F278">TRANSPOSE(_xlfn._xlws.FILTER(_xlfn.ANCHORARRAY($B$2),_xlfn.ANCHORARRAY($A$2)=$E278))</f>
        <v>#VALUE!</v>
      </c>
    </row>
    <row r="279" spans="6:6" x14ac:dyDescent="0.25">
      <c r="F279" t="e" cm="1" vm="1">
        <f t="array" ref="F279">TRANSPOSE(_xlfn._xlws.FILTER(_xlfn.ANCHORARRAY($B$2),_xlfn.ANCHORARRAY($A$2)=$E279))</f>
        <v>#VALUE!</v>
      </c>
    </row>
    <row r="280" spans="6:6" x14ac:dyDescent="0.25">
      <c r="F280" t="e" cm="1" vm="1">
        <f t="array" ref="F280">TRANSPOSE(_xlfn._xlws.FILTER(_xlfn.ANCHORARRAY($B$2),_xlfn.ANCHORARRAY($A$2)=$E280))</f>
        <v>#VALUE!</v>
      </c>
    </row>
    <row r="281" spans="6:6" x14ac:dyDescent="0.25">
      <c r="F281" t="e" cm="1" vm="1">
        <f t="array" ref="F281">TRANSPOSE(_xlfn._xlws.FILTER(_xlfn.ANCHORARRAY($B$2),_xlfn.ANCHORARRAY($A$2)=$E281))</f>
        <v>#VALUE!</v>
      </c>
    </row>
    <row r="282" spans="6:6" x14ac:dyDescent="0.25">
      <c r="F282" t="e" cm="1" vm="1">
        <f t="array" ref="F282">TRANSPOSE(_xlfn._xlws.FILTER(_xlfn.ANCHORARRAY($B$2),_xlfn.ANCHORARRAY($A$2)=$E282))</f>
        <v>#VALUE!</v>
      </c>
    </row>
    <row r="283" spans="6:6" x14ac:dyDescent="0.25">
      <c r="F283" t="e" cm="1" vm="1">
        <f t="array" ref="F283">TRANSPOSE(_xlfn._xlws.FILTER(_xlfn.ANCHORARRAY($B$2),_xlfn.ANCHORARRAY($A$2)=$E283))</f>
        <v>#VALUE!</v>
      </c>
    </row>
    <row r="284" spans="6:6" x14ac:dyDescent="0.25">
      <c r="F284" t="e" cm="1" vm="1">
        <f t="array" ref="F284">TRANSPOSE(_xlfn._xlws.FILTER(_xlfn.ANCHORARRAY($B$2),_xlfn.ANCHORARRAY($A$2)=$E284))</f>
        <v>#VALUE!</v>
      </c>
    </row>
    <row r="285" spans="6:6" x14ac:dyDescent="0.25">
      <c r="F285" t="e" cm="1" vm="1">
        <f t="array" ref="F285">TRANSPOSE(_xlfn._xlws.FILTER(_xlfn.ANCHORARRAY($B$2),_xlfn.ANCHORARRAY($A$2)=$E285))</f>
        <v>#VALUE!</v>
      </c>
    </row>
    <row r="286" spans="6:6" x14ac:dyDescent="0.25">
      <c r="F286" t="e" cm="1" vm="1">
        <f t="array" ref="F286">TRANSPOSE(_xlfn._xlws.FILTER(_xlfn.ANCHORARRAY($B$2),_xlfn.ANCHORARRAY($A$2)=$E286))</f>
        <v>#VALUE!</v>
      </c>
    </row>
    <row r="287" spans="6:6" x14ac:dyDescent="0.25">
      <c r="F287" t="e" cm="1" vm="1">
        <f t="array" ref="F287">TRANSPOSE(_xlfn._xlws.FILTER(_xlfn.ANCHORARRAY($B$2),_xlfn.ANCHORARRAY($A$2)=$E287))</f>
        <v>#VALUE!</v>
      </c>
    </row>
    <row r="288" spans="6:6" x14ac:dyDescent="0.25">
      <c r="F288" t="e" cm="1" vm="1">
        <f t="array" ref="F288">TRANSPOSE(_xlfn._xlws.FILTER(_xlfn.ANCHORARRAY($B$2),_xlfn.ANCHORARRAY($A$2)=$E288))</f>
        <v>#VALUE!</v>
      </c>
    </row>
    <row r="289" spans="6:6" x14ac:dyDescent="0.25">
      <c r="F289" t="e" cm="1" vm="1">
        <f t="array" ref="F289">TRANSPOSE(_xlfn._xlws.FILTER(_xlfn.ANCHORARRAY($B$2),_xlfn.ANCHORARRAY($A$2)=$E289))</f>
        <v>#VALUE!</v>
      </c>
    </row>
    <row r="290" spans="6:6" x14ac:dyDescent="0.25">
      <c r="F290" t="e" cm="1" vm="1">
        <f t="array" ref="F290">TRANSPOSE(_xlfn._xlws.FILTER(_xlfn.ANCHORARRAY($B$2),_xlfn.ANCHORARRAY($A$2)=$E290))</f>
        <v>#VALUE!</v>
      </c>
    </row>
    <row r="291" spans="6:6" x14ac:dyDescent="0.25">
      <c r="F291" t="e" cm="1" vm="1">
        <f t="array" ref="F291">TRANSPOSE(_xlfn._xlws.FILTER(_xlfn.ANCHORARRAY($B$2),_xlfn.ANCHORARRAY($A$2)=$E291))</f>
        <v>#VALUE!</v>
      </c>
    </row>
    <row r="292" spans="6:6" x14ac:dyDescent="0.25">
      <c r="F292" t="e" cm="1" vm="1">
        <f t="array" ref="F292">TRANSPOSE(_xlfn._xlws.FILTER(_xlfn.ANCHORARRAY($B$2),_xlfn.ANCHORARRAY($A$2)=$E292))</f>
        <v>#VALUE!</v>
      </c>
    </row>
    <row r="293" spans="6:6" x14ac:dyDescent="0.25">
      <c r="F293" t="e" cm="1" vm="1">
        <f t="array" ref="F293">TRANSPOSE(_xlfn._xlws.FILTER(_xlfn.ANCHORARRAY($B$2),_xlfn.ANCHORARRAY($A$2)=$E293))</f>
        <v>#VALUE!</v>
      </c>
    </row>
    <row r="294" spans="6:6" x14ac:dyDescent="0.25">
      <c r="F294" t="e" cm="1" vm="1">
        <f t="array" ref="F294">TRANSPOSE(_xlfn._xlws.FILTER(_xlfn.ANCHORARRAY($B$2),_xlfn.ANCHORARRAY($A$2)=$E294))</f>
        <v>#VALUE!</v>
      </c>
    </row>
    <row r="295" spans="6:6" x14ac:dyDescent="0.25">
      <c r="F295" t="e" cm="1" vm="1">
        <f t="array" ref="F295">TRANSPOSE(_xlfn._xlws.FILTER(_xlfn.ANCHORARRAY($B$2),_xlfn.ANCHORARRAY($A$2)=$E295))</f>
        <v>#VALUE!</v>
      </c>
    </row>
    <row r="296" spans="6:6" x14ac:dyDescent="0.25">
      <c r="F296" t="e" cm="1" vm="1">
        <f t="array" ref="F296">TRANSPOSE(_xlfn._xlws.FILTER(_xlfn.ANCHORARRAY($B$2),_xlfn.ANCHORARRAY($A$2)=$E296))</f>
        <v>#VALUE!</v>
      </c>
    </row>
    <row r="297" spans="6:6" x14ac:dyDescent="0.25">
      <c r="F297" t="e" cm="1" vm="1">
        <f t="array" ref="F297">TRANSPOSE(_xlfn._xlws.FILTER(_xlfn.ANCHORARRAY($B$2),_xlfn.ANCHORARRAY($A$2)=$E297))</f>
        <v>#VALUE!</v>
      </c>
    </row>
    <row r="298" spans="6:6" x14ac:dyDescent="0.25">
      <c r="F298" t="e" cm="1" vm="1">
        <f t="array" ref="F298">TRANSPOSE(_xlfn._xlws.FILTER(_xlfn.ANCHORARRAY($B$2),_xlfn.ANCHORARRAY($A$2)=$E298))</f>
        <v>#VALUE!</v>
      </c>
    </row>
    <row r="299" spans="6:6" x14ac:dyDescent="0.25">
      <c r="F299" t="e" cm="1" vm="1">
        <f t="array" ref="F299">TRANSPOSE(_xlfn._xlws.FILTER(_xlfn.ANCHORARRAY($B$2),_xlfn.ANCHORARRAY($A$2)=$E299))</f>
        <v>#VALUE!</v>
      </c>
    </row>
    <row r="300" spans="6:6" x14ac:dyDescent="0.25">
      <c r="F300" t="e" cm="1" vm="1">
        <f t="array" ref="F300">TRANSPOSE(_xlfn._xlws.FILTER(_xlfn.ANCHORARRAY($B$2),_xlfn.ANCHORARRAY($A$2)=$E300))</f>
        <v>#VALUE!</v>
      </c>
    </row>
    <row r="301" spans="6:6" x14ac:dyDescent="0.25">
      <c r="F301" t="e" cm="1" vm="1">
        <f t="array" ref="F301">TRANSPOSE(_xlfn._xlws.FILTER(_xlfn.ANCHORARRAY($B$2),_xlfn.ANCHORARRAY($A$2)=$E301))</f>
        <v>#VALUE!</v>
      </c>
    </row>
    <row r="302" spans="6:6" x14ac:dyDescent="0.25">
      <c r="F302" t="e" cm="1" vm="1">
        <f t="array" ref="F302">TRANSPOSE(_xlfn._xlws.FILTER(_xlfn.ANCHORARRAY($B$2),_xlfn.ANCHORARRAY($A$2)=$E302))</f>
        <v>#VALUE!</v>
      </c>
    </row>
    <row r="303" spans="6:6" x14ac:dyDescent="0.25">
      <c r="F303" t="e" cm="1" vm="1">
        <f t="array" ref="F303">TRANSPOSE(_xlfn._xlws.FILTER(_xlfn.ANCHORARRAY($B$2),_xlfn.ANCHORARRAY($A$2)=$E303))</f>
        <v>#VALUE!</v>
      </c>
    </row>
    <row r="304" spans="6:6" x14ac:dyDescent="0.25">
      <c r="F304" t="e" cm="1" vm="1">
        <f t="array" ref="F304">TRANSPOSE(_xlfn._xlws.FILTER(_xlfn.ANCHORARRAY($B$2),_xlfn.ANCHORARRAY($A$2)=$E304))</f>
        <v>#VALUE!</v>
      </c>
    </row>
    <row r="305" spans="6:6" x14ac:dyDescent="0.25">
      <c r="F305" t="e" cm="1" vm="1">
        <f t="array" ref="F305">TRANSPOSE(_xlfn._xlws.FILTER(_xlfn.ANCHORARRAY($B$2),_xlfn.ANCHORARRAY($A$2)=$E305))</f>
        <v>#VALUE!</v>
      </c>
    </row>
    <row r="306" spans="6:6" x14ac:dyDescent="0.25">
      <c r="F306" t="e" cm="1" vm="1">
        <f t="array" ref="F306">TRANSPOSE(_xlfn._xlws.FILTER(_xlfn.ANCHORARRAY($B$2),_xlfn.ANCHORARRAY($A$2)=$E306))</f>
        <v>#VALUE!</v>
      </c>
    </row>
    <row r="307" spans="6:6" x14ac:dyDescent="0.25">
      <c r="F307" t="e" cm="1" vm="1">
        <f t="array" ref="F307">TRANSPOSE(_xlfn._xlws.FILTER(_xlfn.ANCHORARRAY($B$2),_xlfn.ANCHORARRAY($A$2)=$E307))</f>
        <v>#VALUE!</v>
      </c>
    </row>
    <row r="308" spans="6:6" x14ac:dyDescent="0.25">
      <c r="F308" t="e" cm="1" vm="1">
        <f t="array" ref="F308">TRANSPOSE(_xlfn._xlws.FILTER(_xlfn.ANCHORARRAY($B$2),_xlfn.ANCHORARRAY($A$2)=$E308))</f>
        <v>#VALUE!</v>
      </c>
    </row>
    <row r="309" spans="6:6" x14ac:dyDescent="0.25">
      <c r="F309" t="e" cm="1" vm="1">
        <f t="array" ref="F309">TRANSPOSE(_xlfn._xlws.FILTER(_xlfn.ANCHORARRAY($B$2),_xlfn.ANCHORARRAY($A$2)=$E309))</f>
        <v>#VALUE!</v>
      </c>
    </row>
    <row r="310" spans="6:6" x14ac:dyDescent="0.25">
      <c r="F310" t="e" cm="1" vm="1">
        <f t="array" ref="F310">TRANSPOSE(_xlfn._xlws.FILTER(_xlfn.ANCHORARRAY($B$2),_xlfn.ANCHORARRAY($A$2)=$E310))</f>
        <v>#VALUE!</v>
      </c>
    </row>
    <row r="311" spans="6:6" x14ac:dyDescent="0.25">
      <c r="F311" t="e" cm="1" vm="1">
        <f t="array" ref="F311">TRANSPOSE(_xlfn._xlws.FILTER(_xlfn.ANCHORARRAY($B$2),_xlfn.ANCHORARRAY($A$2)=$E311))</f>
        <v>#VALUE!</v>
      </c>
    </row>
    <row r="312" spans="6:6" x14ac:dyDescent="0.25">
      <c r="F312" t="e" cm="1" vm="1">
        <f t="array" ref="F312">TRANSPOSE(_xlfn._xlws.FILTER(_xlfn.ANCHORARRAY($B$2),_xlfn.ANCHORARRAY($A$2)=$E312))</f>
        <v>#VALUE!</v>
      </c>
    </row>
    <row r="313" spans="6:6" x14ac:dyDescent="0.25">
      <c r="F313" t="e" cm="1" vm="1">
        <f t="array" ref="F313">TRANSPOSE(_xlfn._xlws.FILTER(_xlfn.ANCHORARRAY($B$2),_xlfn.ANCHORARRAY($A$2)=$E313))</f>
        <v>#VALUE!</v>
      </c>
    </row>
    <row r="314" spans="6:6" x14ac:dyDescent="0.25">
      <c r="F314" t="e" cm="1" vm="1">
        <f t="array" ref="F314">TRANSPOSE(_xlfn._xlws.FILTER(_xlfn.ANCHORARRAY($B$2),_xlfn.ANCHORARRAY($A$2)=$E314))</f>
        <v>#VALUE!</v>
      </c>
    </row>
    <row r="315" spans="6:6" x14ac:dyDescent="0.25">
      <c r="F315" t="e" cm="1" vm="1">
        <f t="array" ref="F315">TRANSPOSE(_xlfn._xlws.FILTER(_xlfn.ANCHORARRAY($B$2),_xlfn.ANCHORARRAY($A$2)=$E315))</f>
        <v>#VALUE!</v>
      </c>
    </row>
    <row r="316" spans="6:6" x14ac:dyDescent="0.25">
      <c r="F316" t="e" cm="1" vm="1">
        <f t="array" ref="F316">TRANSPOSE(_xlfn._xlws.FILTER(_xlfn.ANCHORARRAY($B$2),_xlfn.ANCHORARRAY($A$2)=$E316))</f>
        <v>#VALUE!</v>
      </c>
    </row>
    <row r="317" spans="6:6" x14ac:dyDescent="0.25">
      <c r="F317" t="e" cm="1" vm="1">
        <f t="array" ref="F317">TRANSPOSE(_xlfn._xlws.FILTER(_xlfn.ANCHORARRAY($B$2),_xlfn.ANCHORARRAY($A$2)=$E317))</f>
        <v>#VALUE!</v>
      </c>
    </row>
    <row r="318" spans="6:6" x14ac:dyDescent="0.25">
      <c r="F318" t="e" cm="1" vm="1">
        <f t="array" ref="F318">TRANSPOSE(_xlfn._xlws.FILTER(_xlfn.ANCHORARRAY($B$2),_xlfn.ANCHORARRAY($A$2)=$E318))</f>
        <v>#VALUE!</v>
      </c>
    </row>
    <row r="319" spans="6:6" x14ac:dyDescent="0.25">
      <c r="F319" t="e" cm="1" vm="1">
        <f t="array" ref="F319">TRANSPOSE(_xlfn._xlws.FILTER(_xlfn.ANCHORARRAY($B$2),_xlfn.ANCHORARRAY($A$2)=$E319))</f>
        <v>#VALUE!</v>
      </c>
    </row>
    <row r="320" spans="6:6" x14ac:dyDescent="0.25">
      <c r="F320" t="e" cm="1" vm="1">
        <f t="array" ref="F320">TRANSPOSE(_xlfn._xlws.FILTER(_xlfn.ANCHORARRAY($B$2),_xlfn.ANCHORARRAY($A$2)=$E320))</f>
        <v>#VALUE!</v>
      </c>
    </row>
    <row r="321" spans="6:6" x14ac:dyDescent="0.25">
      <c r="F321" t="e" cm="1" vm="1">
        <f t="array" ref="F321">TRANSPOSE(_xlfn._xlws.FILTER(_xlfn.ANCHORARRAY($B$2),_xlfn.ANCHORARRAY($A$2)=$E321))</f>
        <v>#VALUE!</v>
      </c>
    </row>
    <row r="322" spans="6:6" x14ac:dyDescent="0.25">
      <c r="F322" t="e" cm="1" vm="1">
        <f t="array" ref="F322">TRANSPOSE(_xlfn._xlws.FILTER(_xlfn.ANCHORARRAY($B$2),_xlfn.ANCHORARRAY($A$2)=$E322))</f>
        <v>#VALUE!</v>
      </c>
    </row>
    <row r="323" spans="6:6" x14ac:dyDescent="0.25">
      <c r="F323" t="e" cm="1" vm="1">
        <f t="array" ref="F323">TRANSPOSE(_xlfn._xlws.FILTER(_xlfn.ANCHORARRAY($B$2),_xlfn.ANCHORARRAY($A$2)=$E323))</f>
        <v>#VALUE!</v>
      </c>
    </row>
    <row r="324" spans="6:6" x14ac:dyDescent="0.25">
      <c r="F324" t="e" cm="1" vm="1">
        <f t="array" ref="F324">TRANSPOSE(_xlfn._xlws.FILTER(_xlfn.ANCHORARRAY($B$2),_xlfn.ANCHORARRAY($A$2)=$E324))</f>
        <v>#VALUE!</v>
      </c>
    </row>
    <row r="325" spans="6:6" x14ac:dyDescent="0.25">
      <c r="F325" t="e" cm="1" vm="1">
        <f t="array" ref="F325">TRANSPOSE(_xlfn._xlws.FILTER(_xlfn.ANCHORARRAY($B$2),_xlfn.ANCHORARRAY($A$2)=$E325))</f>
        <v>#VALUE!</v>
      </c>
    </row>
    <row r="326" spans="6:6" x14ac:dyDescent="0.25">
      <c r="F326" t="e" cm="1" vm="1">
        <f t="array" ref="F326">TRANSPOSE(_xlfn._xlws.FILTER(_xlfn.ANCHORARRAY($B$2),_xlfn.ANCHORARRAY($A$2)=$E326))</f>
        <v>#VALUE!</v>
      </c>
    </row>
    <row r="327" spans="6:6" x14ac:dyDescent="0.25">
      <c r="F327" t="e" cm="1" vm="1">
        <f t="array" ref="F327">TRANSPOSE(_xlfn._xlws.FILTER(_xlfn.ANCHORARRAY($B$2),_xlfn.ANCHORARRAY($A$2)=$E327))</f>
        <v>#VALUE!</v>
      </c>
    </row>
    <row r="328" spans="6:6" x14ac:dyDescent="0.25">
      <c r="F328" t="e" cm="1" vm="1">
        <f t="array" ref="F328">TRANSPOSE(_xlfn._xlws.FILTER(_xlfn.ANCHORARRAY($B$2),_xlfn.ANCHORARRAY($A$2)=$E328))</f>
        <v>#VALUE!</v>
      </c>
    </row>
    <row r="329" spans="6:6" x14ac:dyDescent="0.25">
      <c r="F329" t="e" cm="1" vm="1">
        <f t="array" ref="F329">TRANSPOSE(_xlfn._xlws.FILTER(_xlfn.ANCHORARRAY($B$2),_xlfn.ANCHORARRAY($A$2)=$E329))</f>
        <v>#VALUE!</v>
      </c>
    </row>
    <row r="330" spans="6:6" x14ac:dyDescent="0.25">
      <c r="F330" t="e" cm="1" vm="1">
        <f t="array" ref="F330">TRANSPOSE(_xlfn._xlws.FILTER(_xlfn.ANCHORARRAY($B$2),_xlfn.ANCHORARRAY($A$2)=$E330))</f>
        <v>#VALUE!</v>
      </c>
    </row>
    <row r="331" spans="6:6" x14ac:dyDescent="0.25">
      <c r="F331" t="e" cm="1" vm="1">
        <f t="array" ref="F331">TRANSPOSE(_xlfn._xlws.FILTER(_xlfn.ANCHORARRAY($B$2),_xlfn.ANCHORARRAY($A$2)=$E331))</f>
        <v>#VALUE!</v>
      </c>
    </row>
    <row r="332" spans="6:6" x14ac:dyDescent="0.25">
      <c r="F332" t="e" cm="1" vm="1">
        <f t="array" ref="F332">TRANSPOSE(_xlfn._xlws.FILTER(_xlfn.ANCHORARRAY($B$2),_xlfn.ANCHORARRAY($A$2)=$E332))</f>
        <v>#VALUE!</v>
      </c>
    </row>
    <row r="333" spans="6:6" x14ac:dyDescent="0.25">
      <c r="F333" t="e" cm="1" vm="1">
        <f t="array" ref="F333">TRANSPOSE(_xlfn._xlws.FILTER(_xlfn.ANCHORARRAY($B$2),_xlfn.ANCHORARRAY($A$2)=$E333))</f>
        <v>#VALUE!</v>
      </c>
    </row>
    <row r="334" spans="6:6" x14ac:dyDescent="0.25">
      <c r="F334" t="e" cm="1" vm="1">
        <f t="array" ref="F334">TRANSPOSE(_xlfn._xlws.FILTER(_xlfn.ANCHORARRAY($B$2),_xlfn.ANCHORARRAY($A$2)=$E334))</f>
        <v>#VALUE!</v>
      </c>
    </row>
    <row r="335" spans="6:6" x14ac:dyDescent="0.25">
      <c r="F335" t="e" cm="1" vm="1">
        <f t="array" ref="F335">TRANSPOSE(_xlfn._xlws.FILTER(_xlfn.ANCHORARRAY($B$2),_xlfn.ANCHORARRAY($A$2)=$E335))</f>
        <v>#VALUE!</v>
      </c>
    </row>
    <row r="336" spans="6:6" x14ac:dyDescent="0.25">
      <c r="F336" t="e" cm="1" vm="1">
        <f t="array" ref="F336">TRANSPOSE(_xlfn._xlws.FILTER(_xlfn.ANCHORARRAY($B$2),_xlfn.ANCHORARRAY($A$2)=$E336))</f>
        <v>#VALUE!</v>
      </c>
    </row>
    <row r="337" spans="6:6" x14ac:dyDescent="0.25">
      <c r="F337" t="e" cm="1" vm="1">
        <f t="array" ref="F337">TRANSPOSE(_xlfn._xlws.FILTER(_xlfn.ANCHORARRAY($B$2),_xlfn.ANCHORARRAY($A$2)=$E337))</f>
        <v>#VALUE!</v>
      </c>
    </row>
    <row r="338" spans="6:6" x14ac:dyDescent="0.25">
      <c r="F338" t="e" cm="1" vm="1">
        <f t="array" ref="F338">TRANSPOSE(_xlfn._xlws.FILTER(_xlfn.ANCHORARRAY($B$2),_xlfn.ANCHORARRAY($A$2)=$E338))</f>
        <v>#VALUE!</v>
      </c>
    </row>
    <row r="339" spans="6:6" x14ac:dyDescent="0.25">
      <c r="F339" t="e" cm="1" vm="1">
        <f t="array" ref="F339">TRANSPOSE(_xlfn._xlws.FILTER(_xlfn.ANCHORARRAY($B$2),_xlfn.ANCHORARRAY($A$2)=$E339))</f>
        <v>#VALUE!</v>
      </c>
    </row>
    <row r="340" spans="6:6" x14ac:dyDescent="0.25">
      <c r="F340" t="e" cm="1" vm="1">
        <f t="array" ref="F340">TRANSPOSE(_xlfn._xlws.FILTER(_xlfn.ANCHORARRAY($B$2),_xlfn.ANCHORARRAY($A$2)=$E340))</f>
        <v>#VALUE!</v>
      </c>
    </row>
    <row r="341" spans="6:6" x14ac:dyDescent="0.25">
      <c r="F341" t="e" cm="1" vm="1">
        <f t="array" ref="F341">TRANSPOSE(_xlfn._xlws.FILTER(_xlfn.ANCHORARRAY($B$2),_xlfn.ANCHORARRAY($A$2)=$E341))</f>
        <v>#VALUE!</v>
      </c>
    </row>
    <row r="342" spans="6:6" x14ac:dyDescent="0.25">
      <c r="F342" t="e" cm="1" vm="1">
        <f t="array" ref="F342">TRANSPOSE(_xlfn._xlws.FILTER(_xlfn.ANCHORARRAY($B$2),_xlfn.ANCHORARRAY($A$2)=$E342))</f>
        <v>#VALUE!</v>
      </c>
    </row>
    <row r="343" spans="6:6" x14ac:dyDescent="0.25">
      <c r="F343" t="e" cm="1" vm="1">
        <f t="array" ref="F343">TRANSPOSE(_xlfn._xlws.FILTER(_xlfn.ANCHORARRAY($B$2),_xlfn.ANCHORARRAY($A$2)=$E343))</f>
        <v>#VALUE!</v>
      </c>
    </row>
    <row r="344" spans="6:6" x14ac:dyDescent="0.25">
      <c r="F344" t="e" cm="1" vm="1">
        <f t="array" ref="F344">TRANSPOSE(_xlfn._xlws.FILTER(_xlfn.ANCHORARRAY($B$2),_xlfn.ANCHORARRAY($A$2)=$E344))</f>
        <v>#VALUE!</v>
      </c>
    </row>
    <row r="345" spans="6:6" x14ac:dyDescent="0.25">
      <c r="F345" t="e" cm="1" vm="1">
        <f t="array" ref="F345">TRANSPOSE(_xlfn._xlws.FILTER(_xlfn.ANCHORARRAY($B$2),_xlfn.ANCHORARRAY($A$2)=$E345))</f>
        <v>#VALUE!</v>
      </c>
    </row>
    <row r="346" spans="6:6" x14ac:dyDescent="0.25">
      <c r="F346" t="e" cm="1" vm="1">
        <f t="array" ref="F346">TRANSPOSE(_xlfn._xlws.FILTER(_xlfn.ANCHORARRAY($B$2),_xlfn.ANCHORARRAY($A$2)=$E346))</f>
        <v>#VALUE!</v>
      </c>
    </row>
    <row r="347" spans="6:6" x14ac:dyDescent="0.25">
      <c r="F347" t="e" cm="1" vm="1">
        <f t="array" ref="F347">TRANSPOSE(_xlfn._xlws.FILTER(_xlfn.ANCHORARRAY($B$2),_xlfn.ANCHORARRAY($A$2)=$E347))</f>
        <v>#VALUE!</v>
      </c>
    </row>
    <row r="348" spans="6:6" x14ac:dyDescent="0.25">
      <c r="F348" t="e" cm="1" vm="1">
        <f t="array" ref="F348">TRANSPOSE(_xlfn._xlws.FILTER(_xlfn.ANCHORARRAY($B$2),_xlfn.ANCHORARRAY($A$2)=$E348))</f>
        <v>#VALUE!</v>
      </c>
    </row>
    <row r="349" spans="6:6" x14ac:dyDescent="0.25">
      <c r="F349" t="e" cm="1" vm="1">
        <f t="array" ref="F349">TRANSPOSE(_xlfn._xlws.FILTER(_xlfn.ANCHORARRAY($B$2),_xlfn.ANCHORARRAY($A$2)=$E349))</f>
        <v>#VALUE!</v>
      </c>
    </row>
    <row r="350" spans="6:6" x14ac:dyDescent="0.25">
      <c r="F350" t="e" cm="1" vm="1">
        <f t="array" ref="F350">TRANSPOSE(_xlfn._xlws.FILTER(_xlfn.ANCHORARRAY($B$2),_xlfn.ANCHORARRAY($A$2)=$E350))</f>
        <v>#VALUE!</v>
      </c>
    </row>
    <row r="351" spans="6:6" x14ac:dyDescent="0.25">
      <c r="F351" t="e" cm="1" vm="1">
        <f t="array" ref="F351">TRANSPOSE(_xlfn._xlws.FILTER(_xlfn.ANCHORARRAY($B$2),_xlfn.ANCHORARRAY($A$2)=$E351))</f>
        <v>#VALUE!</v>
      </c>
    </row>
    <row r="352" spans="6:6" x14ac:dyDescent="0.25">
      <c r="F352" t="e" cm="1" vm="1">
        <f t="array" ref="F352">TRANSPOSE(_xlfn._xlws.FILTER(_xlfn.ANCHORARRAY($B$2),_xlfn.ANCHORARRAY($A$2)=$E352))</f>
        <v>#VALUE!</v>
      </c>
    </row>
    <row r="353" spans="6:6" x14ac:dyDescent="0.25">
      <c r="F353" t="e" cm="1" vm="1">
        <f t="array" ref="F353">TRANSPOSE(_xlfn._xlws.FILTER(_xlfn.ANCHORARRAY($B$2),_xlfn.ANCHORARRAY($A$2)=$E353))</f>
        <v>#VALUE!</v>
      </c>
    </row>
    <row r="354" spans="6:6" x14ac:dyDescent="0.25">
      <c r="F354" t="e" cm="1" vm="1">
        <f t="array" ref="F354">TRANSPOSE(_xlfn._xlws.FILTER(_xlfn.ANCHORARRAY($B$2),_xlfn.ANCHORARRAY($A$2)=$E354))</f>
        <v>#VALUE!</v>
      </c>
    </row>
    <row r="355" spans="6:6" x14ac:dyDescent="0.25">
      <c r="F355" t="e" cm="1" vm="1">
        <f t="array" ref="F355">TRANSPOSE(_xlfn._xlws.FILTER(_xlfn.ANCHORARRAY($B$2),_xlfn.ANCHORARRAY($A$2)=$E355))</f>
        <v>#VALUE!</v>
      </c>
    </row>
    <row r="356" spans="6:6" x14ac:dyDescent="0.25">
      <c r="F356" t="e" cm="1" vm="1">
        <f t="array" ref="F356">TRANSPOSE(_xlfn._xlws.FILTER(_xlfn.ANCHORARRAY($B$2),_xlfn.ANCHORARRAY($A$2)=$E356))</f>
        <v>#VALUE!</v>
      </c>
    </row>
    <row r="357" spans="6:6" x14ac:dyDescent="0.25">
      <c r="F357" t="e" cm="1" vm="1">
        <f t="array" ref="F357">TRANSPOSE(_xlfn._xlws.FILTER(_xlfn.ANCHORARRAY($B$2),_xlfn.ANCHORARRAY($A$2)=$E357))</f>
        <v>#VALUE!</v>
      </c>
    </row>
    <row r="358" spans="6:6" x14ac:dyDescent="0.25">
      <c r="F358" t="e" cm="1" vm="1">
        <f t="array" ref="F358">TRANSPOSE(_xlfn._xlws.FILTER(_xlfn.ANCHORARRAY($B$2),_xlfn.ANCHORARRAY($A$2)=$E358))</f>
        <v>#VALUE!</v>
      </c>
    </row>
    <row r="359" spans="6:6" x14ac:dyDescent="0.25">
      <c r="F359" t="e" cm="1" vm="1">
        <f t="array" ref="F359">TRANSPOSE(_xlfn._xlws.FILTER(_xlfn.ANCHORARRAY($B$2),_xlfn.ANCHORARRAY($A$2)=$E359))</f>
        <v>#VALUE!</v>
      </c>
    </row>
    <row r="360" spans="6:6" x14ac:dyDescent="0.25">
      <c r="F360" t="e" cm="1" vm="1">
        <f t="array" ref="F360">TRANSPOSE(_xlfn._xlws.FILTER(_xlfn.ANCHORARRAY($B$2),_xlfn.ANCHORARRAY($A$2)=$E360))</f>
        <v>#VALUE!</v>
      </c>
    </row>
    <row r="361" spans="6:6" x14ac:dyDescent="0.25">
      <c r="F361" t="e" cm="1" vm="1">
        <f t="array" ref="F361">TRANSPOSE(_xlfn._xlws.FILTER(_xlfn.ANCHORARRAY($B$2),_xlfn.ANCHORARRAY($A$2)=$E361))</f>
        <v>#VALUE!</v>
      </c>
    </row>
    <row r="362" spans="6:6" x14ac:dyDescent="0.25">
      <c r="F362" t="e" cm="1" vm="1">
        <f t="array" ref="F362">TRANSPOSE(_xlfn._xlws.FILTER(_xlfn.ANCHORARRAY($B$2),_xlfn.ANCHORARRAY($A$2)=$E362))</f>
        <v>#VALUE!</v>
      </c>
    </row>
    <row r="363" spans="6:6" x14ac:dyDescent="0.25">
      <c r="F363" t="e" cm="1" vm="1">
        <f t="array" ref="F363">TRANSPOSE(_xlfn._xlws.FILTER(_xlfn.ANCHORARRAY($B$2),_xlfn.ANCHORARRAY($A$2)=$E363))</f>
        <v>#VALUE!</v>
      </c>
    </row>
    <row r="364" spans="6:6" x14ac:dyDescent="0.25">
      <c r="F364" t="e" cm="1" vm="1">
        <f t="array" ref="F364">TRANSPOSE(_xlfn._xlws.FILTER(_xlfn.ANCHORARRAY($B$2),_xlfn.ANCHORARRAY($A$2)=$E364))</f>
        <v>#VALUE!</v>
      </c>
    </row>
    <row r="365" spans="6:6" x14ac:dyDescent="0.25">
      <c r="F365" t="e" cm="1" vm="1">
        <f t="array" ref="F365">TRANSPOSE(_xlfn._xlws.FILTER(_xlfn.ANCHORARRAY($B$2),_xlfn.ANCHORARRAY($A$2)=$E365))</f>
        <v>#VALUE!</v>
      </c>
    </row>
    <row r="366" spans="6:6" x14ac:dyDescent="0.25">
      <c r="F366" t="e" cm="1" vm="1">
        <f t="array" ref="F366">TRANSPOSE(_xlfn._xlws.FILTER(_xlfn.ANCHORARRAY($B$2),_xlfn.ANCHORARRAY($A$2)=$E366))</f>
        <v>#VALUE!</v>
      </c>
    </row>
    <row r="367" spans="6:6" x14ac:dyDescent="0.25">
      <c r="F367" t="e" cm="1" vm="1">
        <f t="array" ref="F367">TRANSPOSE(_xlfn._xlws.FILTER(_xlfn.ANCHORARRAY($B$2),_xlfn.ANCHORARRAY($A$2)=$E367))</f>
        <v>#VALUE!</v>
      </c>
    </row>
    <row r="368" spans="6:6" x14ac:dyDescent="0.25">
      <c r="F368" t="e" cm="1" vm="1">
        <f t="array" ref="F368">TRANSPOSE(_xlfn._xlws.FILTER(_xlfn.ANCHORARRAY($B$2),_xlfn.ANCHORARRAY($A$2)=$E368))</f>
        <v>#VALUE!</v>
      </c>
    </row>
    <row r="369" spans="6:6" x14ac:dyDescent="0.25">
      <c r="F369" t="e" cm="1" vm="1">
        <f t="array" ref="F369">TRANSPOSE(_xlfn._xlws.FILTER(_xlfn.ANCHORARRAY($B$2),_xlfn.ANCHORARRAY($A$2)=$E369))</f>
        <v>#VALUE!</v>
      </c>
    </row>
    <row r="370" spans="6:6" x14ac:dyDescent="0.25">
      <c r="F370" t="e" cm="1" vm="1">
        <f t="array" ref="F370">TRANSPOSE(_xlfn._xlws.FILTER(_xlfn.ANCHORARRAY($B$2),_xlfn.ANCHORARRAY($A$2)=$E370))</f>
        <v>#VALUE!</v>
      </c>
    </row>
    <row r="371" spans="6:6" x14ac:dyDescent="0.25">
      <c r="F371" t="e" cm="1" vm="1">
        <f t="array" ref="F371">TRANSPOSE(_xlfn._xlws.FILTER(_xlfn.ANCHORARRAY($B$2),_xlfn.ANCHORARRAY($A$2)=$E371))</f>
        <v>#VALUE!</v>
      </c>
    </row>
    <row r="372" spans="6:6" x14ac:dyDescent="0.25">
      <c r="F372" t="e" cm="1" vm="1">
        <f t="array" ref="F372">TRANSPOSE(_xlfn._xlws.FILTER(_xlfn.ANCHORARRAY($B$2),_xlfn.ANCHORARRAY($A$2)=$E372))</f>
        <v>#VALUE!</v>
      </c>
    </row>
    <row r="373" spans="6:6" x14ac:dyDescent="0.25">
      <c r="F373" t="e" cm="1" vm="1">
        <f t="array" ref="F373">TRANSPOSE(_xlfn._xlws.FILTER(_xlfn.ANCHORARRAY($B$2),_xlfn.ANCHORARRAY($A$2)=$E373))</f>
        <v>#VALUE!</v>
      </c>
    </row>
    <row r="374" spans="6:6" x14ac:dyDescent="0.25">
      <c r="F374" t="e" cm="1" vm="1">
        <f t="array" ref="F374">TRANSPOSE(_xlfn._xlws.FILTER(_xlfn.ANCHORARRAY($B$2),_xlfn.ANCHORARRAY($A$2)=$E374))</f>
        <v>#VALUE!</v>
      </c>
    </row>
    <row r="375" spans="6:6" x14ac:dyDescent="0.25">
      <c r="F375" t="e" cm="1" vm="1">
        <f t="array" ref="F375">TRANSPOSE(_xlfn._xlws.FILTER(_xlfn.ANCHORARRAY($B$2),_xlfn.ANCHORARRAY($A$2)=$E375))</f>
        <v>#VALUE!</v>
      </c>
    </row>
    <row r="376" spans="6:6" x14ac:dyDescent="0.25">
      <c r="F376" t="e" cm="1" vm="1">
        <f t="array" ref="F376">TRANSPOSE(_xlfn._xlws.FILTER(_xlfn.ANCHORARRAY($B$2),_xlfn.ANCHORARRAY($A$2)=$E376))</f>
        <v>#VALUE!</v>
      </c>
    </row>
    <row r="377" spans="6:6" x14ac:dyDescent="0.25">
      <c r="F377" t="e" cm="1" vm="1">
        <f t="array" ref="F377">TRANSPOSE(_xlfn._xlws.FILTER(_xlfn.ANCHORARRAY($B$2),_xlfn.ANCHORARRAY($A$2)=$E377))</f>
        <v>#VALUE!</v>
      </c>
    </row>
    <row r="378" spans="6:6" x14ac:dyDescent="0.25">
      <c r="F378" t="e" cm="1" vm="1">
        <f t="array" ref="F378">TRANSPOSE(_xlfn._xlws.FILTER(_xlfn.ANCHORARRAY($B$2),_xlfn.ANCHORARRAY($A$2)=$E378))</f>
        <v>#VALUE!</v>
      </c>
    </row>
    <row r="379" spans="6:6" x14ac:dyDescent="0.25">
      <c r="F379" t="e" cm="1" vm="1">
        <f t="array" ref="F379">TRANSPOSE(_xlfn._xlws.FILTER(_xlfn.ANCHORARRAY($B$2),_xlfn.ANCHORARRAY($A$2)=$E379))</f>
        <v>#VALUE!</v>
      </c>
    </row>
    <row r="380" spans="6:6" x14ac:dyDescent="0.25">
      <c r="F380" t="e" cm="1" vm="1">
        <f t="array" ref="F380">TRANSPOSE(_xlfn._xlws.FILTER(_xlfn.ANCHORARRAY($B$2),_xlfn.ANCHORARRAY($A$2)=$E380))</f>
        <v>#VALUE!</v>
      </c>
    </row>
    <row r="381" spans="6:6" x14ac:dyDescent="0.25">
      <c r="F381" t="e" cm="1" vm="1">
        <f t="array" ref="F381">TRANSPOSE(_xlfn._xlws.FILTER(_xlfn.ANCHORARRAY($B$2),_xlfn.ANCHORARRAY($A$2)=$E381))</f>
        <v>#VALUE!</v>
      </c>
    </row>
    <row r="382" spans="6:6" x14ac:dyDescent="0.25">
      <c r="F382" t="e" cm="1" vm="1">
        <f t="array" ref="F382">TRANSPOSE(_xlfn._xlws.FILTER(_xlfn.ANCHORARRAY($B$2),_xlfn.ANCHORARRAY($A$2)=$E382))</f>
        <v>#VALUE!</v>
      </c>
    </row>
    <row r="383" spans="6:6" x14ac:dyDescent="0.25">
      <c r="F383" t="e" cm="1" vm="1">
        <f t="array" ref="F383">TRANSPOSE(_xlfn._xlws.FILTER(_xlfn.ANCHORARRAY($B$2),_xlfn.ANCHORARRAY($A$2)=$E383))</f>
        <v>#VALUE!</v>
      </c>
    </row>
    <row r="384" spans="6:6" x14ac:dyDescent="0.25">
      <c r="F384" t="e" cm="1" vm="1">
        <f t="array" ref="F384">TRANSPOSE(_xlfn._xlws.FILTER(_xlfn.ANCHORARRAY($B$2),_xlfn.ANCHORARRAY($A$2)=$E384))</f>
        <v>#VALUE!</v>
      </c>
    </row>
    <row r="385" spans="6:6" x14ac:dyDescent="0.25">
      <c r="F385" t="e" cm="1" vm="1">
        <f t="array" ref="F385">TRANSPOSE(_xlfn._xlws.FILTER(_xlfn.ANCHORARRAY($B$2),_xlfn.ANCHORARRAY($A$2)=$E385))</f>
        <v>#VALUE!</v>
      </c>
    </row>
    <row r="386" spans="6:6" x14ac:dyDescent="0.25">
      <c r="F386" t="e" cm="1" vm="1">
        <f t="array" ref="F386">TRANSPOSE(_xlfn._xlws.FILTER(_xlfn.ANCHORARRAY($B$2),_xlfn.ANCHORARRAY($A$2)=$E386))</f>
        <v>#VALUE!</v>
      </c>
    </row>
    <row r="387" spans="6:6" x14ac:dyDescent="0.25">
      <c r="F387" t="e" cm="1" vm="1">
        <f t="array" ref="F387">TRANSPOSE(_xlfn._xlws.FILTER(_xlfn.ANCHORARRAY($B$2),_xlfn.ANCHORARRAY($A$2)=$E387))</f>
        <v>#VALUE!</v>
      </c>
    </row>
    <row r="388" spans="6:6" x14ac:dyDescent="0.25">
      <c r="F388" t="e" cm="1" vm="1">
        <f t="array" ref="F388">TRANSPOSE(_xlfn._xlws.FILTER(_xlfn.ANCHORARRAY($B$2),_xlfn.ANCHORARRAY($A$2)=$E388))</f>
        <v>#VALUE!</v>
      </c>
    </row>
    <row r="389" spans="6:6" x14ac:dyDescent="0.25">
      <c r="F389" t="e" cm="1" vm="1">
        <f t="array" ref="F389">TRANSPOSE(_xlfn._xlws.FILTER(_xlfn.ANCHORARRAY($B$2),_xlfn.ANCHORARRAY($A$2)=$E389))</f>
        <v>#VALUE!</v>
      </c>
    </row>
    <row r="390" spans="6:6" x14ac:dyDescent="0.25">
      <c r="F390" t="e" cm="1" vm="1">
        <f t="array" ref="F390">TRANSPOSE(_xlfn._xlws.FILTER(_xlfn.ANCHORARRAY($B$2),_xlfn.ANCHORARRAY($A$2)=$E390))</f>
        <v>#VALUE!</v>
      </c>
    </row>
    <row r="391" spans="6:6" x14ac:dyDescent="0.25">
      <c r="F391" t="e" cm="1" vm="1">
        <f t="array" ref="F391">TRANSPOSE(_xlfn._xlws.FILTER(_xlfn.ANCHORARRAY($B$2),_xlfn.ANCHORARRAY($A$2)=$E391))</f>
        <v>#VALUE!</v>
      </c>
    </row>
    <row r="392" spans="6:6" x14ac:dyDescent="0.25">
      <c r="F392" t="e" cm="1" vm="1">
        <f t="array" ref="F392">TRANSPOSE(_xlfn._xlws.FILTER(_xlfn.ANCHORARRAY($B$2),_xlfn.ANCHORARRAY($A$2)=$E392))</f>
        <v>#VALUE!</v>
      </c>
    </row>
    <row r="393" spans="6:6" x14ac:dyDescent="0.25">
      <c r="F393" t="e" cm="1" vm="1">
        <f t="array" ref="F393">TRANSPOSE(_xlfn._xlws.FILTER(_xlfn.ANCHORARRAY($B$2),_xlfn.ANCHORARRAY($A$2)=$E393))</f>
        <v>#VALUE!</v>
      </c>
    </row>
    <row r="394" spans="6:6" x14ac:dyDescent="0.25">
      <c r="F394" t="e" cm="1" vm="1">
        <f t="array" ref="F394">TRANSPOSE(_xlfn._xlws.FILTER(_xlfn.ANCHORARRAY($B$2),_xlfn.ANCHORARRAY($A$2)=$E394))</f>
        <v>#VALUE!</v>
      </c>
    </row>
    <row r="395" spans="6:6" x14ac:dyDescent="0.25">
      <c r="F395" t="e" cm="1" vm="1">
        <f t="array" ref="F395">TRANSPOSE(_xlfn._xlws.FILTER(_xlfn.ANCHORARRAY($B$2),_xlfn.ANCHORARRAY($A$2)=$E395))</f>
        <v>#VALUE!</v>
      </c>
    </row>
    <row r="396" spans="6:6" x14ac:dyDescent="0.25">
      <c r="F396" t="e" cm="1" vm="1">
        <f t="array" ref="F396">TRANSPOSE(_xlfn._xlws.FILTER(_xlfn.ANCHORARRAY($B$2),_xlfn.ANCHORARRAY($A$2)=$E396))</f>
        <v>#VALUE!</v>
      </c>
    </row>
    <row r="397" spans="6:6" x14ac:dyDescent="0.25">
      <c r="F397" t="e" cm="1" vm="1">
        <f t="array" ref="F397">TRANSPOSE(_xlfn._xlws.FILTER(_xlfn.ANCHORARRAY($B$2),_xlfn.ANCHORARRAY($A$2)=$E397))</f>
        <v>#VALUE!</v>
      </c>
    </row>
    <row r="398" spans="6:6" x14ac:dyDescent="0.25">
      <c r="F398" t="e" cm="1" vm="1">
        <f t="array" ref="F398">TRANSPOSE(_xlfn._xlws.FILTER(_xlfn.ANCHORARRAY($B$2),_xlfn.ANCHORARRAY($A$2)=$E398))</f>
        <v>#VALUE!</v>
      </c>
    </row>
    <row r="399" spans="6:6" x14ac:dyDescent="0.25">
      <c r="F399" t="e" cm="1" vm="1">
        <f t="array" ref="F399">TRANSPOSE(_xlfn._xlws.FILTER(_xlfn.ANCHORARRAY($B$2),_xlfn.ANCHORARRAY($A$2)=$E399))</f>
        <v>#VALUE!</v>
      </c>
    </row>
    <row r="400" spans="6:6" x14ac:dyDescent="0.25">
      <c r="F400" t="e" cm="1" vm="1">
        <f t="array" ref="F400">TRANSPOSE(_xlfn._xlws.FILTER(_xlfn.ANCHORARRAY($B$2),_xlfn.ANCHORARRAY($A$2)=$E400))</f>
        <v>#VALUE!</v>
      </c>
    </row>
    <row r="401" spans="6:6" x14ac:dyDescent="0.25">
      <c r="F401" t="e" cm="1" vm="1">
        <f t="array" ref="F401">TRANSPOSE(_xlfn._xlws.FILTER(_xlfn.ANCHORARRAY($B$2),_xlfn.ANCHORARRAY($A$2)=$E401))</f>
        <v>#VALUE!</v>
      </c>
    </row>
    <row r="402" spans="6:6" x14ac:dyDescent="0.25">
      <c r="F402" t="e" cm="1" vm="1">
        <f t="array" ref="F402">TRANSPOSE(_xlfn._xlws.FILTER(_xlfn.ANCHORARRAY($B$2),_xlfn.ANCHORARRAY($A$2)=$E402))</f>
        <v>#VALUE!</v>
      </c>
    </row>
    <row r="403" spans="6:6" x14ac:dyDescent="0.25">
      <c r="F403" t="e" cm="1" vm="1">
        <f t="array" ref="F403">TRANSPOSE(_xlfn._xlws.FILTER(_xlfn.ANCHORARRAY($B$2),_xlfn.ANCHORARRAY($A$2)=$E403))</f>
        <v>#VALUE!</v>
      </c>
    </row>
    <row r="404" spans="6:6" x14ac:dyDescent="0.25">
      <c r="F404" t="e" cm="1" vm="1">
        <f t="array" ref="F404">TRANSPOSE(_xlfn._xlws.FILTER(_xlfn.ANCHORARRAY($B$2),_xlfn.ANCHORARRAY($A$2)=$E404))</f>
        <v>#VALUE!</v>
      </c>
    </row>
    <row r="405" spans="6:6" x14ac:dyDescent="0.25">
      <c r="F405" t="e" cm="1" vm="1">
        <f t="array" ref="F405">TRANSPOSE(_xlfn._xlws.FILTER(_xlfn.ANCHORARRAY($B$2),_xlfn.ANCHORARRAY($A$2)=$E405))</f>
        <v>#VALUE!</v>
      </c>
    </row>
    <row r="406" spans="6:6" x14ac:dyDescent="0.25">
      <c r="F406" t="e" cm="1" vm="1">
        <f t="array" ref="F406">TRANSPOSE(_xlfn._xlws.FILTER(_xlfn.ANCHORARRAY($B$2),_xlfn.ANCHORARRAY($A$2)=$E406))</f>
        <v>#VALUE!</v>
      </c>
    </row>
    <row r="407" spans="6:6" x14ac:dyDescent="0.25">
      <c r="F407" t="e" cm="1" vm="1">
        <f t="array" ref="F407">TRANSPOSE(_xlfn._xlws.FILTER(_xlfn.ANCHORARRAY($B$2),_xlfn.ANCHORARRAY($A$2)=$E407))</f>
        <v>#VALUE!</v>
      </c>
    </row>
    <row r="408" spans="6:6" x14ac:dyDescent="0.25">
      <c r="F408" t="e" cm="1" vm="1">
        <f t="array" ref="F408">TRANSPOSE(_xlfn._xlws.FILTER(_xlfn.ANCHORARRAY($B$2),_xlfn.ANCHORARRAY($A$2)=$E408))</f>
        <v>#VALUE!</v>
      </c>
    </row>
    <row r="409" spans="6:6" x14ac:dyDescent="0.25">
      <c r="F409" t="e" cm="1" vm="1">
        <f t="array" ref="F409">TRANSPOSE(_xlfn._xlws.FILTER(_xlfn.ANCHORARRAY($B$2),_xlfn.ANCHORARRAY($A$2)=$E409))</f>
        <v>#VALUE!</v>
      </c>
    </row>
    <row r="410" spans="6:6" x14ac:dyDescent="0.25">
      <c r="F410" t="e" cm="1" vm="1">
        <f t="array" ref="F410">TRANSPOSE(_xlfn._xlws.FILTER(_xlfn.ANCHORARRAY($B$2),_xlfn.ANCHORARRAY($A$2)=$E410))</f>
        <v>#VALUE!</v>
      </c>
    </row>
    <row r="411" spans="6:6" x14ac:dyDescent="0.25">
      <c r="F411" t="e" cm="1" vm="1">
        <f t="array" ref="F411">TRANSPOSE(_xlfn._xlws.FILTER(_xlfn.ANCHORARRAY($B$2),_xlfn.ANCHORARRAY($A$2)=$E411))</f>
        <v>#VALUE!</v>
      </c>
    </row>
    <row r="412" spans="6:6" x14ac:dyDescent="0.25">
      <c r="F412" t="e" cm="1" vm="1">
        <f t="array" ref="F412">TRANSPOSE(_xlfn._xlws.FILTER(_xlfn.ANCHORARRAY($B$2),_xlfn.ANCHORARRAY($A$2)=$E412))</f>
        <v>#VALUE!</v>
      </c>
    </row>
    <row r="413" spans="6:6" x14ac:dyDescent="0.25">
      <c r="F413" t="e" cm="1" vm="1">
        <f t="array" ref="F413">TRANSPOSE(_xlfn._xlws.FILTER(_xlfn.ANCHORARRAY($B$2),_xlfn.ANCHORARRAY($A$2)=$E413))</f>
        <v>#VALUE!</v>
      </c>
    </row>
    <row r="414" spans="6:6" x14ac:dyDescent="0.25">
      <c r="F414" t="e" cm="1" vm="1">
        <f t="array" ref="F414">TRANSPOSE(_xlfn._xlws.FILTER(_xlfn.ANCHORARRAY($B$2),_xlfn.ANCHORARRAY($A$2)=$E414))</f>
        <v>#VALUE!</v>
      </c>
    </row>
    <row r="415" spans="6:6" x14ac:dyDescent="0.25">
      <c r="F415" t="e" cm="1" vm="1">
        <f t="array" ref="F415">TRANSPOSE(_xlfn._xlws.FILTER(_xlfn.ANCHORARRAY($B$2),_xlfn.ANCHORARRAY($A$2)=$E415))</f>
        <v>#VALUE!</v>
      </c>
    </row>
    <row r="416" spans="6:6" x14ac:dyDescent="0.25">
      <c r="F416" t="e" cm="1" vm="1">
        <f t="array" ref="F416">TRANSPOSE(_xlfn._xlws.FILTER(_xlfn.ANCHORARRAY($B$2),_xlfn.ANCHORARRAY($A$2)=$E416))</f>
        <v>#VALUE!</v>
      </c>
    </row>
    <row r="417" spans="6:6" x14ac:dyDescent="0.25">
      <c r="F417" t="e" cm="1" vm="1">
        <f t="array" ref="F417">TRANSPOSE(_xlfn._xlws.FILTER(_xlfn.ANCHORARRAY($B$2),_xlfn.ANCHORARRAY($A$2)=$E417))</f>
        <v>#VALUE!</v>
      </c>
    </row>
    <row r="418" spans="6:6" x14ac:dyDescent="0.25">
      <c r="F418" t="e" cm="1" vm="1">
        <f t="array" ref="F418">TRANSPOSE(_xlfn._xlws.FILTER(_xlfn.ANCHORARRAY($B$2),_xlfn.ANCHORARRAY($A$2)=$E418))</f>
        <v>#VALUE!</v>
      </c>
    </row>
    <row r="419" spans="6:6" x14ac:dyDescent="0.25">
      <c r="F419" t="e" cm="1" vm="1">
        <f t="array" ref="F419">TRANSPOSE(_xlfn._xlws.FILTER(_xlfn.ANCHORARRAY($B$2),_xlfn.ANCHORARRAY($A$2)=$E419))</f>
        <v>#VALUE!</v>
      </c>
    </row>
    <row r="420" spans="6:6" x14ac:dyDescent="0.25">
      <c r="F420" t="e" cm="1" vm="1">
        <f t="array" ref="F420">TRANSPOSE(_xlfn._xlws.FILTER(_xlfn.ANCHORARRAY($B$2),_xlfn.ANCHORARRAY($A$2)=$E420))</f>
        <v>#VALUE!</v>
      </c>
    </row>
    <row r="421" spans="6:6" x14ac:dyDescent="0.25">
      <c r="F421" t="e" cm="1" vm="1">
        <f t="array" ref="F421">TRANSPOSE(_xlfn._xlws.FILTER(_xlfn.ANCHORARRAY($B$2),_xlfn.ANCHORARRAY($A$2)=$E421))</f>
        <v>#VALUE!</v>
      </c>
    </row>
    <row r="422" spans="6:6" x14ac:dyDescent="0.25">
      <c r="F422" t="e" cm="1" vm="1">
        <f t="array" ref="F422">TRANSPOSE(_xlfn._xlws.FILTER(_xlfn.ANCHORARRAY($B$2),_xlfn.ANCHORARRAY($A$2)=$E422))</f>
        <v>#VALUE!</v>
      </c>
    </row>
    <row r="423" spans="6:6" x14ac:dyDescent="0.25">
      <c r="F423" t="e" cm="1" vm="1">
        <f t="array" ref="F423">TRANSPOSE(_xlfn._xlws.FILTER(_xlfn.ANCHORARRAY($B$2),_xlfn.ANCHORARRAY($A$2)=$E423))</f>
        <v>#VALUE!</v>
      </c>
    </row>
    <row r="424" spans="6:6" x14ac:dyDescent="0.25">
      <c r="F424" t="e" cm="1" vm="1">
        <f t="array" ref="F424">TRANSPOSE(_xlfn._xlws.FILTER(_xlfn.ANCHORARRAY($B$2),_xlfn.ANCHORARRAY($A$2)=$E424))</f>
        <v>#VALUE!</v>
      </c>
    </row>
    <row r="425" spans="6:6" x14ac:dyDescent="0.25">
      <c r="F425" t="e" cm="1" vm="1">
        <f t="array" ref="F425">TRANSPOSE(_xlfn._xlws.FILTER(_xlfn.ANCHORARRAY($B$2),_xlfn.ANCHORARRAY($A$2)=$E425))</f>
        <v>#VALUE!</v>
      </c>
    </row>
    <row r="426" spans="6:6" x14ac:dyDescent="0.25">
      <c r="F426" t="e" cm="1" vm="1">
        <f t="array" ref="F426">TRANSPOSE(_xlfn._xlws.FILTER(_xlfn.ANCHORARRAY($B$2),_xlfn.ANCHORARRAY($A$2)=$E426))</f>
        <v>#VALUE!</v>
      </c>
    </row>
    <row r="427" spans="6:6" x14ac:dyDescent="0.25">
      <c r="F427" t="e" cm="1" vm="1">
        <f t="array" ref="F427">TRANSPOSE(_xlfn._xlws.FILTER(_xlfn.ANCHORARRAY($B$2),_xlfn.ANCHORARRAY($A$2)=$E427))</f>
        <v>#VALUE!</v>
      </c>
    </row>
    <row r="428" spans="6:6" x14ac:dyDescent="0.25">
      <c r="F428" t="e" cm="1" vm="1">
        <f t="array" ref="F428">TRANSPOSE(_xlfn._xlws.FILTER(_xlfn.ANCHORARRAY($B$2),_xlfn.ANCHORARRAY($A$2)=$E428))</f>
        <v>#VALUE!</v>
      </c>
    </row>
    <row r="429" spans="6:6" x14ac:dyDescent="0.25">
      <c r="F429" t="e" cm="1" vm="1">
        <f t="array" ref="F429">TRANSPOSE(_xlfn._xlws.FILTER(_xlfn.ANCHORARRAY($B$2),_xlfn.ANCHORARRAY($A$2)=$E429))</f>
        <v>#VALUE!</v>
      </c>
    </row>
    <row r="430" spans="6:6" x14ac:dyDescent="0.25">
      <c r="F430" t="e" cm="1" vm="1">
        <f t="array" ref="F430">TRANSPOSE(_xlfn._xlws.FILTER(_xlfn.ANCHORARRAY($B$2),_xlfn.ANCHORARRAY($A$2)=$E430))</f>
        <v>#VALUE!</v>
      </c>
    </row>
    <row r="431" spans="6:6" x14ac:dyDescent="0.25">
      <c r="F431" t="e" cm="1" vm="1">
        <f t="array" ref="F431">TRANSPOSE(_xlfn._xlws.FILTER(_xlfn.ANCHORARRAY($B$2),_xlfn.ANCHORARRAY($A$2)=$E431))</f>
        <v>#VALUE!</v>
      </c>
    </row>
    <row r="432" spans="6:6" x14ac:dyDescent="0.25">
      <c r="F432" t="e" cm="1" vm="1">
        <f t="array" ref="F432">TRANSPOSE(_xlfn._xlws.FILTER(_xlfn.ANCHORARRAY($B$2),_xlfn.ANCHORARRAY($A$2)=$E432))</f>
        <v>#VALUE!</v>
      </c>
    </row>
    <row r="433" spans="6:6" x14ac:dyDescent="0.25">
      <c r="F433" t="e" cm="1" vm="1">
        <f t="array" ref="F433">TRANSPOSE(_xlfn._xlws.FILTER(_xlfn.ANCHORARRAY($B$2),_xlfn.ANCHORARRAY($A$2)=$E433))</f>
        <v>#VALUE!</v>
      </c>
    </row>
    <row r="434" spans="6:6" x14ac:dyDescent="0.25">
      <c r="F434" t="e" cm="1" vm="1">
        <f t="array" ref="F434">TRANSPOSE(_xlfn._xlws.FILTER(_xlfn.ANCHORARRAY($B$2),_xlfn.ANCHORARRAY($A$2)=$E434))</f>
        <v>#VALUE!</v>
      </c>
    </row>
    <row r="435" spans="6:6" x14ac:dyDescent="0.25">
      <c r="F435" t="e" cm="1" vm="1">
        <f t="array" ref="F435">TRANSPOSE(_xlfn._xlws.FILTER(_xlfn.ANCHORARRAY($B$2),_xlfn.ANCHORARRAY($A$2)=$E435))</f>
        <v>#VALUE!</v>
      </c>
    </row>
    <row r="436" spans="6:6" x14ac:dyDescent="0.25">
      <c r="F436" t="e" cm="1" vm="1">
        <f t="array" ref="F436">TRANSPOSE(_xlfn._xlws.FILTER(_xlfn.ANCHORARRAY($B$2),_xlfn.ANCHORARRAY($A$2)=$E436))</f>
        <v>#VALUE!</v>
      </c>
    </row>
    <row r="437" spans="6:6" x14ac:dyDescent="0.25">
      <c r="F437" t="e" cm="1" vm="1">
        <f t="array" ref="F437">TRANSPOSE(_xlfn._xlws.FILTER(_xlfn.ANCHORARRAY($B$2),_xlfn.ANCHORARRAY($A$2)=$E437))</f>
        <v>#VALUE!</v>
      </c>
    </row>
    <row r="438" spans="6:6" x14ac:dyDescent="0.25">
      <c r="F438" t="e" cm="1" vm="1">
        <f t="array" ref="F438">TRANSPOSE(_xlfn._xlws.FILTER(_xlfn.ANCHORARRAY($B$2),_xlfn.ANCHORARRAY($A$2)=$E438))</f>
        <v>#VALUE!</v>
      </c>
    </row>
    <row r="439" spans="6:6" x14ac:dyDescent="0.25">
      <c r="F439" t="e" cm="1" vm="1">
        <f t="array" ref="F439">TRANSPOSE(_xlfn._xlws.FILTER(_xlfn.ANCHORARRAY($B$2),_xlfn.ANCHORARRAY($A$2)=$E439))</f>
        <v>#VALUE!</v>
      </c>
    </row>
    <row r="440" spans="6:6" x14ac:dyDescent="0.25">
      <c r="F440" t="e" cm="1" vm="1">
        <f t="array" ref="F440">TRANSPOSE(_xlfn._xlws.FILTER(_xlfn.ANCHORARRAY($B$2),_xlfn.ANCHORARRAY($A$2)=$E440))</f>
        <v>#VALUE!</v>
      </c>
    </row>
    <row r="441" spans="6:6" x14ac:dyDescent="0.25">
      <c r="F441" t="e" cm="1" vm="1">
        <f t="array" ref="F441">TRANSPOSE(_xlfn._xlws.FILTER(_xlfn.ANCHORARRAY($B$2),_xlfn.ANCHORARRAY($A$2)=$E441))</f>
        <v>#VALUE!</v>
      </c>
    </row>
    <row r="442" spans="6:6" x14ac:dyDescent="0.25">
      <c r="F442" t="e" cm="1" vm="1">
        <f t="array" ref="F442">TRANSPOSE(_xlfn._xlws.FILTER(_xlfn.ANCHORARRAY($B$2),_xlfn.ANCHORARRAY($A$2)=$E442))</f>
        <v>#VALUE!</v>
      </c>
    </row>
    <row r="443" spans="6:6" x14ac:dyDescent="0.25">
      <c r="F443" t="e" cm="1" vm="1">
        <f t="array" ref="F443">TRANSPOSE(_xlfn._xlws.FILTER(_xlfn.ANCHORARRAY($B$2),_xlfn.ANCHORARRAY($A$2)=$E443))</f>
        <v>#VALUE!</v>
      </c>
    </row>
    <row r="444" spans="6:6" x14ac:dyDescent="0.25">
      <c r="F444" t="e" cm="1" vm="1">
        <f t="array" ref="F444">TRANSPOSE(_xlfn._xlws.FILTER(_xlfn.ANCHORARRAY($B$2),_xlfn.ANCHORARRAY($A$2)=$E444))</f>
        <v>#VALUE!</v>
      </c>
    </row>
    <row r="445" spans="6:6" x14ac:dyDescent="0.25">
      <c r="F445" t="e" cm="1" vm="1">
        <f t="array" ref="F445">TRANSPOSE(_xlfn._xlws.FILTER(_xlfn.ANCHORARRAY($B$2),_xlfn.ANCHORARRAY($A$2)=$E445))</f>
        <v>#VALUE!</v>
      </c>
    </row>
    <row r="446" spans="6:6" x14ac:dyDescent="0.25">
      <c r="F446" t="e" cm="1" vm="1">
        <f t="array" ref="F446">TRANSPOSE(_xlfn._xlws.FILTER(_xlfn.ANCHORARRAY($B$2),_xlfn.ANCHORARRAY($A$2)=$E446))</f>
        <v>#VALUE!</v>
      </c>
    </row>
    <row r="447" spans="6:6" x14ac:dyDescent="0.25">
      <c r="F447" t="e" cm="1" vm="1">
        <f t="array" ref="F447">TRANSPOSE(_xlfn._xlws.FILTER(_xlfn.ANCHORARRAY($B$2),_xlfn.ANCHORARRAY($A$2)=$E447))</f>
        <v>#VALUE!</v>
      </c>
    </row>
    <row r="448" spans="6:6" x14ac:dyDescent="0.25">
      <c r="F448" t="e" cm="1" vm="1">
        <f t="array" ref="F448">TRANSPOSE(_xlfn._xlws.FILTER(_xlfn.ANCHORARRAY($B$2),_xlfn.ANCHORARRAY($A$2)=$E448))</f>
        <v>#VALUE!</v>
      </c>
    </row>
    <row r="449" spans="6:6" x14ac:dyDescent="0.25">
      <c r="F449" t="e" cm="1" vm="1">
        <f t="array" ref="F449">TRANSPOSE(_xlfn._xlws.FILTER(_xlfn.ANCHORARRAY($B$2),_xlfn.ANCHORARRAY($A$2)=$E449))</f>
        <v>#VALUE!</v>
      </c>
    </row>
    <row r="450" spans="6:6" x14ac:dyDescent="0.25">
      <c r="F450" t="e" cm="1" vm="1">
        <f t="array" ref="F450">TRANSPOSE(_xlfn._xlws.FILTER(_xlfn.ANCHORARRAY($B$2),_xlfn.ANCHORARRAY($A$2)=$E450))</f>
        <v>#VALUE!</v>
      </c>
    </row>
    <row r="451" spans="6:6" x14ac:dyDescent="0.25">
      <c r="F451" t="e" cm="1" vm="1">
        <f t="array" ref="F451">TRANSPOSE(_xlfn._xlws.FILTER(_xlfn.ANCHORARRAY($B$2),_xlfn.ANCHORARRAY($A$2)=$E451))</f>
        <v>#VALUE!</v>
      </c>
    </row>
    <row r="452" spans="6:6" x14ac:dyDescent="0.25">
      <c r="F452" t="e" cm="1" vm="1">
        <f t="array" ref="F452">TRANSPOSE(_xlfn._xlws.FILTER(_xlfn.ANCHORARRAY($B$2),_xlfn.ANCHORARRAY($A$2)=$E452))</f>
        <v>#VALUE!</v>
      </c>
    </row>
    <row r="453" spans="6:6" x14ac:dyDescent="0.25">
      <c r="F453" t="e" cm="1" vm="1">
        <f t="array" ref="F453">TRANSPOSE(_xlfn._xlws.FILTER(_xlfn.ANCHORARRAY($B$2),_xlfn.ANCHORARRAY($A$2)=$E453))</f>
        <v>#VALUE!</v>
      </c>
    </row>
    <row r="454" spans="6:6" x14ac:dyDescent="0.25">
      <c r="F454" t="e" cm="1" vm="1">
        <f t="array" ref="F454">TRANSPOSE(_xlfn._xlws.FILTER(_xlfn.ANCHORARRAY($B$2),_xlfn.ANCHORARRAY($A$2)=$E454))</f>
        <v>#VALUE!</v>
      </c>
    </row>
    <row r="455" spans="6:6" x14ac:dyDescent="0.25">
      <c r="F455" t="e" cm="1" vm="1">
        <f t="array" ref="F455">TRANSPOSE(_xlfn._xlws.FILTER(_xlfn.ANCHORARRAY($B$2),_xlfn.ANCHORARRAY($A$2)=$E455))</f>
        <v>#VALUE!</v>
      </c>
    </row>
    <row r="456" spans="6:6" x14ac:dyDescent="0.25">
      <c r="F456" t="e" cm="1" vm="1">
        <f t="array" ref="F456">TRANSPOSE(_xlfn._xlws.FILTER(_xlfn.ANCHORARRAY($B$2),_xlfn.ANCHORARRAY($A$2)=$E456))</f>
        <v>#VALUE!</v>
      </c>
    </row>
    <row r="457" spans="6:6" x14ac:dyDescent="0.25">
      <c r="F457" t="e" cm="1" vm="1">
        <f t="array" ref="F457">TRANSPOSE(_xlfn._xlws.FILTER(_xlfn.ANCHORARRAY($B$2),_xlfn.ANCHORARRAY($A$2)=$E457))</f>
        <v>#VALUE!</v>
      </c>
    </row>
    <row r="458" spans="6:6" x14ac:dyDescent="0.25">
      <c r="F458" t="e" cm="1" vm="1">
        <f t="array" ref="F458">TRANSPOSE(_xlfn._xlws.FILTER(_xlfn.ANCHORARRAY($B$2),_xlfn.ANCHORARRAY($A$2)=$E458))</f>
        <v>#VALUE!</v>
      </c>
    </row>
    <row r="459" spans="6:6" x14ac:dyDescent="0.25">
      <c r="F459" t="e" cm="1" vm="1">
        <f t="array" ref="F459">TRANSPOSE(_xlfn._xlws.FILTER(_xlfn.ANCHORARRAY($B$2),_xlfn.ANCHORARRAY($A$2)=$E459))</f>
        <v>#VALUE!</v>
      </c>
    </row>
    <row r="460" spans="6:6" x14ac:dyDescent="0.25">
      <c r="F460" t="e" cm="1" vm="1">
        <f t="array" ref="F460">TRANSPOSE(_xlfn._xlws.FILTER(_xlfn.ANCHORARRAY($B$2),_xlfn.ANCHORARRAY($A$2)=$E460))</f>
        <v>#VALUE!</v>
      </c>
    </row>
    <row r="461" spans="6:6" x14ac:dyDescent="0.25">
      <c r="F461" t="e" cm="1" vm="1">
        <f t="array" ref="F461">TRANSPOSE(_xlfn._xlws.FILTER(_xlfn.ANCHORARRAY($B$2),_xlfn.ANCHORARRAY($A$2)=$E461))</f>
        <v>#VALUE!</v>
      </c>
    </row>
    <row r="462" spans="6:6" x14ac:dyDescent="0.25">
      <c r="F462" t="e" cm="1" vm="1">
        <f t="array" ref="F462">TRANSPOSE(_xlfn._xlws.FILTER(_xlfn.ANCHORARRAY($B$2),_xlfn.ANCHORARRAY($A$2)=$E462))</f>
        <v>#VALUE!</v>
      </c>
    </row>
    <row r="463" spans="6:6" x14ac:dyDescent="0.25">
      <c r="F463" t="e" cm="1" vm="1">
        <f t="array" ref="F463">TRANSPOSE(_xlfn._xlws.FILTER(_xlfn.ANCHORARRAY($B$2),_xlfn.ANCHORARRAY($A$2)=$E463))</f>
        <v>#VALUE!</v>
      </c>
    </row>
    <row r="464" spans="6:6" x14ac:dyDescent="0.25">
      <c r="F464" t="e" cm="1" vm="1">
        <f t="array" ref="F464">TRANSPOSE(_xlfn._xlws.FILTER(_xlfn.ANCHORARRAY($B$2),_xlfn.ANCHORARRAY($A$2)=$E464))</f>
        <v>#VALUE!</v>
      </c>
    </row>
    <row r="465" spans="6:6" x14ac:dyDescent="0.25">
      <c r="F465" t="e" cm="1" vm="1">
        <f t="array" ref="F465">TRANSPOSE(_xlfn._xlws.FILTER(_xlfn.ANCHORARRAY($B$2),_xlfn.ANCHORARRAY($A$2)=$E465))</f>
        <v>#VALUE!</v>
      </c>
    </row>
    <row r="466" spans="6:6" x14ac:dyDescent="0.25">
      <c r="F466" t="e" cm="1" vm="1">
        <f t="array" ref="F466">TRANSPOSE(_xlfn._xlws.FILTER(_xlfn.ANCHORARRAY($B$2),_xlfn.ANCHORARRAY($A$2)=$E466))</f>
        <v>#VALUE!</v>
      </c>
    </row>
    <row r="467" spans="6:6" x14ac:dyDescent="0.25">
      <c r="F467" t="e" cm="1" vm="1">
        <f t="array" ref="F467">TRANSPOSE(_xlfn._xlws.FILTER(_xlfn.ANCHORARRAY($B$2),_xlfn.ANCHORARRAY($A$2)=$E467))</f>
        <v>#VALUE!</v>
      </c>
    </row>
    <row r="468" spans="6:6" x14ac:dyDescent="0.25">
      <c r="F468" t="e" cm="1" vm="1">
        <f t="array" ref="F468">TRANSPOSE(_xlfn._xlws.FILTER(_xlfn.ANCHORARRAY($B$2),_xlfn.ANCHORARRAY($A$2)=$E468))</f>
        <v>#VALUE!</v>
      </c>
    </row>
    <row r="469" spans="6:6" x14ac:dyDescent="0.25">
      <c r="F469" t="e" cm="1" vm="1">
        <f t="array" ref="F469">TRANSPOSE(_xlfn._xlws.FILTER(_xlfn.ANCHORARRAY($B$2),_xlfn.ANCHORARRAY($A$2)=$E469))</f>
        <v>#VALUE!</v>
      </c>
    </row>
    <row r="470" spans="6:6" x14ac:dyDescent="0.25">
      <c r="F470" t="e" cm="1" vm="1">
        <f t="array" ref="F470">TRANSPOSE(_xlfn._xlws.FILTER(_xlfn.ANCHORARRAY($B$2),_xlfn.ANCHORARRAY($A$2)=$E470))</f>
        <v>#VALUE!</v>
      </c>
    </row>
    <row r="471" spans="6:6" x14ac:dyDescent="0.25">
      <c r="F471" t="e" cm="1" vm="1">
        <f t="array" ref="F471">TRANSPOSE(_xlfn._xlws.FILTER(_xlfn.ANCHORARRAY($B$2),_xlfn.ANCHORARRAY($A$2)=$E471))</f>
        <v>#VALUE!</v>
      </c>
    </row>
    <row r="472" spans="6:6" x14ac:dyDescent="0.25">
      <c r="F472" t="e" cm="1" vm="1">
        <f t="array" ref="F472">TRANSPOSE(_xlfn._xlws.FILTER(_xlfn.ANCHORARRAY($B$2),_xlfn.ANCHORARRAY($A$2)=$E472))</f>
        <v>#VALUE!</v>
      </c>
    </row>
    <row r="473" spans="6:6" x14ac:dyDescent="0.25">
      <c r="F473" t="e" cm="1" vm="1">
        <f t="array" ref="F473">TRANSPOSE(_xlfn._xlws.FILTER(_xlfn.ANCHORARRAY($B$2),_xlfn.ANCHORARRAY($A$2)=$E473))</f>
        <v>#VALUE!</v>
      </c>
    </row>
    <row r="474" spans="6:6" x14ac:dyDescent="0.25">
      <c r="F474" t="e" cm="1" vm="1">
        <f t="array" ref="F474">TRANSPOSE(_xlfn._xlws.FILTER(_xlfn.ANCHORARRAY($B$2),_xlfn.ANCHORARRAY($A$2)=$E474))</f>
        <v>#VALUE!</v>
      </c>
    </row>
    <row r="475" spans="6:6" x14ac:dyDescent="0.25">
      <c r="F475" t="e" cm="1" vm="1">
        <f t="array" ref="F475">TRANSPOSE(_xlfn._xlws.FILTER(_xlfn.ANCHORARRAY($B$2),_xlfn.ANCHORARRAY($A$2)=$E475))</f>
        <v>#VALUE!</v>
      </c>
    </row>
    <row r="476" spans="6:6" x14ac:dyDescent="0.25">
      <c r="F476" t="e" cm="1" vm="1">
        <f t="array" ref="F476">TRANSPOSE(_xlfn._xlws.FILTER(_xlfn.ANCHORARRAY($B$2),_xlfn.ANCHORARRAY($A$2)=$E476))</f>
        <v>#VALUE!</v>
      </c>
    </row>
    <row r="477" spans="6:6" x14ac:dyDescent="0.25">
      <c r="F477" t="e" cm="1" vm="1">
        <f t="array" ref="F477">TRANSPOSE(_xlfn._xlws.FILTER(_xlfn.ANCHORARRAY($B$2),_xlfn.ANCHORARRAY($A$2)=$E477))</f>
        <v>#VALUE!</v>
      </c>
    </row>
    <row r="478" spans="6:6" x14ac:dyDescent="0.25">
      <c r="F478" t="e" cm="1" vm="1">
        <f t="array" ref="F478">TRANSPOSE(_xlfn._xlws.FILTER(_xlfn.ANCHORARRAY($B$2),_xlfn.ANCHORARRAY($A$2)=$E478))</f>
        <v>#VALUE!</v>
      </c>
    </row>
    <row r="479" spans="6:6" x14ac:dyDescent="0.25">
      <c r="F479" t="e" cm="1" vm="1">
        <f t="array" ref="F479">TRANSPOSE(_xlfn._xlws.FILTER(_xlfn.ANCHORARRAY($B$2),_xlfn.ANCHORARRAY($A$2)=$E479))</f>
        <v>#VALUE!</v>
      </c>
    </row>
    <row r="480" spans="6:6" x14ac:dyDescent="0.25">
      <c r="F480" t="e" cm="1" vm="1">
        <f t="array" ref="F480">TRANSPOSE(_xlfn._xlws.FILTER(_xlfn.ANCHORARRAY($B$2),_xlfn.ANCHORARRAY($A$2)=$E480))</f>
        <v>#VALUE!</v>
      </c>
    </row>
    <row r="481" spans="6:6" x14ac:dyDescent="0.25">
      <c r="F481" t="e" cm="1" vm="1">
        <f t="array" ref="F481">TRANSPOSE(_xlfn._xlws.FILTER(_xlfn.ANCHORARRAY($B$2),_xlfn.ANCHORARRAY($A$2)=$E481))</f>
        <v>#VALUE!</v>
      </c>
    </row>
    <row r="482" spans="6:6" x14ac:dyDescent="0.25">
      <c r="F482" t="e" cm="1" vm="1">
        <f t="array" ref="F482">TRANSPOSE(_xlfn._xlws.FILTER(_xlfn.ANCHORARRAY($B$2),_xlfn.ANCHORARRAY($A$2)=$E482))</f>
        <v>#VALUE!</v>
      </c>
    </row>
    <row r="483" spans="6:6" x14ac:dyDescent="0.25">
      <c r="F483" t="e" cm="1" vm="1">
        <f t="array" ref="F483">TRANSPOSE(_xlfn._xlws.FILTER(_xlfn.ANCHORARRAY($B$2),_xlfn.ANCHORARRAY($A$2)=$E483))</f>
        <v>#VALUE!</v>
      </c>
    </row>
    <row r="484" spans="6:6" x14ac:dyDescent="0.25">
      <c r="F484" t="e" cm="1" vm="1">
        <f t="array" ref="F484">TRANSPOSE(_xlfn._xlws.FILTER(_xlfn.ANCHORARRAY($B$2),_xlfn.ANCHORARRAY($A$2)=$E484))</f>
        <v>#VALUE!</v>
      </c>
    </row>
    <row r="485" spans="6:6" x14ac:dyDescent="0.25">
      <c r="F485" t="e" cm="1" vm="1">
        <f t="array" ref="F485">TRANSPOSE(_xlfn._xlws.FILTER(_xlfn.ANCHORARRAY($B$2),_xlfn.ANCHORARRAY($A$2)=$E485))</f>
        <v>#VALUE!</v>
      </c>
    </row>
    <row r="486" spans="6:6" x14ac:dyDescent="0.25">
      <c r="F486" t="e" cm="1" vm="1">
        <f t="array" ref="F486">TRANSPOSE(_xlfn._xlws.FILTER(_xlfn.ANCHORARRAY($B$2),_xlfn.ANCHORARRAY($A$2)=$E486))</f>
        <v>#VALUE!</v>
      </c>
    </row>
    <row r="487" spans="6:6" x14ac:dyDescent="0.25">
      <c r="F487" t="e" cm="1" vm="1">
        <f t="array" ref="F487">TRANSPOSE(_xlfn._xlws.FILTER(_xlfn.ANCHORARRAY($B$2),_xlfn.ANCHORARRAY($A$2)=$E487))</f>
        <v>#VALUE!</v>
      </c>
    </row>
    <row r="488" spans="6:6" x14ac:dyDescent="0.25">
      <c r="F488" t="e" cm="1" vm="1">
        <f t="array" ref="F488">TRANSPOSE(_xlfn._xlws.FILTER(_xlfn.ANCHORARRAY($B$2),_xlfn.ANCHORARRAY($A$2)=$E488))</f>
        <v>#VALUE!</v>
      </c>
    </row>
    <row r="489" spans="6:6" x14ac:dyDescent="0.25">
      <c r="F489" t="e" cm="1" vm="1">
        <f t="array" ref="F489">TRANSPOSE(_xlfn._xlws.FILTER(_xlfn.ANCHORARRAY($B$2),_xlfn.ANCHORARRAY($A$2)=$E489))</f>
        <v>#VALUE!</v>
      </c>
    </row>
    <row r="490" spans="6:6" x14ac:dyDescent="0.25">
      <c r="F490" t="e" cm="1" vm="1">
        <f t="array" ref="F490">TRANSPOSE(_xlfn._xlws.FILTER(_xlfn.ANCHORARRAY($B$2),_xlfn.ANCHORARRAY($A$2)=$E490))</f>
        <v>#VALUE!</v>
      </c>
    </row>
    <row r="491" spans="6:6" x14ac:dyDescent="0.25">
      <c r="F491" t="e" cm="1" vm="1">
        <f t="array" ref="F491">TRANSPOSE(_xlfn._xlws.FILTER(_xlfn.ANCHORARRAY($B$2),_xlfn.ANCHORARRAY($A$2)=$E491))</f>
        <v>#VALUE!</v>
      </c>
    </row>
    <row r="492" spans="6:6" x14ac:dyDescent="0.25">
      <c r="F492" t="e" cm="1" vm="1">
        <f t="array" ref="F492">TRANSPOSE(_xlfn._xlws.FILTER(_xlfn.ANCHORARRAY($B$2),_xlfn.ANCHORARRAY($A$2)=$E492))</f>
        <v>#VALUE!</v>
      </c>
    </row>
    <row r="493" spans="6:6" x14ac:dyDescent="0.25">
      <c r="F493" t="e" cm="1" vm="1">
        <f t="array" ref="F493">TRANSPOSE(_xlfn._xlws.FILTER(_xlfn.ANCHORARRAY($B$2),_xlfn.ANCHORARRAY($A$2)=$E493))</f>
        <v>#VALUE!</v>
      </c>
    </row>
    <row r="494" spans="6:6" x14ac:dyDescent="0.25">
      <c r="F494" t="e" cm="1" vm="1">
        <f t="array" ref="F494">TRANSPOSE(_xlfn._xlws.FILTER(_xlfn.ANCHORARRAY($B$2),_xlfn.ANCHORARRAY($A$2)=$E494))</f>
        <v>#VALUE!</v>
      </c>
    </row>
    <row r="495" spans="6:6" x14ac:dyDescent="0.25">
      <c r="F495" t="e" cm="1" vm="1">
        <f t="array" ref="F495">TRANSPOSE(_xlfn._xlws.FILTER(_xlfn.ANCHORARRAY($B$2),_xlfn.ANCHORARRAY($A$2)=$E495))</f>
        <v>#VALUE!</v>
      </c>
    </row>
    <row r="496" spans="6:6" x14ac:dyDescent="0.25">
      <c r="F496" t="e" cm="1" vm="1">
        <f t="array" ref="F496">TRANSPOSE(_xlfn._xlws.FILTER(_xlfn.ANCHORARRAY($B$2),_xlfn.ANCHORARRAY($A$2)=$E496))</f>
        <v>#VALUE!</v>
      </c>
    </row>
    <row r="497" spans="6:6" x14ac:dyDescent="0.25">
      <c r="F497" t="e" cm="1" vm="1">
        <f t="array" ref="F497">TRANSPOSE(_xlfn._xlws.FILTER(_xlfn.ANCHORARRAY($B$2),_xlfn.ANCHORARRAY($A$2)=$E497))</f>
        <v>#VALUE!</v>
      </c>
    </row>
    <row r="498" spans="6:6" x14ac:dyDescent="0.25">
      <c r="F498" t="e" cm="1" vm="1">
        <f t="array" ref="F498">TRANSPOSE(_xlfn._xlws.FILTER(_xlfn.ANCHORARRAY($B$2),_xlfn.ANCHORARRAY($A$2)=$E498))</f>
        <v>#VALUE!</v>
      </c>
    </row>
    <row r="499" spans="6:6" x14ac:dyDescent="0.25">
      <c r="F499" t="e" cm="1" vm="1">
        <f t="array" ref="F499">TRANSPOSE(_xlfn._xlws.FILTER(_xlfn.ANCHORARRAY($B$2),_xlfn.ANCHORARRAY($A$2)=$E499))</f>
        <v>#VALUE!</v>
      </c>
    </row>
    <row r="500" spans="6:6" x14ac:dyDescent="0.25">
      <c r="F500" t="e" cm="1" vm="1">
        <f t="array" ref="F500">TRANSPOSE(_xlfn._xlws.FILTER(_xlfn.ANCHORARRAY($B$2),_xlfn.ANCHORARRAY($A$2)=$E500))</f>
        <v>#VALUE!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A76C-9894-4A87-911D-03F61CEF5763}">
  <sheetPr codeName="Sheet5"/>
  <dimension ref="A1:K500"/>
  <sheetViews>
    <sheetView topLeftCell="A494" workbookViewId="0">
      <selection activeCell="F200" sqref="F200:F500"/>
    </sheetView>
  </sheetViews>
  <sheetFormatPr defaultRowHeight="15" x14ac:dyDescent="0.25"/>
  <cols>
    <col min="1" max="1" width="14.7109375" customWidth="1"/>
    <col min="5" max="5" width="34.28515625" bestFit="1" customWidth="1"/>
    <col min="6" max="6" width="17.5703125" bestFit="1" customWidth="1"/>
  </cols>
  <sheetData>
    <row r="1" spans="1:11" x14ac:dyDescent="0.25">
      <c r="A1" t="s">
        <v>1</v>
      </c>
      <c r="B1" t="s">
        <v>240</v>
      </c>
      <c r="D1" cm="1">
        <f t="array" ref="D1:D64">tbl_Extraction[No.]</f>
        <v>1</v>
      </c>
      <c r="E1" t="str" cm="1">
        <f t="array" ref="E1:E64">tbl_Extraction[Model]</f>
        <v>CR113_N_Case1,4_SLS_0.7EI_Hyd_a03BP1.0m</v>
      </c>
      <c r="F1" t="str" cm="1">
        <f t="array" ref="F1:K1">TRANSPOSE(_xlfn._xlws.FILTER(_xlfn.ANCHORARRAY($B$2),_xlfn.ANCHORARRAY($A$2)=$E1))</f>
        <v>NodeToNodeAnchor_1</v>
      </c>
      <c r="G1" t="str">
        <v>NodeToNodeAnchor_2</v>
      </c>
      <c r="H1" t="str">
        <v>NodeToNodeAnchor_3</v>
      </c>
      <c r="I1" t="str">
        <v>NodeToNodeAnchor_4</v>
      </c>
      <c r="J1" t="str">
        <v>NodeToNodeAnchor_5</v>
      </c>
      <c r="K1" t="str">
        <v>NodeToNodeAnchor_6</v>
      </c>
    </row>
    <row r="2" spans="1:11" x14ac:dyDescent="0.25">
      <c r="A2" t="str" cm="1">
        <f t="array" ref="A2:A37">_xlfn._xlws.FILTER(tbl_AllElements[Model],tbl_AllElements[Element Type]=$B$1)</f>
        <v>CR113_N_Case1,4_SLS_0.7EI_Hyd_a03BP1.0m</v>
      </c>
      <c r="B2" t="str" cm="1">
        <f t="array" ref="B2:B37">_xlfn._xlws.FILTER(tbl_AllElements[Element Name],tbl_AllElements[Element Type]=$B$1)</f>
        <v>NodeToNodeAnchor_1</v>
      </c>
      <c r="D2">
        <v>2</v>
      </c>
      <c r="E2" t="str">
        <v>CR113_N_Case1,4_SLS_0.7EI_Hyd_a03BP1.0m</v>
      </c>
      <c r="F2" t="str" cm="1">
        <f t="array" ref="F2:K2">TRANSPOSE(_xlfn._xlws.FILTER(_xlfn.ANCHORARRAY($B$2),_xlfn.ANCHORARRAY($A$2)=$E2))</f>
        <v>NodeToNodeAnchor_1</v>
      </c>
      <c r="G2" t="str">
        <v>NodeToNodeAnchor_2</v>
      </c>
      <c r="H2" t="str">
        <v>NodeToNodeAnchor_3</v>
      </c>
      <c r="I2" t="str">
        <v>NodeToNodeAnchor_4</v>
      </c>
      <c r="J2" t="str">
        <v>NodeToNodeAnchor_5</v>
      </c>
      <c r="K2" t="str">
        <v>NodeToNodeAnchor_6</v>
      </c>
    </row>
    <row r="3" spans="1:11" x14ac:dyDescent="0.25">
      <c r="A3" t="str">
        <v>CR113_N_Case1,4_SLS_0.7EI_Hyd_a03BP1.0m</v>
      </c>
      <c r="B3" t="str">
        <v>NodeToNodeAnchor_2</v>
      </c>
      <c r="D3">
        <v>3</v>
      </c>
      <c r="E3" t="str">
        <v>CR113_N_Case1,4_SLS_0.7EI_Hyd_a03BP1.0m</v>
      </c>
      <c r="F3" t="str" cm="1">
        <f t="array" ref="F3:K3">TRANSPOSE(_xlfn._xlws.FILTER(_xlfn.ANCHORARRAY($B$2),_xlfn.ANCHORARRAY($A$2)=$E3))</f>
        <v>NodeToNodeAnchor_1</v>
      </c>
      <c r="G3" t="str">
        <v>NodeToNodeAnchor_2</v>
      </c>
      <c r="H3" t="str">
        <v>NodeToNodeAnchor_3</v>
      </c>
      <c r="I3" t="str">
        <v>NodeToNodeAnchor_4</v>
      </c>
      <c r="J3" t="str">
        <v>NodeToNodeAnchor_5</v>
      </c>
      <c r="K3" t="str">
        <v>NodeToNodeAnchor_6</v>
      </c>
    </row>
    <row r="4" spans="1:11" x14ac:dyDescent="0.25">
      <c r="A4" t="str">
        <v>CR113_N_Case1,4_SLS_0.7EI_Hyd_a03BP1.0m</v>
      </c>
      <c r="B4" t="str">
        <v>NodeToNodeAnchor_3</v>
      </c>
      <c r="D4">
        <v>4</v>
      </c>
      <c r="E4" t="str">
        <v>CR113_N_Case1,4_SLS_0.7EI_Hyd_a03BP1.0m</v>
      </c>
      <c r="F4" t="str" cm="1">
        <f t="array" ref="F4:K4">TRANSPOSE(_xlfn._xlws.FILTER(_xlfn.ANCHORARRAY($B$2),_xlfn.ANCHORARRAY($A$2)=$E4))</f>
        <v>NodeToNodeAnchor_1</v>
      </c>
      <c r="G4" t="str">
        <v>NodeToNodeAnchor_2</v>
      </c>
      <c r="H4" t="str">
        <v>NodeToNodeAnchor_3</v>
      </c>
      <c r="I4" t="str">
        <v>NodeToNodeAnchor_4</v>
      </c>
      <c r="J4" t="str">
        <v>NodeToNodeAnchor_5</v>
      </c>
      <c r="K4" t="str">
        <v>NodeToNodeAnchor_6</v>
      </c>
    </row>
    <row r="5" spans="1:11" x14ac:dyDescent="0.25">
      <c r="A5" t="str">
        <v>CR113_N_Case1,4_SLS_0.7EI_Hyd_a03BP1.0m</v>
      </c>
      <c r="B5" t="str">
        <v>NodeToNodeAnchor_4</v>
      </c>
      <c r="D5">
        <v>5</v>
      </c>
      <c r="E5" t="str">
        <v>CR113_N_Case1,4_SLS_0.7EI_Hyd_a03BP1.0m</v>
      </c>
      <c r="F5" t="str" cm="1">
        <f t="array" ref="F5:K5">TRANSPOSE(_xlfn._xlws.FILTER(_xlfn.ANCHORARRAY($B$2),_xlfn.ANCHORARRAY($A$2)=$E5))</f>
        <v>NodeToNodeAnchor_1</v>
      </c>
      <c r="G5" t="str">
        <v>NodeToNodeAnchor_2</v>
      </c>
      <c r="H5" t="str">
        <v>NodeToNodeAnchor_3</v>
      </c>
      <c r="I5" t="str">
        <v>NodeToNodeAnchor_4</v>
      </c>
      <c r="J5" t="str">
        <v>NodeToNodeAnchor_5</v>
      </c>
      <c r="K5" t="str">
        <v>NodeToNodeAnchor_6</v>
      </c>
    </row>
    <row r="6" spans="1:11" x14ac:dyDescent="0.25">
      <c r="A6" t="str">
        <v>CR113_N_Case1,4_SLS_0.7EI_Hyd_a03BP1.0m</v>
      </c>
      <c r="B6" t="str">
        <v>NodeToNodeAnchor_5</v>
      </c>
      <c r="D6">
        <v>6</v>
      </c>
      <c r="E6" t="str">
        <v>CR113_N_Case1,4_SLS_0.7EI_Hyd_a03BP1.0m</v>
      </c>
      <c r="F6" t="str" cm="1">
        <f t="array" ref="F6:K6">TRANSPOSE(_xlfn._xlws.FILTER(_xlfn.ANCHORARRAY($B$2),_xlfn.ANCHORARRAY($A$2)=$E6))</f>
        <v>NodeToNodeAnchor_1</v>
      </c>
      <c r="G6" t="str">
        <v>NodeToNodeAnchor_2</v>
      </c>
      <c r="H6" t="str">
        <v>NodeToNodeAnchor_3</v>
      </c>
      <c r="I6" t="str">
        <v>NodeToNodeAnchor_4</v>
      </c>
      <c r="J6" t="str">
        <v>NodeToNodeAnchor_5</v>
      </c>
      <c r="K6" t="str">
        <v>NodeToNodeAnchor_6</v>
      </c>
    </row>
    <row r="7" spans="1:11" x14ac:dyDescent="0.25">
      <c r="A7" t="str">
        <v>CR113_N_Case1,4_SLS_0.7EI_Hyd_a03BP1.0m</v>
      </c>
      <c r="B7" t="str">
        <v>NodeToNodeAnchor_6</v>
      </c>
      <c r="D7">
        <v>7</v>
      </c>
      <c r="E7" t="str">
        <v>CR113_N_Case1,4_SLS_0.7EI_Hyd_a03BP1.0m</v>
      </c>
      <c r="F7" t="str" cm="1">
        <f t="array" ref="F7:K7">TRANSPOSE(_xlfn._xlws.FILTER(_xlfn.ANCHORARRAY($B$2),_xlfn.ANCHORARRAY($A$2)=$E7))</f>
        <v>NodeToNodeAnchor_1</v>
      </c>
      <c r="G7" t="str">
        <v>NodeToNodeAnchor_2</v>
      </c>
      <c r="H7" t="str">
        <v>NodeToNodeAnchor_3</v>
      </c>
      <c r="I7" t="str">
        <v>NodeToNodeAnchor_4</v>
      </c>
      <c r="J7" t="str">
        <v>NodeToNodeAnchor_5</v>
      </c>
      <c r="K7" t="str">
        <v>NodeToNodeAnchor_6</v>
      </c>
    </row>
    <row r="8" spans="1:11" x14ac:dyDescent="0.25">
      <c r="A8" t="str">
        <v>CR113_N_Case2_ULS1_1.0EI_Hyd_a03BP1.0m</v>
      </c>
      <c r="B8" t="str">
        <v>NodeToNodeAnchor_1</v>
      </c>
      <c r="D8">
        <v>8</v>
      </c>
      <c r="E8" t="str">
        <v>CR113_N_Case1,4_SLS_0.7EI_Hyd_a03BP1.0m</v>
      </c>
      <c r="F8" t="str" cm="1">
        <f t="array" ref="F8:K8">TRANSPOSE(_xlfn._xlws.FILTER(_xlfn.ANCHORARRAY($B$2),_xlfn.ANCHORARRAY($A$2)=$E8))</f>
        <v>NodeToNodeAnchor_1</v>
      </c>
      <c r="G8" t="str">
        <v>NodeToNodeAnchor_2</v>
      </c>
      <c r="H8" t="str">
        <v>NodeToNodeAnchor_3</v>
      </c>
      <c r="I8" t="str">
        <v>NodeToNodeAnchor_4</v>
      </c>
      <c r="J8" t="str">
        <v>NodeToNodeAnchor_5</v>
      </c>
      <c r="K8" t="str">
        <v>NodeToNodeAnchor_6</v>
      </c>
    </row>
    <row r="9" spans="1:11" x14ac:dyDescent="0.25">
      <c r="A9" t="str">
        <v>CR113_N_Case2_ULS1_1.0EI_Hyd_a03BP1.0m</v>
      </c>
      <c r="B9" t="str">
        <v>NodeToNodeAnchor_2</v>
      </c>
      <c r="D9">
        <v>9</v>
      </c>
      <c r="E9" t="str">
        <v>CR113_N_Case1,4_SLS_0.7EI_Hyd_a03BP1.0m</v>
      </c>
      <c r="F9" t="str" cm="1">
        <f t="array" ref="F9:K9">TRANSPOSE(_xlfn._xlws.FILTER(_xlfn.ANCHORARRAY($B$2),_xlfn.ANCHORARRAY($A$2)=$E9))</f>
        <v>NodeToNodeAnchor_1</v>
      </c>
      <c r="G9" t="str">
        <v>NodeToNodeAnchor_2</v>
      </c>
      <c r="H9" t="str">
        <v>NodeToNodeAnchor_3</v>
      </c>
      <c r="I9" t="str">
        <v>NodeToNodeAnchor_4</v>
      </c>
      <c r="J9" t="str">
        <v>NodeToNodeAnchor_5</v>
      </c>
      <c r="K9" t="str">
        <v>NodeToNodeAnchor_6</v>
      </c>
    </row>
    <row r="10" spans="1:11" x14ac:dyDescent="0.25">
      <c r="A10" t="str">
        <v>CR113_N_Case2_ULS1_1.0EI_Hyd_a03BP1.0m</v>
      </c>
      <c r="B10" t="str">
        <v>NodeToNodeAnchor_3</v>
      </c>
      <c r="D10">
        <v>10</v>
      </c>
      <c r="E10" t="str">
        <v>CR113_N_Case1,4_SLS_0.7EI_Hyd_a03BP1.0m</v>
      </c>
      <c r="F10" t="str" cm="1">
        <f t="array" ref="F10:K10">TRANSPOSE(_xlfn._xlws.FILTER(_xlfn.ANCHORARRAY($B$2),_xlfn.ANCHORARRAY($A$2)=$E10))</f>
        <v>NodeToNodeAnchor_1</v>
      </c>
      <c r="G10" t="str">
        <v>NodeToNodeAnchor_2</v>
      </c>
      <c r="H10" t="str">
        <v>NodeToNodeAnchor_3</v>
      </c>
      <c r="I10" t="str">
        <v>NodeToNodeAnchor_4</v>
      </c>
      <c r="J10" t="str">
        <v>NodeToNodeAnchor_5</v>
      </c>
      <c r="K10" t="str">
        <v>NodeToNodeAnchor_6</v>
      </c>
    </row>
    <row r="11" spans="1:11" x14ac:dyDescent="0.25">
      <c r="A11" t="str">
        <v>CR113_N_Case2_ULS1_1.0EI_Hyd_a03BP1.0m</v>
      </c>
      <c r="B11" t="str">
        <v>NodeToNodeAnchor_4</v>
      </c>
      <c r="D11">
        <v>11</v>
      </c>
      <c r="E11" t="str">
        <v>CR113_N_Case1,4_SLS_0.7EI_Hyd_a03BP1.0m</v>
      </c>
      <c r="F11" t="str" cm="1">
        <f t="array" ref="F11:K11">TRANSPOSE(_xlfn._xlws.FILTER(_xlfn.ANCHORARRAY($B$2),_xlfn.ANCHORARRAY($A$2)=$E11))</f>
        <v>NodeToNodeAnchor_1</v>
      </c>
      <c r="G11" t="str">
        <v>NodeToNodeAnchor_2</v>
      </c>
      <c r="H11" t="str">
        <v>NodeToNodeAnchor_3</v>
      </c>
      <c r="I11" t="str">
        <v>NodeToNodeAnchor_4</v>
      </c>
      <c r="J11" t="str">
        <v>NodeToNodeAnchor_5</v>
      </c>
      <c r="K11" t="str">
        <v>NodeToNodeAnchor_6</v>
      </c>
    </row>
    <row r="12" spans="1:11" x14ac:dyDescent="0.25">
      <c r="A12" t="str">
        <v>CR113_N_Case2_ULS1_1.0EI_Hyd_a03BP1.0m</v>
      </c>
      <c r="B12" t="str">
        <v>NodeToNodeAnchor_5</v>
      </c>
      <c r="D12">
        <v>12</v>
      </c>
      <c r="E12" t="str">
        <v>CR113_N_Case1,4_SLS_0.7EI_Hyd_a03BP1.0m</v>
      </c>
      <c r="F12" t="str" cm="1">
        <f t="array" ref="F12:K12">TRANSPOSE(_xlfn._xlws.FILTER(_xlfn.ANCHORARRAY($B$2),_xlfn.ANCHORARRAY($A$2)=$E12))</f>
        <v>NodeToNodeAnchor_1</v>
      </c>
      <c r="G12" t="str">
        <v>NodeToNodeAnchor_2</v>
      </c>
      <c r="H12" t="str">
        <v>NodeToNodeAnchor_3</v>
      </c>
      <c r="I12" t="str">
        <v>NodeToNodeAnchor_4</v>
      </c>
      <c r="J12" t="str">
        <v>NodeToNodeAnchor_5</v>
      </c>
      <c r="K12" t="str">
        <v>NodeToNodeAnchor_6</v>
      </c>
    </row>
    <row r="13" spans="1:11" x14ac:dyDescent="0.25">
      <c r="A13" t="str">
        <v>CR113_N_Case2_ULS1_1.0EI_Hyd_a03BP1.0m</v>
      </c>
      <c r="B13" t="str">
        <v>NodeToNodeAnchor_6</v>
      </c>
      <c r="D13">
        <v>13</v>
      </c>
      <c r="E13" t="str">
        <v>CR113_N_Case1,4_SLS_0.7EI_Hyd_a03BP1.0m</v>
      </c>
      <c r="F13" t="str" cm="1">
        <f t="array" ref="F13:K13">TRANSPOSE(_xlfn._xlws.FILTER(_xlfn.ANCHORARRAY($B$2),_xlfn.ANCHORARRAY($A$2)=$E13))</f>
        <v>NodeToNodeAnchor_1</v>
      </c>
      <c r="G13" t="str">
        <v>NodeToNodeAnchor_2</v>
      </c>
      <c r="H13" t="str">
        <v>NodeToNodeAnchor_3</v>
      </c>
      <c r="I13" t="str">
        <v>NodeToNodeAnchor_4</v>
      </c>
      <c r="J13" t="str">
        <v>NodeToNodeAnchor_5</v>
      </c>
      <c r="K13" t="str">
        <v>NodeToNodeAnchor_6</v>
      </c>
    </row>
    <row r="14" spans="1:11" x14ac:dyDescent="0.25">
      <c r="A14" t="str">
        <v>CR113_N_Case3_ULS2_1.0EI_Hyd_a03BP1.0m</v>
      </c>
      <c r="B14" t="str">
        <v>NodeToNodeAnchor_1</v>
      </c>
      <c r="D14">
        <v>14</v>
      </c>
      <c r="E14" t="str">
        <v>CR113_N_Case1,4_SLS_0.7EI_Hyd_a03BP1.0m</v>
      </c>
      <c r="F14" t="str" cm="1">
        <f t="array" ref="F14:K14">TRANSPOSE(_xlfn._xlws.FILTER(_xlfn.ANCHORARRAY($B$2),_xlfn.ANCHORARRAY($A$2)=$E14))</f>
        <v>NodeToNodeAnchor_1</v>
      </c>
      <c r="G14" t="str">
        <v>NodeToNodeAnchor_2</v>
      </c>
      <c r="H14" t="str">
        <v>NodeToNodeAnchor_3</v>
      </c>
      <c r="I14" t="str">
        <v>NodeToNodeAnchor_4</v>
      </c>
      <c r="J14" t="str">
        <v>NodeToNodeAnchor_5</v>
      </c>
      <c r="K14" t="str">
        <v>NodeToNodeAnchor_6</v>
      </c>
    </row>
    <row r="15" spans="1:11" x14ac:dyDescent="0.25">
      <c r="A15" t="str">
        <v>CR113_N_Case3_ULS2_1.0EI_Hyd_a03BP1.0m</v>
      </c>
      <c r="B15" t="str">
        <v>NodeToNodeAnchor_2</v>
      </c>
      <c r="D15">
        <v>15</v>
      </c>
      <c r="E15" t="str">
        <v>CR113_N_Case1,4_SLS_0.7EI_Hyd_a03BP1.0m</v>
      </c>
      <c r="F15" t="str" cm="1">
        <f t="array" ref="F15:K15">TRANSPOSE(_xlfn._xlws.FILTER(_xlfn.ANCHORARRAY($B$2),_xlfn.ANCHORARRAY($A$2)=$E15))</f>
        <v>NodeToNodeAnchor_1</v>
      </c>
      <c r="G15" t="str">
        <v>NodeToNodeAnchor_2</v>
      </c>
      <c r="H15" t="str">
        <v>NodeToNodeAnchor_3</v>
      </c>
      <c r="I15" t="str">
        <v>NodeToNodeAnchor_4</v>
      </c>
      <c r="J15" t="str">
        <v>NodeToNodeAnchor_5</v>
      </c>
      <c r="K15" t="str">
        <v>NodeToNodeAnchor_6</v>
      </c>
    </row>
    <row r="16" spans="1:11" x14ac:dyDescent="0.25">
      <c r="A16" t="str">
        <v>CR113_N_Case3_ULS2_1.0EI_Hyd_a03BP1.0m</v>
      </c>
      <c r="B16" t="str">
        <v>NodeToNodeAnchor_3</v>
      </c>
      <c r="D16">
        <v>16</v>
      </c>
      <c r="E16" t="str">
        <v>CR113_N_Case1,4_SLS_0.7EI_Hyd_a03BP1.0m</v>
      </c>
      <c r="F16" t="str" cm="1">
        <f t="array" ref="F16:K16">TRANSPOSE(_xlfn._xlws.FILTER(_xlfn.ANCHORARRAY($B$2),_xlfn.ANCHORARRAY($A$2)=$E16))</f>
        <v>NodeToNodeAnchor_1</v>
      </c>
      <c r="G16" t="str">
        <v>NodeToNodeAnchor_2</v>
      </c>
      <c r="H16" t="str">
        <v>NodeToNodeAnchor_3</v>
      </c>
      <c r="I16" t="str">
        <v>NodeToNodeAnchor_4</v>
      </c>
      <c r="J16" t="str">
        <v>NodeToNodeAnchor_5</v>
      </c>
      <c r="K16" t="str">
        <v>NodeToNodeAnchor_6</v>
      </c>
    </row>
    <row r="17" spans="1:11" x14ac:dyDescent="0.25">
      <c r="A17" t="str">
        <v>CR113_N_Case3_ULS2_1.0EI_Hyd_a03BP1.0m</v>
      </c>
      <c r="B17" t="str">
        <v>NodeToNodeAnchor_4</v>
      </c>
      <c r="D17">
        <v>17</v>
      </c>
      <c r="E17" t="str">
        <v>CR113_N_Case1,4_SLS_0.7EI_Hyd_a03BP1.0m</v>
      </c>
      <c r="F17" t="str" cm="1">
        <f t="array" ref="F17:K17">TRANSPOSE(_xlfn._xlws.FILTER(_xlfn.ANCHORARRAY($B$2),_xlfn.ANCHORARRAY($A$2)=$E17))</f>
        <v>NodeToNodeAnchor_1</v>
      </c>
      <c r="G17" t="str">
        <v>NodeToNodeAnchor_2</v>
      </c>
      <c r="H17" t="str">
        <v>NodeToNodeAnchor_3</v>
      </c>
      <c r="I17" t="str">
        <v>NodeToNodeAnchor_4</v>
      </c>
      <c r="J17" t="str">
        <v>NodeToNodeAnchor_5</v>
      </c>
      <c r="K17" t="str">
        <v>NodeToNodeAnchor_6</v>
      </c>
    </row>
    <row r="18" spans="1:11" x14ac:dyDescent="0.25">
      <c r="A18" t="str">
        <v>CR113_N_Case3_ULS2_1.0EI_Hyd_a03BP1.0m</v>
      </c>
      <c r="B18" t="str">
        <v>NodeToNodeAnchor_5</v>
      </c>
      <c r="D18">
        <v>18</v>
      </c>
      <c r="E18" t="str">
        <v>CR113_N_Case1,4_SLS_0.7EI_Hyd_a03BP1.0m</v>
      </c>
      <c r="F18" t="str" cm="1">
        <f t="array" ref="F18:K18">TRANSPOSE(_xlfn._xlws.FILTER(_xlfn.ANCHORARRAY($B$2),_xlfn.ANCHORARRAY($A$2)=$E18))</f>
        <v>NodeToNodeAnchor_1</v>
      </c>
      <c r="G18" t="str">
        <v>NodeToNodeAnchor_2</v>
      </c>
      <c r="H18" t="str">
        <v>NodeToNodeAnchor_3</v>
      </c>
      <c r="I18" t="str">
        <v>NodeToNodeAnchor_4</v>
      </c>
      <c r="J18" t="str">
        <v>NodeToNodeAnchor_5</v>
      </c>
      <c r="K18" t="str">
        <v>NodeToNodeAnchor_6</v>
      </c>
    </row>
    <row r="19" spans="1:11" x14ac:dyDescent="0.25">
      <c r="A19" t="str">
        <v>CR113_N_Case3_ULS2_1.0EI_Hyd_a03BP1.0m</v>
      </c>
      <c r="B19" t="str">
        <v>NodeToNodeAnchor_6</v>
      </c>
      <c r="D19">
        <v>19</v>
      </c>
      <c r="E19" t="str">
        <v>CR113_N_Case1,4_SLS_0.7EI_Hyd_a03BP1.0m</v>
      </c>
      <c r="F19" t="str" cm="1">
        <f t="array" ref="F19:K19">TRANSPOSE(_xlfn._xlws.FILTER(_xlfn.ANCHORARRAY($B$2),_xlfn.ANCHORARRAY($A$2)=$E19))</f>
        <v>NodeToNodeAnchor_1</v>
      </c>
      <c r="G19" t="str">
        <v>NodeToNodeAnchor_2</v>
      </c>
      <c r="H19" t="str">
        <v>NodeToNodeAnchor_3</v>
      </c>
      <c r="I19" t="str">
        <v>NodeToNodeAnchor_4</v>
      </c>
      <c r="J19" t="str">
        <v>NodeToNodeAnchor_5</v>
      </c>
      <c r="K19" t="str">
        <v>NodeToNodeAnchor_6</v>
      </c>
    </row>
    <row r="20" spans="1:11" x14ac:dyDescent="0.25">
      <c r="A20" t="str">
        <v>CR113_N_Case5,8_SLS_0.7EI_SpG_a03BP1.0m</v>
      </c>
      <c r="B20" t="str">
        <v>NodeToNodeAnchor_1</v>
      </c>
      <c r="D20">
        <v>20</v>
      </c>
      <c r="E20" t="str">
        <v>CR113_N_Case1,4_SLS_0.7EI_Hyd_a03BP1.0m</v>
      </c>
      <c r="F20" t="str" cm="1">
        <f t="array" ref="F20:K20">TRANSPOSE(_xlfn._xlws.FILTER(_xlfn.ANCHORARRAY($B$2),_xlfn.ANCHORARRAY($A$2)=$E20))</f>
        <v>NodeToNodeAnchor_1</v>
      </c>
      <c r="G20" t="str">
        <v>NodeToNodeAnchor_2</v>
      </c>
      <c r="H20" t="str">
        <v>NodeToNodeAnchor_3</v>
      </c>
      <c r="I20" t="str">
        <v>NodeToNodeAnchor_4</v>
      </c>
      <c r="J20" t="str">
        <v>NodeToNodeAnchor_5</v>
      </c>
      <c r="K20" t="str">
        <v>NodeToNodeAnchor_6</v>
      </c>
    </row>
    <row r="21" spans="1:11" x14ac:dyDescent="0.25">
      <c r="A21" t="str">
        <v>CR113_N_Case5,8_SLS_0.7EI_SpG_a03BP1.0m</v>
      </c>
      <c r="B21" t="str">
        <v>NodeToNodeAnchor_2</v>
      </c>
      <c r="D21">
        <v>21</v>
      </c>
      <c r="E21" t="str">
        <v>CR113_N_Case1,4_SLS_0.7EI_Hyd_a03BP1.0m</v>
      </c>
      <c r="F21" t="str" cm="1">
        <f t="array" ref="F21:K21">TRANSPOSE(_xlfn._xlws.FILTER(_xlfn.ANCHORARRAY($B$2),_xlfn.ANCHORARRAY($A$2)=$E21))</f>
        <v>NodeToNodeAnchor_1</v>
      </c>
      <c r="G21" t="str">
        <v>NodeToNodeAnchor_2</v>
      </c>
      <c r="H21" t="str">
        <v>NodeToNodeAnchor_3</v>
      </c>
      <c r="I21" t="str">
        <v>NodeToNodeAnchor_4</v>
      </c>
      <c r="J21" t="str">
        <v>NodeToNodeAnchor_5</v>
      </c>
      <c r="K21" t="str">
        <v>NodeToNodeAnchor_6</v>
      </c>
    </row>
    <row r="22" spans="1:11" x14ac:dyDescent="0.25">
      <c r="A22" t="str">
        <v>CR113_N_Case5,8_SLS_0.7EI_SpG_a03BP1.0m</v>
      </c>
      <c r="B22" t="str">
        <v>NodeToNodeAnchor_3</v>
      </c>
      <c r="D22">
        <v>22</v>
      </c>
      <c r="E22" t="str">
        <v>CR113_N_Case1,4_SLS_0.7EI_Hyd_a03BP1.0m</v>
      </c>
      <c r="F22" t="str" cm="1">
        <f t="array" ref="F22:K22">TRANSPOSE(_xlfn._xlws.FILTER(_xlfn.ANCHORARRAY($B$2),_xlfn.ANCHORARRAY($A$2)=$E22))</f>
        <v>NodeToNodeAnchor_1</v>
      </c>
      <c r="G22" t="str">
        <v>NodeToNodeAnchor_2</v>
      </c>
      <c r="H22" t="str">
        <v>NodeToNodeAnchor_3</v>
      </c>
      <c r="I22" t="str">
        <v>NodeToNodeAnchor_4</v>
      </c>
      <c r="J22" t="str">
        <v>NodeToNodeAnchor_5</v>
      </c>
      <c r="K22" t="str">
        <v>NodeToNodeAnchor_6</v>
      </c>
    </row>
    <row r="23" spans="1:11" x14ac:dyDescent="0.25">
      <c r="A23" t="str">
        <v>CR113_N_Case5,8_SLS_0.7EI_SpG_a03BP1.0m</v>
      </c>
      <c r="B23" t="str">
        <v>NodeToNodeAnchor_4</v>
      </c>
      <c r="D23">
        <v>23</v>
      </c>
      <c r="E23" t="str">
        <v>CR113_N_Case1,4_SLS_0.7EI_Hyd_a03BP1.0m</v>
      </c>
      <c r="F23" t="str" cm="1">
        <f t="array" ref="F23:K23">TRANSPOSE(_xlfn._xlws.FILTER(_xlfn.ANCHORARRAY($B$2),_xlfn.ANCHORARRAY($A$2)=$E23))</f>
        <v>NodeToNodeAnchor_1</v>
      </c>
      <c r="G23" t="str">
        <v>NodeToNodeAnchor_2</v>
      </c>
      <c r="H23" t="str">
        <v>NodeToNodeAnchor_3</v>
      </c>
      <c r="I23" t="str">
        <v>NodeToNodeAnchor_4</v>
      </c>
      <c r="J23" t="str">
        <v>NodeToNodeAnchor_5</v>
      </c>
      <c r="K23" t="str">
        <v>NodeToNodeAnchor_6</v>
      </c>
    </row>
    <row r="24" spans="1:11" x14ac:dyDescent="0.25">
      <c r="A24" t="str">
        <v>CR113_N_Case5,8_SLS_0.7EI_SpG_a03BP1.0m</v>
      </c>
      <c r="B24" t="str">
        <v>NodeToNodeAnchor_5</v>
      </c>
      <c r="D24">
        <v>24</v>
      </c>
      <c r="E24" t="str">
        <v>CR113_N_Case1,4_SLS_0.7EI_Hyd_a03BP1.0m</v>
      </c>
      <c r="F24" t="str" cm="1">
        <f t="array" ref="F24:K24">TRANSPOSE(_xlfn._xlws.FILTER(_xlfn.ANCHORARRAY($B$2),_xlfn.ANCHORARRAY($A$2)=$E24))</f>
        <v>NodeToNodeAnchor_1</v>
      </c>
      <c r="G24" t="str">
        <v>NodeToNodeAnchor_2</v>
      </c>
      <c r="H24" t="str">
        <v>NodeToNodeAnchor_3</v>
      </c>
      <c r="I24" t="str">
        <v>NodeToNodeAnchor_4</v>
      </c>
      <c r="J24" t="str">
        <v>NodeToNodeAnchor_5</v>
      </c>
      <c r="K24" t="str">
        <v>NodeToNodeAnchor_6</v>
      </c>
    </row>
    <row r="25" spans="1:11" x14ac:dyDescent="0.25">
      <c r="A25" t="str">
        <v>CR113_N_Case5,8_SLS_0.7EI_SpG_a03BP1.0m</v>
      </c>
      <c r="B25" t="str">
        <v>NodeToNodeAnchor_6</v>
      </c>
      <c r="D25">
        <v>25</v>
      </c>
      <c r="E25" t="str">
        <v>CR113_N_Case1,4_SLS_0.7EI_Hyd_a03BP1.0m</v>
      </c>
      <c r="F25" t="str" cm="1">
        <f t="array" ref="F25:K25">TRANSPOSE(_xlfn._xlws.FILTER(_xlfn.ANCHORARRAY($B$2),_xlfn.ANCHORARRAY($A$2)=$E25))</f>
        <v>NodeToNodeAnchor_1</v>
      </c>
      <c r="G25" t="str">
        <v>NodeToNodeAnchor_2</v>
      </c>
      <c r="H25" t="str">
        <v>NodeToNodeAnchor_3</v>
      </c>
      <c r="I25" t="str">
        <v>NodeToNodeAnchor_4</v>
      </c>
      <c r="J25" t="str">
        <v>NodeToNodeAnchor_5</v>
      </c>
      <c r="K25" t="str">
        <v>NodeToNodeAnchor_6</v>
      </c>
    </row>
    <row r="26" spans="1:11" x14ac:dyDescent="0.25">
      <c r="A26" t="str">
        <v>CR113_N_Case6,7_ULS1_1.0EI_SpG_a03BP1.0m</v>
      </c>
      <c r="B26" t="str">
        <v>NodeToNodeAnchor_1</v>
      </c>
      <c r="D26">
        <v>26</v>
      </c>
      <c r="E26" t="str">
        <v>CR113_N_Case2_ULS1_1.0EI_Hyd_a03BP1.0m</v>
      </c>
      <c r="F26" t="str" cm="1">
        <f t="array" ref="F26:K26">TRANSPOSE(_xlfn._xlws.FILTER(_xlfn.ANCHORARRAY($B$2),_xlfn.ANCHORARRAY($A$2)=$E26))</f>
        <v>NodeToNodeAnchor_1</v>
      </c>
      <c r="G26" t="str">
        <v>NodeToNodeAnchor_2</v>
      </c>
      <c r="H26" t="str">
        <v>NodeToNodeAnchor_3</v>
      </c>
      <c r="I26" t="str">
        <v>NodeToNodeAnchor_4</v>
      </c>
      <c r="J26" t="str">
        <v>NodeToNodeAnchor_5</v>
      </c>
      <c r="K26" t="str">
        <v>NodeToNodeAnchor_6</v>
      </c>
    </row>
    <row r="27" spans="1:11" x14ac:dyDescent="0.25">
      <c r="A27" t="str">
        <v>CR113_N_Case6,7_ULS1_1.0EI_SpG_a03BP1.0m</v>
      </c>
      <c r="B27" t="str">
        <v>NodeToNodeAnchor_2</v>
      </c>
      <c r="D27">
        <v>27</v>
      </c>
      <c r="E27" t="str">
        <v>CR113_N_Case2_ULS1_1.0EI_Hyd_a03BP1.0m</v>
      </c>
      <c r="F27" t="str" cm="1">
        <f t="array" ref="F27:K27">TRANSPOSE(_xlfn._xlws.FILTER(_xlfn.ANCHORARRAY($B$2),_xlfn.ANCHORARRAY($A$2)=$E27))</f>
        <v>NodeToNodeAnchor_1</v>
      </c>
      <c r="G27" t="str">
        <v>NodeToNodeAnchor_2</v>
      </c>
      <c r="H27" t="str">
        <v>NodeToNodeAnchor_3</v>
      </c>
      <c r="I27" t="str">
        <v>NodeToNodeAnchor_4</v>
      </c>
      <c r="J27" t="str">
        <v>NodeToNodeAnchor_5</v>
      </c>
      <c r="K27" t="str">
        <v>NodeToNodeAnchor_6</v>
      </c>
    </row>
    <row r="28" spans="1:11" x14ac:dyDescent="0.25">
      <c r="A28" t="str">
        <v>CR113_N_Case6,7_ULS1_1.0EI_SpG_a03BP1.0m</v>
      </c>
      <c r="B28" t="str">
        <v>NodeToNodeAnchor_3</v>
      </c>
      <c r="D28">
        <v>28</v>
      </c>
      <c r="E28" t="str">
        <v>CR113_N_Case2_ULS1_1.0EI_Hyd_a03BP1.0m</v>
      </c>
      <c r="F28" t="str" cm="1">
        <f t="array" ref="F28:K28">TRANSPOSE(_xlfn._xlws.FILTER(_xlfn.ANCHORARRAY($B$2),_xlfn.ANCHORARRAY($A$2)=$E28))</f>
        <v>NodeToNodeAnchor_1</v>
      </c>
      <c r="G28" t="str">
        <v>NodeToNodeAnchor_2</v>
      </c>
      <c r="H28" t="str">
        <v>NodeToNodeAnchor_3</v>
      </c>
      <c r="I28" t="str">
        <v>NodeToNodeAnchor_4</v>
      </c>
      <c r="J28" t="str">
        <v>NodeToNodeAnchor_5</v>
      </c>
      <c r="K28" t="str">
        <v>NodeToNodeAnchor_6</v>
      </c>
    </row>
    <row r="29" spans="1:11" x14ac:dyDescent="0.25">
      <c r="A29" t="str">
        <v>CR113_N_Case6,7_ULS1_1.0EI_SpG_a03BP1.0m</v>
      </c>
      <c r="B29" t="str">
        <v>NodeToNodeAnchor_4</v>
      </c>
      <c r="D29">
        <v>29</v>
      </c>
      <c r="E29" t="str">
        <v>CR113_N_Case2_ULS1_1.0EI_Hyd_a03BP1.0m</v>
      </c>
      <c r="F29" t="str" cm="1">
        <f t="array" ref="F29:K29">TRANSPOSE(_xlfn._xlws.FILTER(_xlfn.ANCHORARRAY($B$2),_xlfn.ANCHORARRAY($A$2)=$E29))</f>
        <v>NodeToNodeAnchor_1</v>
      </c>
      <c r="G29" t="str">
        <v>NodeToNodeAnchor_2</v>
      </c>
      <c r="H29" t="str">
        <v>NodeToNodeAnchor_3</v>
      </c>
      <c r="I29" t="str">
        <v>NodeToNodeAnchor_4</v>
      </c>
      <c r="J29" t="str">
        <v>NodeToNodeAnchor_5</v>
      </c>
      <c r="K29" t="str">
        <v>NodeToNodeAnchor_6</v>
      </c>
    </row>
    <row r="30" spans="1:11" x14ac:dyDescent="0.25">
      <c r="A30" t="str">
        <v>CR113_N_Case6,7_ULS1_1.0EI_SpG_a03BP1.0m</v>
      </c>
      <c r="B30" t="str">
        <v>NodeToNodeAnchor_5</v>
      </c>
      <c r="D30">
        <v>30</v>
      </c>
      <c r="E30" t="str">
        <v>CR113_N_Case3_ULS2_1.0EI_Hyd_a03BP1.0m</v>
      </c>
      <c r="F30" t="str" cm="1">
        <f t="array" ref="F30:K30">TRANSPOSE(_xlfn._xlws.FILTER(_xlfn.ANCHORARRAY($B$2),_xlfn.ANCHORARRAY($A$2)=$E30))</f>
        <v>NodeToNodeAnchor_1</v>
      </c>
      <c r="G30" t="str">
        <v>NodeToNodeAnchor_2</v>
      </c>
      <c r="H30" t="str">
        <v>NodeToNodeAnchor_3</v>
      </c>
      <c r="I30" t="str">
        <v>NodeToNodeAnchor_4</v>
      </c>
      <c r="J30" t="str">
        <v>NodeToNodeAnchor_5</v>
      </c>
      <c r="K30" t="str">
        <v>NodeToNodeAnchor_6</v>
      </c>
    </row>
    <row r="31" spans="1:11" x14ac:dyDescent="0.25">
      <c r="A31" t="str">
        <v>CR113_N_Case6,7_ULS1_1.0EI_SpG_a03BP1.0m</v>
      </c>
      <c r="B31" t="str">
        <v>NodeToNodeAnchor_6</v>
      </c>
      <c r="D31">
        <v>31</v>
      </c>
      <c r="E31" t="str">
        <v>CR113_N_Case3_ULS2_1.0EI_Hyd_a03BP1.0m</v>
      </c>
      <c r="F31" t="str" cm="1">
        <f t="array" ref="F31:K31">TRANSPOSE(_xlfn._xlws.FILTER(_xlfn.ANCHORARRAY($B$2),_xlfn.ANCHORARRAY($A$2)=$E31))</f>
        <v>NodeToNodeAnchor_1</v>
      </c>
      <c r="G31" t="str">
        <v>NodeToNodeAnchor_2</v>
      </c>
      <c r="H31" t="str">
        <v>NodeToNodeAnchor_3</v>
      </c>
      <c r="I31" t="str">
        <v>NodeToNodeAnchor_4</v>
      </c>
      <c r="J31" t="str">
        <v>NodeToNodeAnchor_5</v>
      </c>
      <c r="K31" t="str">
        <v>NodeToNodeAnchor_6</v>
      </c>
    </row>
    <row r="32" spans="1:11" x14ac:dyDescent="0.25">
      <c r="A32" t="str">
        <v>CR113_N_CaseA_SLS_0.7EI_SpD_a03BP1.0m</v>
      </c>
      <c r="B32" t="str">
        <v>NodeToNodeAnchor_1</v>
      </c>
      <c r="D32">
        <v>32</v>
      </c>
      <c r="E32" t="str">
        <v>CR113_N_Case3_ULS2_1.0EI_Hyd_a03BP1.0m</v>
      </c>
      <c r="F32" t="str" cm="1">
        <f t="array" ref="F32:K32">TRANSPOSE(_xlfn._xlws.FILTER(_xlfn.ANCHORARRAY($B$2),_xlfn.ANCHORARRAY($A$2)=$E32))</f>
        <v>NodeToNodeAnchor_1</v>
      </c>
      <c r="G32" t="str">
        <v>NodeToNodeAnchor_2</v>
      </c>
      <c r="H32" t="str">
        <v>NodeToNodeAnchor_3</v>
      </c>
      <c r="I32" t="str">
        <v>NodeToNodeAnchor_4</v>
      </c>
      <c r="J32" t="str">
        <v>NodeToNodeAnchor_5</v>
      </c>
      <c r="K32" t="str">
        <v>NodeToNodeAnchor_6</v>
      </c>
    </row>
    <row r="33" spans="1:11" x14ac:dyDescent="0.25">
      <c r="A33" t="str">
        <v>CR113_N_CaseA_SLS_0.7EI_SpD_a03BP1.0m</v>
      </c>
      <c r="B33" t="str">
        <v>NodeToNodeAnchor_2</v>
      </c>
      <c r="D33">
        <v>33</v>
      </c>
      <c r="E33" t="str">
        <v>CR113_N_Case3_ULS2_1.0EI_Hyd_a03BP1.0m</v>
      </c>
      <c r="F33" t="str" cm="1">
        <f t="array" ref="F33:K33">TRANSPOSE(_xlfn._xlws.FILTER(_xlfn.ANCHORARRAY($B$2),_xlfn.ANCHORARRAY($A$2)=$E33))</f>
        <v>NodeToNodeAnchor_1</v>
      </c>
      <c r="G33" t="str">
        <v>NodeToNodeAnchor_2</v>
      </c>
      <c r="H33" t="str">
        <v>NodeToNodeAnchor_3</v>
      </c>
      <c r="I33" t="str">
        <v>NodeToNodeAnchor_4</v>
      </c>
      <c r="J33" t="str">
        <v>NodeToNodeAnchor_5</v>
      </c>
      <c r="K33" t="str">
        <v>NodeToNodeAnchor_6</v>
      </c>
    </row>
    <row r="34" spans="1:11" x14ac:dyDescent="0.25">
      <c r="A34" t="str">
        <v>CR113_N_CaseA_SLS_0.7EI_SpD_a03BP1.0m</v>
      </c>
      <c r="B34" t="str">
        <v>NodeToNodeAnchor_3</v>
      </c>
      <c r="D34">
        <v>34</v>
      </c>
      <c r="E34" t="str">
        <v>CR113_N_Case5,8_SLS_0.7EI_SpG_a03BP1.0m</v>
      </c>
      <c r="F34" t="str" cm="1">
        <f t="array" ref="F34:K34">TRANSPOSE(_xlfn._xlws.FILTER(_xlfn.ANCHORARRAY($B$2),_xlfn.ANCHORARRAY($A$2)=$E34))</f>
        <v>NodeToNodeAnchor_1</v>
      </c>
      <c r="G34" t="str">
        <v>NodeToNodeAnchor_2</v>
      </c>
      <c r="H34" t="str">
        <v>NodeToNodeAnchor_3</v>
      </c>
      <c r="I34" t="str">
        <v>NodeToNodeAnchor_4</v>
      </c>
      <c r="J34" t="str">
        <v>NodeToNodeAnchor_5</v>
      </c>
      <c r="K34" t="str">
        <v>NodeToNodeAnchor_6</v>
      </c>
    </row>
    <row r="35" spans="1:11" x14ac:dyDescent="0.25">
      <c r="A35" t="str">
        <v>CR113_N_CaseA_SLS_0.7EI_SpD_a03BP1.0m</v>
      </c>
      <c r="B35" t="str">
        <v>NodeToNodeAnchor_4</v>
      </c>
      <c r="D35">
        <v>35</v>
      </c>
      <c r="E35" t="str">
        <v>CR113_N_Case5,8_SLS_0.7EI_SpG_a03BP1.0m</v>
      </c>
      <c r="F35" t="str" cm="1">
        <f t="array" ref="F35:K35">TRANSPOSE(_xlfn._xlws.FILTER(_xlfn.ANCHORARRAY($B$2),_xlfn.ANCHORARRAY($A$2)=$E35))</f>
        <v>NodeToNodeAnchor_1</v>
      </c>
      <c r="G35" t="str">
        <v>NodeToNodeAnchor_2</v>
      </c>
      <c r="H35" t="str">
        <v>NodeToNodeAnchor_3</v>
      </c>
      <c r="I35" t="str">
        <v>NodeToNodeAnchor_4</v>
      </c>
      <c r="J35" t="str">
        <v>NodeToNodeAnchor_5</v>
      </c>
      <c r="K35" t="str">
        <v>NodeToNodeAnchor_6</v>
      </c>
    </row>
    <row r="36" spans="1:11" x14ac:dyDescent="0.25">
      <c r="A36" t="str">
        <v>CR113_N_CaseA_SLS_0.7EI_SpD_a03BP1.0m</v>
      </c>
      <c r="B36" t="str">
        <v>NodeToNodeAnchor_5</v>
      </c>
      <c r="D36">
        <v>36</v>
      </c>
      <c r="E36" t="str">
        <v>CR113_N_Case5,8_SLS_0.7EI_SpG_a03BP1.0m</v>
      </c>
      <c r="F36" t="str" cm="1">
        <f t="array" ref="F36:K36">TRANSPOSE(_xlfn._xlws.FILTER(_xlfn.ANCHORARRAY($B$2),_xlfn.ANCHORARRAY($A$2)=$E36))</f>
        <v>NodeToNodeAnchor_1</v>
      </c>
      <c r="G36" t="str">
        <v>NodeToNodeAnchor_2</v>
      </c>
      <c r="H36" t="str">
        <v>NodeToNodeAnchor_3</v>
      </c>
      <c r="I36" t="str">
        <v>NodeToNodeAnchor_4</v>
      </c>
      <c r="J36" t="str">
        <v>NodeToNodeAnchor_5</v>
      </c>
      <c r="K36" t="str">
        <v>NodeToNodeAnchor_6</v>
      </c>
    </row>
    <row r="37" spans="1:11" x14ac:dyDescent="0.25">
      <c r="A37" t="str">
        <v>CR113_N_CaseA_SLS_0.7EI_SpD_a03BP1.0m</v>
      </c>
      <c r="B37" t="str">
        <v>NodeToNodeAnchor_6</v>
      </c>
      <c r="D37">
        <v>37</v>
      </c>
      <c r="E37" t="str">
        <v>CR113_N_Case5,8_SLS_0.7EI_SpG_a03BP1.0m</v>
      </c>
      <c r="F37" t="str" cm="1">
        <f t="array" ref="F37:K37">TRANSPOSE(_xlfn._xlws.FILTER(_xlfn.ANCHORARRAY($B$2),_xlfn.ANCHORARRAY($A$2)=$E37))</f>
        <v>NodeToNodeAnchor_1</v>
      </c>
      <c r="G37" t="str">
        <v>NodeToNodeAnchor_2</v>
      </c>
      <c r="H37" t="str">
        <v>NodeToNodeAnchor_3</v>
      </c>
      <c r="I37" t="str">
        <v>NodeToNodeAnchor_4</v>
      </c>
      <c r="J37" t="str">
        <v>NodeToNodeAnchor_5</v>
      </c>
      <c r="K37" t="str">
        <v>NodeToNodeAnchor_6</v>
      </c>
    </row>
    <row r="38" spans="1:11" x14ac:dyDescent="0.25">
      <c r="D38">
        <v>38</v>
      </c>
      <c r="E38" t="str">
        <v>CR113_N_Case5,8_SLS_0.7EI_SpG_a03BP1.0m</v>
      </c>
      <c r="F38" t="str" cm="1">
        <f t="array" ref="F38:K38">TRANSPOSE(_xlfn._xlws.FILTER(_xlfn.ANCHORARRAY($B$2),_xlfn.ANCHORARRAY($A$2)=$E38))</f>
        <v>NodeToNodeAnchor_1</v>
      </c>
      <c r="G38" t="str">
        <v>NodeToNodeAnchor_2</v>
      </c>
      <c r="H38" t="str">
        <v>NodeToNodeAnchor_3</v>
      </c>
      <c r="I38" t="str">
        <v>NodeToNodeAnchor_4</v>
      </c>
      <c r="J38" t="str">
        <v>NodeToNodeAnchor_5</v>
      </c>
      <c r="K38" t="str">
        <v>NodeToNodeAnchor_6</v>
      </c>
    </row>
    <row r="39" spans="1:11" x14ac:dyDescent="0.25">
      <c r="D39">
        <v>39</v>
      </c>
      <c r="E39" t="str">
        <v>CR113_N_Case5,8_SLS_0.7EI_SpG_a03BP1.0m</v>
      </c>
      <c r="F39" t="str" cm="1">
        <f t="array" ref="F39:K39">TRANSPOSE(_xlfn._xlws.FILTER(_xlfn.ANCHORARRAY($B$2),_xlfn.ANCHORARRAY($A$2)=$E39))</f>
        <v>NodeToNodeAnchor_1</v>
      </c>
      <c r="G39" t="str">
        <v>NodeToNodeAnchor_2</v>
      </c>
      <c r="H39" t="str">
        <v>NodeToNodeAnchor_3</v>
      </c>
      <c r="I39" t="str">
        <v>NodeToNodeAnchor_4</v>
      </c>
      <c r="J39" t="str">
        <v>NodeToNodeAnchor_5</v>
      </c>
      <c r="K39" t="str">
        <v>NodeToNodeAnchor_6</v>
      </c>
    </row>
    <row r="40" spans="1:11" x14ac:dyDescent="0.25">
      <c r="D40">
        <v>40</v>
      </c>
      <c r="E40" t="str">
        <v>CR113_N_Case5,8_SLS_0.7EI_SpG_a03BP1.0m</v>
      </c>
      <c r="F40" t="str" cm="1">
        <f t="array" ref="F40:K40">TRANSPOSE(_xlfn._xlws.FILTER(_xlfn.ANCHORARRAY($B$2),_xlfn.ANCHORARRAY($A$2)=$E40))</f>
        <v>NodeToNodeAnchor_1</v>
      </c>
      <c r="G40" t="str">
        <v>NodeToNodeAnchor_2</v>
      </c>
      <c r="H40" t="str">
        <v>NodeToNodeAnchor_3</v>
      </c>
      <c r="I40" t="str">
        <v>NodeToNodeAnchor_4</v>
      </c>
      <c r="J40" t="str">
        <v>NodeToNodeAnchor_5</v>
      </c>
      <c r="K40" t="str">
        <v>NodeToNodeAnchor_6</v>
      </c>
    </row>
    <row r="41" spans="1:11" x14ac:dyDescent="0.25">
      <c r="D41">
        <v>41</v>
      </c>
      <c r="E41" t="str">
        <v>CR113_N_Case5,8_SLS_0.7EI_SpG_a03BP1.0m</v>
      </c>
      <c r="F41" t="str" cm="1">
        <f t="array" ref="F41:K41">TRANSPOSE(_xlfn._xlws.FILTER(_xlfn.ANCHORARRAY($B$2),_xlfn.ANCHORARRAY($A$2)=$E41))</f>
        <v>NodeToNodeAnchor_1</v>
      </c>
      <c r="G41" t="str">
        <v>NodeToNodeAnchor_2</v>
      </c>
      <c r="H41" t="str">
        <v>NodeToNodeAnchor_3</v>
      </c>
      <c r="I41" t="str">
        <v>NodeToNodeAnchor_4</v>
      </c>
      <c r="J41" t="str">
        <v>NodeToNodeAnchor_5</v>
      </c>
      <c r="K41" t="str">
        <v>NodeToNodeAnchor_6</v>
      </c>
    </row>
    <row r="42" spans="1:11" x14ac:dyDescent="0.25">
      <c r="D42">
        <v>42</v>
      </c>
      <c r="E42" t="str">
        <v>CR113_N_Case5,8_SLS_0.7EI_SpG_a03BP1.0m</v>
      </c>
      <c r="F42" t="str" cm="1">
        <f t="array" ref="F42:K42">TRANSPOSE(_xlfn._xlws.FILTER(_xlfn.ANCHORARRAY($B$2),_xlfn.ANCHORARRAY($A$2)=$E42))</f>
        <v>NodeToNodeAnchor_1</v>
      </c>
      <c r="G42" t="str">
        <v>NodeToNodeAnchor_2</v>
      </c>
      <c r="H42" t="str">
        <v>NodeToNodeAnchor_3</v>
      </c>
      <c r="I42" t="str">
        <v>NodeToNodeAnchor_4</v>
      </c>
      <c r="J42" t="str">
        <v>NodeToNodeAnchor_5</v>
      </c>
      <c r="K42" t="str">
        <v>NodeToNodeAnchor_6</v>
      </c>
    </row>
    <row r="43" spans="1:11" x14ac:dyDescent="0.25">
      <c r="D43">
        <v>43</v>
      </c>
      <c r="E43" t="str">
        <v>CR113_N_Case5,8_SLS_0.7EI_SpG_a03BP1.0m</v>
      </c>
      <c r="F43" t="str" cm="1">
        <f t="array" ref="F43:K43">TRANSPOSE(_xlfn._xlws.FILTER(_xlfn.ANCHORARRAY($B$2),_xlfn.ANCHORARRAY($A$2)=$E43))</f>
        <v>NodeToNodeAnchor_1</v>
      </c>
      <c r="G43" t="str">
        <v>NodeToNodeAnchor_2</v>
      </c>
      <c r="H43" t="str">
        <v>NodeToNodeAnchor_3</v>
      </c>
      <c r="I43" t="str">
        <v>NodeToNodeAnchor_4</v>
      </c>
      <c r="J43" t="str">
        <v>NodeToNodeAnchor_5</v>
      </c>
      <c r="K43" t="str">
        <v>NodeToNodeAnchor_6</v>
      </c>
    </row>
    <row r="44" spans="1:11" x14ac:dyDescent="0.25">
      <c r="D44">
        <v>44</v>
      </c>
      <c r="E44" t="str">
        <v>CR113_N_Case5,8_SLS_0.7EI_SpG_a03BP1.0m</v>
      </c>
      <c r="F44" t="str" cm="1">
        <f t="array" ref="F44:K44">TRANSPOSE(_xlfn._xlws.FILTER(_xlfn.ANCHORARRAY($B$2),_xlfn.ANCHORARRAY($A$2)=$E44))</f>
        <v>NodeToNodeAnchor_1</v>
      </c>
      <c r="G44" t="str">
        <v>NodeToNodeAnchor_2</v>
      </c>
      <c r="H44" t="str">
        <v>NodeToNodeAnchor_3</v>
      </c>
      <c r="I44" t="str">
        <v>NodeToNodeAnchor_4</v>
      </c>
      <c r="J44" t="str">
        <v>NodeToNodeAnchor_5</v>
      </c>
      <c r="K44" t="str">
        <v>NodeToNodeAnchor_6</v>
      </c>
    </row>
    <row r="45" spans="1:11" x14ac:dyDescent="0.25">
      <c r="D45">
        <v>45</v>
      </c>
      <c r="E45" t="str">
        <v>CR113_N_Case5,8_SLS_0.7EI_SpG_a03BP1.0m</v>
      </c>
      <c r="F45" t="str" cm="1">
        <f t="array" ref="F45:K45">TRANSPOSE(_xlfn._xlws.FILTER(_xlfn.ANCHORARRAY($B$2),_xlfn.ANCHORARRAY($A$2)=$E45))</f>
        <v>NodeToNodeAnchor_1</v>
      </c>
      <c r="G45" t="str">
        <v>NodeToNodeAnchor_2</v>
      </c>
      <c r="H45" t="str">
        <v>NodeToNodeAnchor_3</v>
      </c>
      <c r="I45" t="str">
        <v>NodeToNodeAnchor_4</v>
      </c>
      <c r="J45" t="str">
        <v>NodeToNodeAnchor_5</v>
      </c>
      <c r="K45" t="str">
        <v>NodeToNodeAnchor_6</v>
      </c>
    </row>
    <row r="46" spans="1:11" x14ac:dyDescent="0.25">
      <c r="D46">
        <v>46</v>
      </c>
      <c r="E46" t="str">
        <v>CR113_N_Case5,8_SLS_0.7EI_SpG_a03BP1.0m</v>
      </c>
      <c r="F46" t="str" cm="1">
        <f t="array" ref="F46:K46">TRANSPOSE(_xlfn._xlws.FILTER(_xlfn.ANCHORARRAY($B$2),_xlfn.ANCHORARRAY($A$2)=$E46))</f>
        <v>NodeToNodeAnchor_1</v>
      </c>
      <c r="G46" t="str">
        <v>NodeToNodeAnchor_2</v>
      </c>
      <c r="H46" t="str">
        <v>NodeToNodeAnchor_3</v>
      </c>
      <c r="I46" t="str">
        <v>NodeToNodeAnchor_4</v>
      </c>
      <c r="J46" t="str">
        <v>NodeToNodeAnchor_5</v>
      </c>
      <c r="K46" t="str">
        <v>NodeToNodeAnchor_6</v>
      </c>
    </row>
    <row r="47" spans="1:11" x14ac:dyDescent="0.25">
      <c r="D47">
        <v>47</v>
      </c>
      <c r="E47" t="str">
        <v>CR113_N_Case5,8_SLS_0.7EI_SpG_a03BP1.0m</v>
      </c>
      <c r="F47" t="str" cm="1">
        <f t="array" ref="F47:K47">TRANSPOSE(_xlfn._xlws.FILTER(_xlfn.ANCHORARRAY($B$2),_xlfn.ANCHORARRAY($A$2)=$E47))</f>
        <v>NodeToNodeAnchor_1</v>
      </c>
      <c r="G47" t="str">
        <v>NodeToNodeAnchor_2</v>
      </c>
      <c r="H47" t="str">
        <v>NodeToNodeAnchor_3</v>
      </c>
      <c r="I47" t="str">
        <v>NodeToNodeAnchor_4</v>
      </c>
      <c r="J47" t="str">
        <v>NodeToNodeAnchor_5</v>
      </c>
      <c r="K47" t="str">
        <v>NodeToNodeAnchor_6</v>
      </c>
    </row>
    <row r="48" spans="1:11" x14ac:dyDescent="0.25">
      <c r="D48">
        <v>48</v>
      </c>
      <c r="E48" t="str">
        <v>CR113_N_Case5,8_SLS_0.7EI_SpG_a03BP1.0m</v>
      </c>
      <c r="F48" t="str" cm="1">
        <f t="array" ref="F48:K48">TRANSPOSE(_xlfn._xlws.FILTER(_xlfn.ANCHORARRAY($B$2),_xlfn.ANCHORARRAY($A$2)=$E48))</f>
        <v>NodeToNodeAnchor_1</v>
      </c>
      <c r="G48" t="str">
        <v>NodeToNodeAnchor_2</v>
      </c>
      <c r="H48" t="str">
        <v>NodeToNodeAnchor_3</v>
      </c>
      <c r="I48" t="str">
        <v>NodeToNodeAnchor_4</v>
      </c>
      <c r="J48" t="str">
        <v>NodeToNodeAnchor_5</v>
      </c>
      <c r="K48" t="str">
        <v>NodeToNodeAnchor_6</v>
      </c>
    </row>
    <row r="49" spans="4:11" x14ac:dyDescent="0.25">
      <c r="D49">
        <v>49</v>
      </c>
      <c r="E49" t="str">
        <v>CR113_N_Case5,8_SLS_0.7EI_SpG_a03BP1.0m</v>
      </c>
      <c r="F49" t="str" cm="1">
        <f t="array" ref="F49:K49">TRANSPOSE(_xlfn._xlws.FILTER(_xlfn.ANCHORARRAY($B$2),_xlfn.ANCHORARRAY($A$2)=$E49))</f>
        <v>NodeToNodeAnchor_1</v>
      </c>
      <c r="G49" t="str">
        <v>NodeToNodeAnchor_2</v>
      </c>
      <c r="H49" t="str">
        <v>NodeToNodeAnchor_3</v>
      </c>
      <c r="I49" t="str">
        <v>NodeToNodeAnchor_4</v>
      </c>
      <c r="J49" t="str">
        <v>NodeToNodeAnchor_5</v>
      </c>
      <c r="K49" t="str">
        <v>NodeToNodeAnchor_6</v>
      </c>
    </row>
    <row r="50" spans="4:11" x14ac:dyDescent="0.25">
      <c r="D50">
        <v>50</v>
      </c>
      <c r="E50" t="str">
        <v>CR113_N_Case5,8_SLS_0.7EI_SpG_a03BP1.0m</v>
      </c>
      <c r="F50" t="str" cm="1">
        <f t="array" ref="F50:K50">TRANSPOSE(_xlfn._xlws.FILTER(_xlfn.ANCHORARRAY($B$2),_xlfn.ANCHORARRAY($A$2)=$E50))</f>
        <v>NodeToNodeAnchor_1</v>
      </c>
      <c r="G50" t="str">
        <v>NodeToNodeAnchor_2</v>
      </c>
      <c r="H50" t="str">
        <v>NodeToNodeAnchor_3</v>
      </c>
      <c r="I50" t="str">
        <v>NodeToNodeAnchor_4</v>
      </c>
      <c r="J50" t="str">
        <v>NodeToNodeAnchor_5</v>
      </c>
      <c r="K50" t="str">
        <v>NodeToNodeAnchor_6</v>
      </c>
    </row>
    <row r="51" spans="4:11" x14ac:dyDescent="0.25">
      <c r="D51">
        <v>51</v>
      </c>
      <c r="E51" t="str">
        <v>CR113_N_Case5,8_SLS_0.7EI_SpG_a03BP1.0m</v>
      </c>
      <c r="F51" t="str" cm="1">
        <f t="array" ref="F51:K51">TRANSPOSE(_xlfn._xlws.FILTER(_xlfn.ANCHORARRAY($B$2),_xlfn.ANCHORARRAY($A$2)=$E51))</f>
        <v>NodeToNodeAnchor_1</v>
      </c>
      <c r="G51" t="str">
        <v>NodeToNodeAnchor_2</v>
      </c>
      <c r="H51" t="str">
        <v>NodeToNodeAnchor_3</v>
      </c>
      <c r="I51" t="str">
        <v>NodeToNodeAnchor_4</v>
      </c>
      <c r="J51" t="str">
        <v>NodeToNodeAnchor_5</v>
      </c>
      <c r="K51" t="str">
        <v>NodeToNodeAnchor_6</v>
      </c>
    </row>
    <row r="52" spans="4:11" x14ac:dyDescent="0.25">
      <c r="D52">
        <v>52</v>
      </c>
      <c r="E52" t="str">
        <v>CR113_N_Case5,8_SLS_0.7EI_SpG_a03BP1.0m</v>
      </c>
      <c r="F52" t="str" cm="1">
        <f t="array" ref="F52:K52">TRANSPOSE(_xlfn._xlws.FILTER(_xlfn.ANCHORARRAY($B$2),_xlfn.ANCHORARRAY($A$2)=$E52))</f>
        <v>NodeToNodeAnchor_1</v>
      </c>
      <c r="G52" t="str">
        <v>NodeToNodeAnchor_2</v>
      </c>
      <c r="H52" t="str">
        <v>NodeToNodeAnchor_3</v>
      </c>
      <c r="I52" t="str">
        <v>NodeToNodeAnchor_4</v>
      </c>
      <c r="J52" t="str">
        <v>NodeToNodeAnchor_5</v>
      </c>
      <c r="K52" t="str">
        <v>NodeToNodeAnchor_6</v>
      </c>
    </row>
    <row r="53" spans="4:11" x14ac:dyDescent="0.25">
      <c r="D53">
        <v>53</v>
      </c>
      <c r="E53" t="str">
        <v>CR113_N_Case5,8_SLS_0.7EI_SpG_a03BP1.0m</v>
      </c>
      <c r="F53" t="str" cm="1">
        <f t="array" ref="F53:K53">TRANSPOSE(_xlfn._xlws.FILTER(_xlfn.ANCHORARRAY($B$2),_xlfn.ANCHORARRAY($A$2)=$E53))</f>
        <v>NodeToNodeAnchor_1</v>
      </c>
      <c r="G53" t="str">
        <v>NodeToNodeAnchor_2</v>
      </c>
      <c r="H53" t="str">
        <v>NodeToNodeAnchor_3</v>
      </c>
      <c r="I53" t="str">
        <v>NodeToNodeAnchor_4</v>
      </c>
      <c r="J53" t="str">
        <v>NodeToNodeAnchor_5</v>
      </c>
      <c r="K53" t="str">
        <v>NodeToNodeAnchor_6</v>
      </c>
    </row>
    <row r="54" spans="4:11" x14ac:dyDescent="0.25">
      <c r="D54">
        <v>54</v>
      </c>
      <c r="E54" t="str">
        <v>CR113_N_Case5,8_SLS_0.7EI_SpG_a03BP1.0m</v>
      </c>
      <c r="F54" t="str" cm="1">
        <f t="array" ref="F54:K54">TRANSPOSE(_xlfn._xlws.FILTER(_xlfn.ANCHORARRAY($B$2),_xlfn.ANCHORARRAY($A$2)=$E54))</f>
        <v>NodeToNodeAnchor_1</v>
      </c>
      <c r="G54" t="str">
        <v>NodeToNodeAnchor_2</v>
      </c>
      <c r="H54" t="str">
        <v>NodeToNodeAnchor_3</v>
      </c>
      <c r="I54" t="str">
        <v>NodeToNodeAnchor_4</v>
      </c>
      <c r="J54" t="str">
        <v>NodeToNodeAnchor_5</v>
      </c>
      <c r="K54" t="str">
        <v>NodeToNodeAnchor_6</v>
      </c>
    </row>
    <row r="55" spans="4:11" x14ac:dyDescent="0.25">
      <c r="D55">
        <v>55</v>
      </c>
      <c r="E55" t="str">
        <v>CR113_N_Case5,8_SLS_0.7EI_SpG_a03BP1.0m</v>
      </c>
      <c r="F55" t="str" cm="1">
        <f t="array" ref="F55:K55">TRANSPOSE(_xlfn._xlws.FILTER(_xlfn.ANCHORARRAY($B$2),_xlfn.ANCHORARRAY($A$2)=$E55))</f>
        <v>NodeToNodeAnchor_1</v>
      </c>
      <c r="G55" t="str">
        <v>NodeToNodeAnchor_2</v>
      </c>
      <c r="H55" t="str">
        <v>NodeToNodeAnchor_3</v>
      </c>
      <c r="I55" t="str">
        <v>NodeToNodeAnchor_4</v>
      </c>
      <c r="J55" t="str">
        <v>NodeToNodeAnchor_5</v>
      </c>
      <c r="K55" t="str">
        <v>NodeToNodeAnchor_6</v>
      </c>
    </row>
    <row r="56" spans="4:11" x14ac:dyDescent="0.25">
      <c r="D56">
        <v>56</v>
      </c>
      <c r="E56" t="str">
        <v>CR113_N_Case6,7_ULS1_1.0EI_SpG_a03BP1.0m</v>
      </c>
      <c r="F56" t="str" cm="1">
        <f t="array" ref="F56:K56">TRANSPOSE(_xlfn._xlws.FILTER(_xlfn.ANCHORARRAY($B$2),_xlfn.ANCHORARRAY($A$2)=$E56))</f>
        <v>NodeToNodeAnchor_1</v>
      </c>
      <c r="G56" t="str">
        <v>NodeToNodeAnchor_2</v>
      </c>
      <c r="H56" t="str">
        <v>NodeToNodeAnchor_3</v>
      </c>
      <c r="I56" t="str">
        <v>NodeToNodeAnchor_4</v>
      </c>
      <c r="J56" t="str">
        <v>NodeToNodeAnchor_5</v>
      </c>
      <c r="K56" t="str">
        <v>NodeToNodeAnchor_6</v>
      </c>
    </row>
    <row r="57" spans="4:11" x14ac:dyDescent="0.25">
      <c r="D57">
        <v>57</v>
      </c>
      <c r="E57" t="str">
        <v>CR113_N_Case6,7_ULS1_1.0EI_SpG_a03BP1.0m</v>
      </c>
      <c r="F57" t="str" cm="1">
        <f t="array" ref="F57:K57">TRANSPOSE(_xlfn._xlws.FILTER(_xlfn.ANCHORARRAY($B$2),_xlfn.ANCHORARRAY($A$2)=$E57))</f>
        <v>NodeToNodeAnchor_1</v>
      </c>
      <c r="G57" t="str">
        <v>NodeToNodeAnchor_2</v>
      </c>
      <c r="H57" t="str">
        <v>NodeToNodeAnchor_3</v>
      </c>
      <c r="I57" t="str">
        <v>NodeToNodeAnchor_4</v>
      </c>
      <c r="J57" t="str">
        <v>NodeToNodeAnchor_5</v>
      </c>
      <c r="K57" t="str">
        <v>NodeToNodeAnchor_6</v>
      </c>
    </row>
    <row r="58" spans="4:11" x14ac:dyDescent="0.25">
      <c r="D58">
        <v>58</v>
      </c>
      <c r="E58" t="str">
        <v>CR113_N_Case6,7_ULS1_1.0EI_SpG_a03BP1.0m</v>
      </c>
      <c r="F58" t="str" cm="1">
        <f t="array" ref="F58:K58">TRANSPOSE(_xlfn._xlws.FILTER(_xlfn.ANCHORARRAY($B$2),_xlfn.ANCHORARRAY($A$2)=$E58))</f>
        <v>NodeToNodeAnchor_1</v>
      </c>
      <c r="G58" t="str">
        <v>NodeToNodeAnchor_2</v>
      </c>
      <c r="H58" t="str">
        <v>NodeToNodeAnchor_3</v>
      </c>
      <c r="I58" t="str">
        <v>NodeToNodeAnchor_4</v>
      </c>
      <c r="J58" t="str">
        <v>NodeToNodeAnchor_5</v>
      </c>
      <c r="K58" t="str">
        <v>NodeToNodeAnchor_6</v>
      </c>
    </row>
    <row r="59" spans="4:11" x14ac:dyDescent="0.25">
      <c r="D59">
        <v>59</v>
      </c>
      <c r="E59" t="str">
        <v>CR113_N_Case6,7_ULS1_1.0EI_SpG_a03BP1.0m</v>
      </c>
      <c r="F59" t="str" cm="1">
        <f t="array" ref="F59:K59">TRANSPOSE(_xlfn._xlws.FILTER(_xlfn.ANCHORARRAY($B$2),_xlfn.ANCHORARRAY($A$2)=$E59))</f>
        <v>NodeToNodeAnchor_1</v>
      </c>
      <c r="G59" t="str">
        <v>NodeToNodeAnchor_2</v>
      </c>
      <c r="H59" t="str">
        <v>NodeToNodeAnchor_3</v>
      </c>
      <c r="I59" t="str">
        <v>NodeToNodeAnchor_4</v>
      </c>
      <c r="J59" t="str">
        <v>NodeToNodeAnchor_5</v>
      </c>
      <c r="K59" t="str">
        <v>NodeToNodeAnchor_6</v>
      </c>
    </row>
    <row r="60" spans="4:11" x14ac:dyDescent="0.25">
      <c r="D60">
        <v>60</v>
      </c>
      <c r="E60" t="str">
        <v>CR113_N_Case6,7_ULS1_1.0EI_SpG_a03BP1.0m</v>
      </c>
      <c r="F60" t="str" cm="1">
        <f t="array" ref="F60:K60">TRANSPOSE(_xlfn._xlws.FILTER(_xlfn.ANCHORARRAY($B$2),_xlfn.ANCHORARRAY($A$2)=$E60))</f>
        <v>NodeToNodeAnchor_1</v>
      </c>
      <c r="G60" t="str">
        <v>NodeToNodeAnchor_2</v>
      </c>
      <c r="H60" t="str">
        <v>NodeToNodeAnchor_3</v>
      </c>
      <c r="I60" t="str">
        <v>NodeToNodeAnchor_4</v>
      </c>
      <c r="J60" t="str">
        <v>NodeToNodeAnchor_5</v>
      </c>
      <c r="K60" t="str">
        <v>NodeToNodeAnchor_6</v>
      </c>
    </row>
    <row r="61" spans="4:11" x14ac:dyDescent="0.25">
      <c r="D61">
        <v>61</v>
      </c>
      <c r="E61" t="str">
        <v>CR113_N_Case6,7_ULS1_1.0EI_SpG_a03BP1.0m</v>
      </c>
      <c r="F61" t="str" cm="1">
        <f t="array" ref="F61:K61">TRANSPOSE(_xlfn._xlws.FILTER(_xlfn.ANCHORARRAY($B$2),_xlfn.ANCHORARRAY($A$2)=$E61))</f>
        <v>NodeToNodeAnchor_1</v>
      </c>
      <c r="G61" t="str">
        <v>NodeToNodeAnchor_2</v>
      </c>
      <c r="H61" t="str">
        <v>NodeToNodeAnchor_3</v>
      </c>
      <c r="I61" t="str">
        <v>NodeToNodeAnchor_4</v>
      </c>
      <c r="J61" t="str">
        <v>NodeToNodeAnchor_5</v>
      </c>
      <c r="K61" t="str">
        <v>NodeToNodeAnchor_6</v>
      </c>
    </row>
    <row r="62" spans="4:11" x14ac:dyDescent="0.25">
      <c r="D62">
        <v>62</v>
      </c>
      <c r="E62" t="str">
        <v>CR113_N_Case6,7_ULS1_1.0EI_SpG_a03BP1.0m</v>
      </c>
      <c r="F62" t="str" cm="1">
        <f t="array" ref="F62:K62">TRANSPOSE(_xlfn._xlws.FILTER(_xlfn.ANCHORARRAY($B$2),_xlfn.ANCHORARRAY($A$2)=$E62))</f>
        <v>NodeToNodeAnchor_1</v>
      </c>
      <c r="G62" t="str">
        <v>NodeToNodeAnchor_2</v>
      </c>
      <c r="H62" t="str">
        <v>NodeToNodeAnchor_3</v>
      </c>
      <c r="I62" t="str">
        <v>NodeToNodeAnchor_4</v>
      </c>
      <c r="J62" t="str">
        <v>NodeToNodeAnchor_5</v>
      </c>
      <c r="K62" t="str">
        <v>NodeToNodeAnchor_6</v>
      </c>
    </row>
    <row r="63" spans="4:11" x14ac:dyDescent="0.25">
      <c r="D63">
        <v>63</v>
      </c>
      <c r="E63" t="str">
        <v>CR113_N_Case6,7_ULS1_1.0EI_SpG_a03BP1.0m</v>
      </c>
      <c r="F63" t="str" cm="1">
        <f t="array" ref="F63:K63">TRANSPOSE(_xlfn._xlws.FILTER(_xlfn.ANCHORARRAY($B$2),_xlfn.ANCHORARRAY($A$2)=$E63))</f>
        <v>NodeToNodeAnchor_1</v>
      </c>
      <c r="G63" t="str">
        <v>NodeToNodeAnchor_2</v>
      </c>
      <c r="H63" t="str">
        <v>NodeToNodeAnchor_3</v>
      </c>
      <c r="I63" t="str">
        <v>NodeToNodeAnchor_4</v>
      </c>
      <c r="J63" t="str">
        <v>NodeToNodeAnchor_5</v>
      </c>
      <c r="K63" t="str">
        <v>NodeToNodeAnchor_6</v>
      </c>
    </row>
    <row r="64" spans="4:11" x14ac:dyDescent="0.25">
      <c r="D64">
        <v>64</v>
      </c>
      <c r="E64" t="str">
        <v>CR113_N_Case6,7_ULS1_1.0EI_SpG_a03BP1.0m</v>
      </c>
      <c r="F64" t="str" cm="1">
        <f t="array" ref="F64:K64">TRANSPOSE(_xlfn._xlws.FILTER(_xlfn.ANCHORARRAY($B$2),_xlfn.ANCHORARRAY($A$2)=$E64))</f>
        <v>NodeToNodeAnchor_1</v>
      </c>
      <c r="G64" t="str">
        <v>NodeToNodeAnchor_2</v>
      </c>
      <c r="H64" t="str">
        <v>NodeToNodeAnchor_3</v>
      </c>
      <c r="I64" t="str">
        <v>NodeToNodeAnchor_4</v>
      </c>
      <c r="J64" t="str">
        <v>NodeToNodeAnchor_5</v>
      </c>
      <c r="K64" t="str">
        <v>NodeToNodeAnchor_6</v>
      </c>
    </row>
    <row r="65" spans="6:6" x14ac:dyDescent="0.25">
      <c r="F65" t="e" cm="1" vm="1">
        <f t="array" ref="F65">TRANSPOSE(_xlfn._xlws.FILTER(_xlfn.ANCHORARRAY($B$2),_xlfn.ANCHORARRAY($A$2)=$E65))</f>
        <v>#VALUE!</v>
      </c>
    </row>
    <row r="66" spans="6:6" x14ac:dyDescent="0.25">
      <c r="F66" t="e" cm="1" vm="1">
        <f t="array" ref="F66">TRANSPOSE(_xlfn._xlws.FILTER(_xlfn.ANCHORARRAY($B$2),_xlfn.ANCHORARRAY($A$2)=$E66))</f>
        <v>#VALUE!</v>
      </c>
    </row>
    <row r="67" spans="6:6" x14ac:dyDescent="0.25">
      <c r="F67" t="e" cm="1" vm="1">
        <f t="array" ref="F67">TRANSPOSE(_xlfn._xlws.FILTER(_xlfn.ANCHORARRAY($B$2),_xlfn.ANCHORARRAY($A$2)=$E67))</f>
        <v>#VALUE!</v>
      </c>
    </row>
    <row r="68" spans="6:6" x14ac:dyDescent="0.25">
      <c r="F68" t="e" cm="1" vm="1">
        <f t="array" ref="F68">TRANSPOSE(_xlfn._xlws.FILTER(_xlfn.ANCHORARRAY($B$2),_xlfn.ANCHORARRAY($A$2)=$E68))</f>
        <v>#VALUE!</v>
      </c>
    </row>
    <row r="69" spans="6:6" x14ac:dyDescent="0.25">
      <c r="F69" t="e" cm="1" vm="1">
        <f t="array" ref="F69">TRANSPOSE(_xlfn._xlws.FILTER(_xlfn.ANCHORARRAY($B$2),_xlfn.ANCHORARRAY($A$2)=$E69))</f>
        <v>#VALUE!</v>
      </c>
    </row>
    <row r="70" spans="6:6" x14ac:dyDescent="0.25">
      <c r="F70" t="e" cm="1" vm="1">
        <f t="array" ref="F70">TRANSPOSE(_xlfn._xlws.FILTER(_xlfn.ANCHORARRAY($B$2),_xlfn.ANCHORARRAY($A$2)=$E70))</f>
        <v>#VALUE!</v>
      </c>
    </row>
    <row r="71" spans="6:6" x14ac:dyDescent="0.25">
      <c r="F71" t="e" cm="1" vm="1">
        <f t="array" ref="F71">TRANSPOSE(_xlfn._xlws.FILTER(_xlfn.ANCHORARRAY($B$2),_xlfn.ANCHORARRAY($A$2)=$E71))</f>
        <v>#VALUE!</v>
      </c>
    </row>
    <row r="72" spans="6:6" x14ac:dyDescent="0.25">
      <c r="F72" t="e" cm="1" vm="1">
        <f t="array" ref="F72">TRANSPOSE(_xlfn._xlws.FILTER(_xlfn.ANCHORARRAY($B$2),_xlfn.ANCHORARRAY($A$2)=$E72))</f>
        <v>#VALUE!</v>
      </c>
    </row>
    <row r="73" spans="6:6" x14ac:dyDescent="0.25">
      <c r="F73" t="e" cm="1" vm="1">
        <f t="array" ref="F73">TRANSPOSE(_xlfn._xlws.FILTER(_xlfn.ANCHORARRAY($B$2),_xlfn.ANCHORARRAY($A$2)=$E73))</f>
        <v>#VALUE!</v>
      </c>
    </row>
    <row r="74" spans="6:6" x14ac:dyDescent="0.25">
      <c r="F74" t="e" cm="1" vm="1">
        <f t="array" ref="F74">TRANSPOSE(_xlfn._xlws.FILTER(_xlfn.ANCHORARRAY($B$2),_xlfn.ANCHORARRAY($A$2)=$E74))</f>
        <v>#VALUE!</v>
      </c>
    </row>
    <row r="75" spans="6:6" x14ac:dyDescent="0.25">
      <c r="F75" t="e" cm="1" vm="1">
        <f t="array" ref="F75">TRANSPOSE(_xlfn._xlws.FILTER(_xlfn.ANCHORARRAY($B$2),_xlfn.ANCHORARRAY($A$2)=$E75))</f>
        <v>#VALUE!</v>
      </c>
    </row>
    <row r="76" spans="6:6" x14ac:dyDescent="0.25">
      <c r="F76" t="e" cm="1" vm="1">
        <f t="array" ref="F76">TRANSPOSE(_xlfn._xlws.FILTER(_xlfn.ANCHORARRAY($B$2),_xlfn.ANCHORARRAY($A$2)=$E76))</f>
        <v>#VALUE!</v>
      </c>
    </row>
    <row r="77" spans="6:6" x14ac:dyDescent="0.25">
      <c r="F77" t="e" cm="1" vm="1">
        <f t="array" ref="F77">TRANSPOSE(_xlfn._xlws.FILTER(_xlfn.ANCHORARRAY($B$2),_xlfn.ANCHORARRAY($A$2)=$E77))</f>
        <v>#VALUE!</v>
      </c>
    </row>
    <row r="78" spans="6:6" x14ac:dyDescent="0.25">
      <c r="F78" t="e" cm="1" vm="1">
        <f t="array" ref="F78">TRANSPOSE(_xlfn._xlws.FILTER(_xlfn.ANCHORARRAY($B$2),_xlfn.ANCHORARRAY($A$2)=$E78))</f>
        <v>#VALUE!</v>
      </c>
    </row>
    <row r="79" spans="6:6" x14ac:dyDescent="0.25">
      <c r="F79" t="e" cm="1" vm="1">
        <f t="array" ref="F79">TRANSPOSE(_xlfn._xlws.FILTER(_xlfn.ANCHORARRAY($B$2),_xlfn.ANCHORARRAY($A$2)=$E79))</f>
        <v>#VALUE!</v>
      </c>
    </row>
    <row r="80" spans="6:6" x14ac:dyDescent="0.25">
      <c r="F80" t="e" cm="1" vm="1">
        <f t="array" ref="F80">TRANSPOSE(_xlfn._xlws.FILTER(_xlfn.ANCHORARRAY($B$2),_xlfn.ANCHORARRAY($A$2)=$E80))</f>
        <v>#VALUE!</v>
      </c>
    </row>
    <row r="81" spans="6:6" x14ac:dyDescent="0.25">
      <c r="F81" t="e" cm="1" vm="1">
        <f t="array" ref="F81">TRANSPOSE(_xlfn._xlws.FILTER(_xlfn.ANCHORARRAY($B$2),_xlfn.ANCHORARRAY($A$2)=$E81))</f>
        <v>#VALUE!</v>
      </c>
    </row>
    <row r="82" spans="6:6" x14ac:dyDescent="0.25">
      <c r="F82" t="e" cm="1" vm="1">
        <f t="array" ref="F82">TRANSPOSE(_xlfn._xlws.FILTER(_xlfn.ANCHORARRAY($B$2),_xlfn.ANCHORARRAY($A$2)=$E82))</f>
        <v>#VALUE!</v>
      </c>
    </row>
    <row r="83" spans="6:6" x14ac:dyDescent="0.25">
      <c r="F83" t="e" cm="1" vm="1">
        <f t="array" ref="F83">TRANSPOSE(_xlfn._xlws.FILTER(_xlfn.ANCHORARRAY($B$2),_xlfn.ANCHORARRAY($A$2)=$E83))</f>
        <v>#VALUE!</v>
      </c>
    </row>
    <row r="84" spans="6:6" x14ac:dyDescent="0.25">
      <c r="F84" t="e" cm="1" vm="1">
        <f t="array" ref="F84">TRANSPOSE(_xlfn._xlws.FILTER(_xlfn.ANCHORARRAY($B$2),_xlfn.ANCHORARRAY($A$2)=$E84))</f>
        <v>#VALUE!</v>
      </c>
    </row>
    <row r="85" spans="6:6" x14ac:dyDescent="0.25">
      <c r="F85" t="e" cm="1" vm="1">
        <f t="array" ref="F85">TRANSPOSE(_xlfn._xlws.FILTER(_xlfn.ANCHORARRAY($B$2),_xlfn.ANCHORARRAY($A$2)=$E85))</f>
        <v>#VALUE!</v>
      </c>
    </row>
    <row r="86" spans="6:6" x14ac:dyDescent="0.25">
      <c r="F86" t="e" cm="1" vm="1">
        <f t="array" ref="F86">TRANSPOSE(_xlfn._xlws.FILTER(_xlfn.ANCHORARRAY($B$2),_xlfn.ANCHORARRAY($A$2)=$E86))</f>
        <v>#VALUE!</v>
      </c>
    </row>
    <row r="87" spans="6:6" x14ac:dyDescent="0.25">
      <c r="F87" t="e" cm="1" vm="1">
        <f t="array" ref="F87">TRANSPOSE(_xlfn._xlws.FILTER(_xlfn.ANCHORARRAY($B$2),_xlfn.ANCHORARRAY($A$2)=$E87))</f>
        <v>#VALUE!</v>
      </c>
    </row>
    <row r="88" spans="6:6" x14ac:dyDescent="0.25">
      <c r="F88" t="e" cm="1" vm="1">
        <f t="array" ref="F88">TRANSPOSE(_xlfn._xlws.FILTER(_xlfn.ANCHORARRAY($B$2),_xlfn.ANCHORARRAY($A$2)=$E88))</f>
        <v>#VALUE!</v>
      </c>
    </row>
    <row r="89" spans="6:6" x14ac:dyDescent="0.25">
      <c r="F89" t="e" cm="1" vm="1">
        <f t="array" ref="F89">TRANSPOSE(_xlfn._xlws.FILTER(_xlfn.ANCHORARRAY($B$2),_xlfn.ANCHORARRAY($A$2)=$E89))</f>
        <v>#VALUE!</v>
      </c>
    </row>
    <row r="90" spans="6:6" x14ac:dyDescent="0.25">
      <c r="F90" t="e" cm="1" vm="1">
        <f t="array" ref="F90">TRANSPOSE(_xlfn._xlws.FILTER(_xlfn.ANCHORARRAY($B$2),_xlfn.ANCHORARRAY($A$2)=$E90))</f>
        <v>#VALUE!</v>
      </c>
    </row>
    <row r="91" spans="6:6" x14ac:dyDescent="0.25">
      <c r="F91" t="e" cm="1" vm="1">
        <f t="array" ref="F91">TRANSPOSE(_xlfn._xlws.FILTER(_xlfn.ANCHORARRAY($B$2),_xlfn.ANCHORARRAY($A$2)=$E91))</f>
        <v>#VALUE!</v>
      </c>
    </row>
    <row r="92" spans="6:6" x14ac:dyDescent="0.25">
      <c r="F92" t="e" cm="1" vm="1">
        <f t="array" ref="F92">TRANSPOSE(_xlfn._xlws.FILTER(_xlfn.ANCHORARRAY($B$2),_xlfn.ANCHORARRAY($A$2)=$E92))</f>
        <v>#VALUE!</v>
      </c>
    </row>
    <row r="93" spans="6:6" x14ac:dyDescent="0.25">
      <c r="F93" t="e" cm="1" vm="1">
        <f t="array" ref="F93">TRANSPOSE(_xlfn._xlws.FILTER(_xlfn.ANCHORARRAY($B$2),_xlfn.ANCHORARRAY($A$2)=$E93))</f>
        <v>#VALUE!</v>
      </c>
    </row>
    <row r="94" spans="6:6" x14ac:dyDescent="0.25">
      <c r="F94" t="e" cm="1" vm="1">
        <f t="array" ref="F94">TRANSPOSE(_xlfn._xlws.FILTER(_xlfn.ANCHORARRAY($B$2),_xlfn.ANCHORARRAY($A$2)=$E94))</f>
        <v>#VALUE!</v>
      </c>
    </row>
    <row r="95" spans="6:6" x14ac:dyDescent="0.25">
      <c r="F95" t="e" cm="1" vm="1">
        <f t="array" ref="F95">TRANSPOSE(_xlfn._xlws.FILTER(_xlfn.ANCHORARRAY($B$2),_xlfn.ANCHORARRAY($A$2)=$E95))</f>
        <v>#VALUE!</v>
      </c>
    </row>
    <row r="96" spans="6:6" x14ac:dyDescent="0.25">
      <c r="F96" t="e" cm="1" vm="1">
        <f t="array" ref="F96">TRANSPOSE(_xlfn._xlws.FILTER(_xlfn.ANCHORARRAY($B$2),_xlfn.ANCHORARRAY($A$2)=$E96))</f>
        <v>#VALUE!</v>
      </c>
    </row>
    <row r="97" spans="6:6" x14ac:dyDescent="0.25">
      <c r="F97" t="e" cm="1" vm="1">
        <f t="array" ref="F97">TRANSPOSE(_xlfn._xlws.FILTER(_xlfn.ANCHORARRAY($B$2),_xlfn.ANCHORARRAY($A$2)=$E97))</f>
        <v>#VALUE!</v>
      </c>
    </row>
    <row r="98" spans="6:6" x14ac:dyDescent="0.25">
      <c r="F98" t="e" cm="1" vm="1">
        <f t="array" ref="F98">TRANSPOSE(_xlfn._xlws.FILTER(_xlfn.ANCHORARRAY($B$2),_xlfn.ANCHORARRAY($A$2)=$E98))</f>
        <v>#VALUE!</v>
      </c>
    </row>
    <row r="99" spans="6:6" x14ac:dyDescent="0.25">
      <c r="F99" t="e" cm="1" vm="1">
        <f t="array" ref="F99">TRANSPOSE(_xlfn._xlws.FILTER(_xlfn.ANCHORARRAY($B$2),_xlfn.ANCHORARRAY($A$2)=$E99))</f>
        <v>#VALUE!</v>
      </c>
    </row>
    <row r="100" spans="6:6" x14ac:dyDescent="0.25">
      <c r="F100" t="e" cm="1" vm="1">
        <f t="array" ref="F100">TRANSPOSE(_xlfn._xlws.FILTER(_xlfn.ANCHORARRAY($B$2),_xlfn.ANCHORARRAY($A$2)=$E100))</f>
        <v>#VALUE!</v>
      </c>
    </row>
    <row r="101" spans="6:6" x14ac:dyDescent="0.25">
      <c r="F101" t="e" cm="1" vm="1">
        <f t="array" ref="F101">TRANSPOSE(_xlfn._xlws.FILTER(_xlfn.ANCHORARRAY($B$2),_xlfn.ANCHORARRAY($A$2)=$E101))</f>
        <v>#VALUE!</v>
      </c>
    </row>
    <row r="102" spans="6:6" x14ac:dyDescent="0.25">
      <c r="F102" t="e" cm="1" vm="1">
        <f t="array" ref="F102">TRANSPOSE(_xlfn._xlws.FILTER(_xlfn.ANCHORARRAY($B$2),_xlfn.ANCHORARRAY($A$2)=$E102))</f>
        <v>#VALUE!</v>
      </c>
    </row>
    <row r="103" spans="6:6" x14ac:dyDescent="0.25">
      <c r="F103" t="e" cm="1" vm="1">
        <f t="array" ref="F103">TRANSPOSE(_xlfn._xlws.FILTER(_xlfn.ANCHORARRAY($B$2),_xlfn.ANCHORARRAY($A$2)=$E103))</f>
        <v>#VALUE!</v>
      </c>
    </row>
    <row r="104" spans="6:6" x14ac:dyDescent="0.25">
      <c r="F104" t="e" cm="1" vm="1">
        <f t="array" ref="F104">TRANSPOSE(_xlfn._xlws.FILTER(_xlfn.ANCHORARRAY($B$2),_xlfn.ANCHORARRAY($A$2)=$E104))</f>
        <v>#VALUE!</v>
      </c>
    </row>
    <row r="105" spans="6:6" x14ac:dyDescent="0.25">
      <c r="F105" t="e" cm="1" vm="1">
        <f t="array" ref="F105">TRANSPOSE(_xlfn._xlws.FILTER(_xlfn.ANCHORARRAY($B$2),_xlfn.ANCHORARRAY($A$2)=$E105))</f>
        <v>#VALUE!</v>
      </c>
    </row>
    <row r="106" spans="6:6" x14ac:dyDescent="0.25">
      <c r="F106" t="e" cm="1" vm="1">
        <f t="array" ref="F106">TRANSPOSE(_xlfn._xlws.FILTER(_xlfn.ANCHORARRAY($B$2),_xlfn.ANCHORARRAY($A$2)=$E106))</f>
        <v>#VALUE!</v>
      </c>
    </row>
    <row r="107" spans="6:6" x14ac:dyDescent="0.25">
      <c r="F107" t="e" cm="1" vm="1">
        <f t="array" ref="F107">TRANSPOSE(_xlfn._xlws.FILTER(_xlfn.ANCHORARRAY($B$2),_xlfn.ANCHORARRAY($A$2)=$E107))</f>
        <v>#VALUE!</v>
      </c>
    </row>
    <row r="108" spans="6:6" x14ac:dyDescent="0.25">
      <c r="F108" t="e" cm="1" vm="1">
        <f t="array" ref="F108">TRANSPOSE(_xlfn._xlws.FILTER(_xlfn.ANCHORARRAY($B$2),_xlfn.ANCHORARRAY($A$2)=$E108))</f>
        <v>#VALUE!</v>
      </c>
    </row>
    <row r="109" spans="6:6" x14ac:dyDescent="0.25">
      <c r="F109" t="e" cm="1" vm="1">
        <f t="array" ref="F109">TRANSPOSE(_xlfn._xlws.FILTER(_xlfn.ANCHORARRAY($B$2),_xlfn.ANCHORARRAY($A$2)=$E109))</f>
        <v>#VALUE!</v>
      </c>
    </row>
    <row r="110" spans="6:6" x14ac:dyDescent="0.25">
      <c r="F110" t="e" cm="1" vm="1">
        <f t="array" ref="F110">TRANSPOSE(_xlfn._xlws.FILTER(_xlfn.ANCHORARRAY($B$2),_xlfn.ANCHORARRAY($A$2)=$E110))</f>
        <v>#VALUE!</v>
      </c>
    </row>
    <row r="111" spans="6:6" x14ac:dyDescent="0.25">
      <c r="F111" t="e" cm="1" vm="1">
        <f t="array" ref="F111">TRANSPOSE(_xlfn._xlws.FILTER(_xlfn.ANCHORARRAY($B$2),_xlfn.ANCHORARRAY($A$2)=$E111))</f>
        <v>#VALUE!</v>
      </c>
    </row>
    <row r="112" spans="6:6" x14ac:dyDescent="0.25">
      <c r="F112" t="e" cm="1" vm="1">
        <f t="array" ref="F112">TRANSPOSE(_xlfn._xlws.FILTER(_xlfn.ANCHORARRAY($B$2),_xlfn.ANCHORARRAY($A$2)=$E112))</f>
        <v>#VALUE!</v>
      </c>
    </row>
    <row r="113" spans="6:6" x14ac:dyDescent="0.25">
      <c r="F113" t="e" cm="1" vm="1">
        <f t="array" ref="F113">TRANSPOSE(_xlfn._xlws.FILTER(_xlfn.ANCHORARRAY($B$2),_xlfn.ANCHORARRAY($A$2)=$E113))</f>
        <v>#VALUE!</v>
      </c>
    </row>
    <row r="114" spans="6:6" x14ac:dyDescent="0.25">
      <c r="F114" t="e" cm="1" vm="1">
        <f t="array" ref="F114">TRANSPOSE(_xlfn._xlws.FILTER(_xlfn.ANCHORARRAY($B$2),_xlfn.ANCHORARRAY($A$2)=$E114))</f>
        <v>#VALUE!</v>
      </c>
    </row>
    <row r="115" spans="6:6" x14ac:dyDescent="0.25">
      <c r="F115" t="e" cm="1" vm="1">
        <f t="array" ref="F115">TRANSPOSE(_xlfn._xlws.FILTER(_xlfn.ANCHORARRAY($B$2),_xlfn.ANCHORARRAY($A$2)=$E115))</f>
        <v>#VALUE!</v>
      </c>
    </row>
    <row r="116" spans="6:6" x14ac:dyDescent="0.25">
      <c r="F116" t="e" cm="1" vm="1">
        <f t="array" ref="F116">TRANSPOSE(_xlfn._xlws.FILTER(_xlfn.ANCHORARRAY($B$2),_xlfn.ANCHORARRAY($A$2)=$E116))</f>
        <v>#VALUE!</v>
      </c>
    </row>
    <row r="117" spans="6:6" x14ac:dyDescent="0.25">
      <c r="F117" t="e" cm="1" vm="1">
        <f t="array" ref="F117">TRANSPOSE(_xlfn._xlws.FILTER(_xlfn.ANCHORARRAY($B$2),_xlfn.ANCHORARRAY($A$2)=$E117))</f>
        <v>#VALUE!</v>
      </c>
    </row>
    <row r="118" spans="6:6" x14ac:dyDescent="0.25">
      <c r="F118" t="e" cm="1" vm="1">
        <f t="array" ref="F118">TRANSPOSE(_xlfn._xlws.FILTER(_xlfn.ANCHORARRAY($B$2),_xlfn.ANCHORARRAY($A$2)=$E118))</f>
        <v>#VALUE!</v>
      </c>
    </row>
    <row r="119" spans="6:6" x14ac:dyDescent="0.25">
      <c r="F119" t="e" cm="1" vm="1">
        <f t="array" ref="F119">TRANSPOSE(_xlfn._xlws.FILTER(_xlfn.ANCHORARRAY($B$2),_xlfn.ANCHORARRAY($A$2)=$E119))</f>
        <v>#VALUE!</v>
      </c>
    </row>
    <row r="120" spans="6:6" x14ac:dyDescent="0.25">
      <c r="F120" t="e" cm="1" vm="1">
        <f t="array" ref="F120">TRANSPOSE(_xlfn._xlws.FILTER(_xlfn.ANCHORARRAY($B$2),_xlfn.ANCHORARRAY($A$2)=$E120))</f>
        <v>#VALUE!</v>
      </c>
    </row>
    <row r="121" spans="6:6" x14ac:dyDescent="0.25">
      <c r="F121" t="e" cm="1" vm="1">
        <f t="array" ref="F121">TRANSPOSE(_xlfn._xlws.FILTER(_xlfn.ANCHORARRAY($B$2),_xlfn.ANCHORARRAY($A$2)=$E121))</f>
        <v>#VALUE!</v>
      </c>
    </row>
    <row r="122" spans="6:6" x14ac:dyDescent="0.25">
      <c r="F122" t="e" cm="1" vm="1">
        <f t="array" ref="F122">TRANSPOSE(_xlfn._xlws.FILTER(_xlfn.ANCHORARRAY($B$2),_xlfn.ANCHORARRAY($A$2)=$E122))</f>
        <v>#VALUE!</v>
      </c>
    </row>
    <row r="123" spans="6:6" x14ac:dyDescent="0.25">
      <c r="F123" t="e" cm="1" vm="1">
        <f t="array" ref="F123">TRANSPOSE(_xlfn._xlws.FILTER(_xlfn.ANCHORARRAY($B$2),_xlfn.ANCHORARRAY($A$2)=$E123))</f>
        <v>#VALUE!</v>
      </c>
    </row>
    <row r="124" spans="6:6" x14ac:dyDescent="0.25">
      <c r="F124" t="e" cm="1" vm="1">
        <f t="array" ref="F124">TRANSPOSE(_xlfn._xlws.FILTER(_xlfn.ANCHORARRAY($B$2),_xlfn.ANCHORARRAY($A$2)=$E124))</f>
        <v>#VALUE!</v>
      </c>
    </row>
    <row r="125" spans="6:6" x14ac:dyDescent="0.25">
      <c r="F125" t="e" cm="1" vm="1">
        <f t="array" ref="F125">TRANSPOSE(_xlfn._xlws.FILTER(_xlfn.ANCHORARRAY($B$2),_xlfn.ANCHORARRAY($A$2)=$E125))</f>
        <v>#VALUE!</v>
      </c>
    </row>
    <row r="126" spans="6:6" x14ac:dyDescent="0.25">
      <c r="F126" t="e" cm="1" vm="1">
        <f t="array" ref="F126">TRANSPOSE(_xlfn._xlws.FILTER(_xlfn.ANCHORARRAY($B$2),_xlfn.ANCHORARRAY($A$2)=$E126))</f>
        <v>#VALUE!</v>
      </c>
    </row>
    <row r="127" spans="6:6" x14ac:dyDescent="0.25">
      <c r="F127" t="e" cm="1" vm="1">
        <f t="array" ref="F127">TRANSPOSE(_xlfn._xlws.FILTER(_xlfn.ANCHORARRAY($B$2),_xlfn.ANCHORARRAY($A$2)=$E127))</f>
        <v>#VALUE!</v>
      </c>
    </row>
    <row r="128" spans="6:6" x14ac:dyDescent="0.25">
      <c r="F128" t="e" cm="1" vm="1">
        <f t="array" ref="F128">TRANSPOSE(_xlfn._xlws.FILTER(_xlfn.ANCHORARRAY($B$2),_xlfn.ANCHORARRAY($A$2)=$E128))</f>
        <v>#VALUE!</v>
      </c>
    </row>
    <row r="129" spans="6:6" x14ac:dyDescent="0.25">
      <c r="F129" t="e" cm="1" vm="1">
        <f t="array" ref="F129">TRANSPOSE(_xlfn._xlws.FILTER(_xlfn.ANCHORARRAY($B$2),_xlfn.ANCHORARRAY($A$2)=$E129))</f>
        <v>#VALUE!</v>
      </c>
    </row>
    <row r="130" spans="6:6" x14ac:dyDescent="0.25">
      <c r="F130" t="e" cm="1" vm="1">
        <f t="array" ref="F130">TRANSPOSE(_xlfn._xlws.FILTER(_xlfn.ANCHORARRAY($B$2),_xlfn.ANCHORARRAY($A$2)=$E130))</f>
        <v>#VALUE!</v>
      </c>
    </row>
    <row r="131" spans="6:6" x14ac:dyDescent="0.25">
      <c r="F131" t="e" cm="1" vm="1">
        <f t="array" ref="F131">TRANSPOSE(_xlfn._xlws.FILTER(_xlfn.ANCHORARRAY($B$2),_xlfn.ANCHORARRAY($A$2)=$E131))</f>
        <v>#VALUE!</v>
      </c>
    </row>
    <row r="132" spans="6:6" x14ac:dyDescent="0.25">
      <c r="F132" t="e" cm="1" vm="1">
        <f t="array" ref="F132">TRANSPOSE(_xlfn._xlws.FILTER(_xlfn.ANCHORARRAY($B$2),_xlfn.ANCHORARRAY($A$2)=$E132))</f>
        <v>#VALUE!</v>
      </c>
    </row>
    <row r="133" spans="6:6" x14ac:dyDescent="0.25">
      <c r="F133" t="e" cm="1" vm="1">
        <f t="array" ref="F133">TRANSPOSE(_xlfn._xlws.FILTER(_xlfn.ANCHORARRAY($B$2),_xlfn.ANCHORARRAY($A$2)=$E133))</f>
        <v>#VALUE!</v>
      </c>
    </row>
    <row r="134" spans="6:6" x14ac:dyDescent="0.25">
      <c r="F134" t="e" cm="1" vm="1">
        <f t="array" ref="F134">TRANSPOSE(_xlfn._xlws.FILTER(_xlfn.ANCHORARRAY($B$2),_xlfn.ANCHORARRAY($A$2)=$E134))</f>
        <v>#VALUE!</v>
      </c>
    </row>
    <row r="135" spans="6:6" x14ac:dyDescent="0.25">
      <c r="F135" t="e" cm="1" vm="1">
        <f t="array" ref="F135">TRANSPOSE(_xlfn._xlws.FILTER(_xlfn.ANCHORARRAY($B$2),_xlfn.ANCHORARRAY($A$2)=$E135))</f>
        <v>#VALUE!</v>
      </c>
    </row>
    <row r="136" spans="6:6" x14ac:dyDescent="0.25">
      <c r="F136" t="e" cm="1" vm="1">
        <f t="array" ref="F136">TRANSPOSE(_xlfn._xlws.FILTER(_xlfn.ANCHORARRAY($B$2),_xlfn.ANCHORARRAY($A$2)=$E136))</f>
        <v>#VALUE!</v>
      </c>
    </row>
    <row r="137" spans="6:6" x14ac:dyDescent="0.25">
      <c r="F137" t="e" cm="1" vm="1">
        <f t="array" ref="F137">TRANSPOSE(_xlfn._xlws.FILTER(_xlfn.ANCHORARRAY($B$2),_xlfn.ANCHORARRAY($A$2)=$E137))</f>
        <v>#VALUE!</v>
      </c>
    </row>
    <row r="138" spans="6:6" x14ac:dyDescent="0.25">
      <c r="F138" t="e" cm="1" vm="1">
        <f t="array" ref="F138">TRANSPOSE(_xlfn._xlws.FILTER(_xlfn.ANCHORARRAY($B$2),_xlfn.ANCHORARRAY($A$2)=$E138))</f>
        <v>#VALUE!</v>
      </c>
    </row>
    <row r="139" spans="6:6" x14ac:dyDescent="0.25">
      <c r="F139" t="e" cm="1" vm="1">
        <f t="array" ref="F139">TRANSPOSE(_xlfn._xlws.FILTER(_xlfn.ANCHORARRAY($B$2),_xlfn.ANCHORARRAY($A$2)=$E139))</f>
        <v>#VALUE!</v>
      </c>
    </row>
    <row r="140" spans="6:6" x14ac:dyDescent="0.25">
      <c r="F140" t="e" cm="1" vm="1">
        <f t="array" ref="F140">TRANSPOSE(_xlfn._xlws.FILTER(_xlfn.ANCHORARRAY($B$2),_xlfn.ANCHORARRAY($A$2)=$E140))</f>
        <v>#VALUE!</v>
      </c>
    </row>
    <row r="141" spans="6:6" x14ac:dyDescent="0.25">
      <c r="F141" t="e" cm="1" vm="1">
        <f t="array" ref="F141">TRANSPOSE(_xlfn._xlws.FILTER(_xlfn.ANCHORARRAY($B$2),_xlfn.ANCHORARRAY($A$2)=$E141))</f>
        <v>#VALUE!</v>
      </c>
    </row>
    <row r="142" spans="6:6" x14ac:dyDescent="0.25">
      <c r="F142" t="e" cm="1" vm="1">
        <f t="array" ref="F142">TRANSPOSE(_xlfn._xlws.FILTER(_xlfn.ANCHORARRAY($B$2),_xlfn.ANCHORARRAY($A$2)=$E142))</f>
        <v>#VALUE!</v>
      </c>
    </row>
    <row r="143" spans="6:6" x14ac:dyDescent="0.25">
      <c r="F143" t="e" cm="1" vm="1">
        <f t="array" ref="F143">TRANSPOSE(_xlfn._xlws.FILTER(_xlfn.ANCHORARRAY($B$2),_xlfn.ANCHORARRAY($A$2)=$E143))</f>
        <v>#VALUE!</v>
      </c>
    </row>
    <row r="144" spans="6:6" x14ac:dyDescent="0.25">
      <c r="F144" t="e" cm="1" vm="1">
        <f t="array" ref="F144">TRANSPOSE(_xlfn._xlws.FILTER(_xlfn.ANCHORARRAY($B$2),_xlfn.ANCHORARRAY($A$2)=$E144))</f>
        <v>#VALUE!</v>
      </c>
    </row>
    <row r="145" spans="6:6" x14ac:dyDescent="0.25">
      <c r="F145" t="e" cm="1" vm="1">
        <f t="array" ref="F145">TRANSPOSE(_xlfn._xlws.FILTER(_xlfn.ANCHORARRAY($B$2),_xlfn.ANCHORARRAY($A$2)=$E145))</f>
        <v>#VALUE!</v>
      </c>
    </row>
    <row r="146" spans="6:6" x14ac:dyDescent="0.25">
      <c r="F146" t="e" cm="1" vm="1">
        <f t="array" ref="F146">TRANSPOSE(_xlfn._xlws.FILTER(_xlfn.ANCHORARRAY($B$2),_xlfn.ANCHORARRAY($A$2)=$E146))</f>
        <v>#VALUE!</v>
      </c>
    </row>
    <row r="147" spans="6:6" x14ac:dyDescent="0.25">
      <c r="F147" t="e" cm="1" vm="1">
        <f t="array" ref="F147">TRANSPOSE(_xlfn._xlws.FILTER(_xlfn.ANCHORARRAY($B$2),_xlfn.ANCHORARRAY($A$2)=$E147))</f>
        <v>#VALUE!</v>
      </c>
    </row>
    <row r="148" spans="6:6" x14ac:dyDescent="0.25">
      <c r="F148" t="e" cm="1" vm="1">
        <f t="array" ref="F148">TRANSPOSE(_xlfn._xlws.FILTER(_xlfn.ANCHORARRAY($B$2),_xlfn.ANCHORARRAY($A$2)=$E148))</f>
        <v>#VALUE!</v>
      </c>
    </row>
    <row r="149" spans="6:6" x14ac:dyDescent="0.25">
      <c r="F149" t="e" cm="1" vm="1">
        <f t="array" ref="F149">TRANSPOSE(_xlfn._xlws.FILTER(_xlfn.ANCHORARRAY($B$2),_xlfn.ANCHORARRAY($A$2)=$E149))</f>
        <v>#VALUE!</v>
      </c>
    </row>
    <row r="150" spans="6:6" x14ac:dyDescent="0.25">
      <c r="F150" t="e" cm="1" vm="1">
        <f t="array" ref="F150">TRANSPOSE(_xlfn._xlws.FILTER(_xlfn.ANCHORARRAY($B$2),_xlfn.ANCHORARRAY($A$2)=$E150))</f>
        <v>#VALUE!</v>
      </c>
    </row>
    <row r="151" spans="6:6" x14ac:dyDescent="0.25">
      <c r="F151" t="e" cm="1" vm="1">
        <f t="array" ref="F151">TRANSPOSE(_xlfn._xlws.FILTER(_xlfn.ANCHORARRAY($B$2),_xlfn.ANCHORARRAY($A$2)=$E151))</f>
        <v>#VALUE!</v>
      </c>
    </row>
    <row r="152" spans="6:6" x14ac:dyDescent="0.25">
      <c r="F152" t="e" cm="1" vm="1">
        <f t="array" ref="F152">TRANSPOSE(_xlfn._xlws.FILTER(_xlfn.ANCHORARRAY($B$2),_xlfn.ANCHORARRAY($A$2)=$E152))</f>
        <v>#VALUE!</v>
      </c>
    </row>
    <row r="153" spans="6:6" x14ac:dyDescent="0.25">
      <c r="F153" t="e" cm="1" vm="1">
        <f t="array" ref="F153">TRANSPOSE(_xlfn._xlws.FILTER(_xlfn.ANCHORARRAY($B$2),_xlfn.ANCHORARRAY($A$2)=$E153))</f>
        <v>#VALUE!</v>
      </c>
    </row>
    <row r="154" spans="6:6" x14ac:dyDescent="0.25">
      <c r="F154" t="e" cm="1" vm="1">
        <f t="array" ref="F154">TRANSPOSE(_xlfn._xlws.FILTER(_xlfn.ANCHORARRAY($B$2),_xlfn.ANCHORARRAY($A$2)=$E154))</f>
        <v>#VALUE!</v>
      </c>
    </row>
    <row r="155" spans="6:6" x14ac:dyDescent="0.25">
      <c r="F155" t="e" cm="1" vm="1">
        <f t="array" ref="F155">TRANSPOSE(_xlfn._xlws.FILTER(_xlfn.ANCHORARRAY($B$2),_xlfn.ANCHORARRAY($A$2)=$E155))</f>
        <v>#VALUE!</v>
      </c>
    </row>
    <row r="156" spans="6:6" x14ac:dyDescent="0.25">
      <c r="F156" t="e" cm="1" vm="1">
        <f t="array" ref="F156">TRANSPOSE(_xlfn._xlws.FILTER(_xlfn.ANCHORARRAY($B$2),_xlfn.ANCHORARRAY($A$2)=$E156))</f>
        <v>#VALUE!</v>
      </c>
    </row>
    <row r="157" spans="6:6" x14ac:dyDescent="0.25">
      <c r="F157" t="e" cm="1" vm="1">
        <f t="array" ref="F157">TRANSPOSE(_xlfn._xlws.FILTER(_xlfn.ANCHORARRAY($B$2),_xlfn.ANCHORARRAY($A$2)=$E157))</f>
        <v>#VALUE!</v>
      </c>
    </row>
    <row r="158" spans="6:6" x14ac:dyDescent="0.25">
      <c r="F158" t="e" cm="1" vm="1">
        <f t="array" ref="F158">TRANSPOSE(_xlfn._xlws.FILTER(_xlfn.ANCHORARRAY($B$2),_xlfn.ANCHORARRAY($A$2)=$E158))</f>
        <v>#VALUE!</v>
      </c>
    </row>
    <row r="159" spans="6:6" x14ac:dyDescent="0.25">
      <c r="F159" t="e" cm="1" vm="1">
        <f t="array" ref="F159">TRANSPOSE(_xlfn._xlws.FILTER(_xlfn.ANCHORARRAY($B$2),_xlfn.ANCHORARRAY($A$2)=$E159))</f>
        <v>#VALUE!</v>
      </c>
    </row>
    <row r="160" spans="6:6" x14ac:dyDescent="0.25">
      <c r="F160" t="e" cm="1" vm="1">
        <f t="array" ref="F160">TRANSPOSE(_xlfn._xlws.FILTER(_xlfn.ANCHORARRAY($B$2),_xlfn.ANCHORARRAY($A$2)=$E160))</f>
        <v>#VALUE!</v>
      </c>
    </row>
    <row r="161" spans="6:6" x14ac:dyDescent="0.25">
      <c r="F161" t="e" cm="1" vm="1">
        <f t="array" ref="F161">TRANSPOSE(_xlfn._xlws.FILTER(_xlfn.ANCHORARRAY($B$2),_xlfn.ANCHORARRAY($A$2)=$E161))</f>
        <v>#VALUE!</v>
      </c>
    </row>
    <row r="162" spans="6:6" x14ac:dyDescent="0.25">
      <c r="F162" t="e" cm="1" vm="1">
        <f t="array" ref="F162">TRANSPOSE(_xlfn._xlws.FILTER(_xlfn.ANCHORARRAY($B$2),_xlfn.ANCHORARRAY($A$2)=$E162))</f>
        <v>#VALUE!</v>
      </c>
    </row>
    <row r="163" spans="6:6" x14ac:dyDescent="0.25">
      <c r="F163" t="e" cm="1" vm="1">
        <f t="array" ref="F163">TRANSPOSE(_xlfn._xlws.FILTER(_xlfn.ANCHORARRAY($B$2),_xlfn.ANCHORARRAY($A$2)=$E163))</f>
        <v>#VALUE!</v>
      </c>
    </row>
    <row r="164" spans="6:6" x14ac:dyDescent="0.25">
      <c r="F164" t="e" cm="1" vm="1">
        <f t="array" ref="F164">TRANSPOSE(_xlfn._xlws.FILTER(_xlfn.ANCHORARRAY($B$2),_xlfn.ANCHORARRAY($A$2)=$E164))</f>
        <v>#VALUE!</v>
      </c>
    </row>
    <row r="165" spans="6:6" x14ac:dyDescent="0.25">
      <c r="F165" t="e" cm="1" vm="1">
        <f t="array" ref="F165">TRANSPOSE(_xlfn._xlws.FILTER(_xlfn.ANCHORARRAY($B$2),_xlfn.ANCHORARRAY($A$2)=$E165))</f>
        <v>#VALUE!</v>
      </c>
    </row>
    <row r="166" spans="6:6" x14ac:dyDescent="0.25">
      <c r="F166" t="e" cm="1" vm="1">
        <f t="array" ref="F166">TRANSPOSE(_xlfn._xlws.FILTER(_xlfn.ANCHORARRAY($B$2),_xlfn.ANCHORARRAY($A$2)=$E166))</f>
        <v>#VALUE!</v>
      </c>
    </row>
    <row r="167" spans="6:6" x14ac:dyDescent="0.25">
      <c r="F167" t="e" cm="1" vm="1">
        <f t="array" ref="F167">TRANSPOSE(_xlfn._xlws.FILTER(_xlfn.ANCHORARRAY($B$2),_xlfn.ANCHORARRAY($A$2)=$E167))</f>
        <v>#VALUE!</v>
      </c>
    </row>
    <row r="168" spans="6:6" x14ac:dyDescent="0.25">
      <c r="F168" t="e" cm="1" vm="1">
        <f t="array" ref="F168">TRANSPOSE(_xlfn._xlws.FILTER(_xlfn.ANCHORARRAY($B$2),_xlfn.ANCHORARRAY($A$2)=$E168))</f>
        <v>#VALUE!</v>
      </c>
    </row>
    <row r="169" spans="6:6" x14ac:dyDescent="0.25">
      <c r="F169" t="e" cm="1" vm="1">
        <f t="array" ref="F169">TRANSPOSE(_xlfn._xlws.FILTER(_xlfn.ANCHORARRAY($B$2),_xlfn.ANCHORARRAY($A$2)=$E169))</f>
        <v>#VALUE!</v>
      </c>
    </row>
    <row r="170" spans="6:6" x14ac:dyDescent="0.25">
      <c r="F170" t="e" cm="1" vm="1">
        <f t="array" ref="F170">TRANSPOSE(_xlfn._xlws.FILTER(_xlfn.ANCHORARRAY($B$2),_xlfn.ANCHORARRAY($A$2)=$E170))</f>
        <v>#VALUE!</v>
      </c>
    </row>
    <row r="171" spans="6:6" x14ac:dyDescent="0.25">
      <c r="F171" t="e" cm="1" vm="1">
        <f t="array" ref="F171">TRANSPOSE(_xlfn._xlws.FILTER(_xlfn.ANCHORARRAY($B$2),_xlfn.ANCHORARRAY($A$2)=$E171))</f>
        <v>#VALUE!</v>
      </c>
    </row>
    <row r="172" spans="6:6" x14ac:dyDescent="0.25">
      <c r="F172" t="e" cm="1" vm="1">
        <f t="array" ref="F172">TRANSPOSE(_xlfn._xlws.FILTER(_xlfn.ANCHORARRAY($B$2),_xlfn.ANCHORARRAY($A$2)=$E172))</f>
        <v>#VALUE!</v>
      </c>
    </row>
    <row r="173" spans="6:6" x14ac:dyDescent="0.25">
      <c r="F173" t="e" cm="1" vm="1">
        <f t="array" ref="F173">TRANSPOSE(_xlfn._xlws.FILTER(_xlfn.ANCHORARRAY($B$2),_xlfn.ANCHORARRAY($A$2)=$E173))</f>
        <v>#VALUE!</v>
      </c>
    </row>
    <row r="174" spans="6:6" x14ac:dyDescent="0.25">
      <c r="F174" t="e" cm="1" vm="1">
        <f t="array" ref="F174">TRANSPOSE(_xlfn._xlws.FILTER(_xlfn.ANCHORARRAY($B$2),_xlfn.ANCHORARRAY($A$2)=$E174))</f>
        <v>#VALUE!</v>
      </c>
    </row>
    <row r="175" spans="6:6" x14ac:dyDescent="0.25">
      <c r="F175" t="e" cm="1" vm="1">
        <f t="array" ref="F175">TRANSPOSE(_xlfn._xlws.FILTER(_xlfn.ANCHORARRAY($B$2),_xlfn.ANCHORARRAY($A$2)=$E175))</f>
        <v>#VALUE!</v>
      </c>
    </row>
    <row r="176" spans="6:6" x14ac:dyDescent="0.25">
      <c r="F176" t="e" cm="1" vm="1">
        <f t="array" ref="F176">TRANSPOSE(_xlfn._xlws.FILTER(_xlfn.ANCHORARRAY($B$2),_xlfn.ANCHORARRAY($A$2)=$E176))</f>
        <v>#VALUE!</v>
      </c>
    </row>
    <row r="177" spans="6:6" x14ac:dyDescent="0.25">
      <c r="F177" t="e" cm="1" vm="1">
        <f t="array" ref="F177">TRANSPOSE(_xlfn._xlws.FILTER(_xlfn.ANCHORARRAY($B$2),_xlfn.ANCHORARRAY($A$2)=$E177))</f>
        <v>#VALUE!</v>
      </c>
    </row>
    <row r="178" spans="6:6" x14ac:dyDescent="0.25">
      <c r="F178" t="e" cm="1" vm="1">
        <f t="array" ref="F178">TRANSPOSE(_xlfn._xlws.FILTER(_xlfn.ANCHORARRAY($B$2),_xlfn.ANCHORARRAY($A$2)=$E178))</f>
        <v>#VALUE!</v>
      </c>
    </row>
    <row r="179" spans="6:6" x14ac:dyDescent="0.25">
      <c r="F179" t="e" cm="1" vm="1">
        <f t="array" ref="F179">TRANSPOSE(_xlfn._xlws.FILTER(_xlfn.ANCHORARRAY($B$2),_xlfn.ANCHORARRAY($A$2)=$E179))</f>
        <v>#VALUE!</v>
      </c>
    </row>
    <row r="180" spans="6:6" x14ac:dyDescent="0.25">
      <c r="F180" t="e" cm="1" vm="1">
        <f t="array" ref="F180">TRANSPOSE(_xlfn._xlws.FILTER(_xlfn.ANCHORARRAY($B$2),_xlfn.ANCHORARRAY($A$2)=$E180))</f>
        <v>#VALUE!</v>
      </c>
    </row>
    <row r="181" spans="6:6" x14ac:dyDescent="0.25">
      <c r="F181" t="e" cm="1" vm="1">
        <f t="array" ref="F181">TRANSPOSE(_xlfn._xlws.FILTER(_xlfn.ANCHORARRAY($B$2),_xlfn.ANCHORARRAY($A$2)=$E181))</f>
        <v>#VALUE!</v>
      </c>
    </row>
    <row r="182" spans="6:6" x14ac:dyDescent="0.25">
      <c r="F182" t="e" cm="1" vm="1">
        <f t="array" ref="F182">TRANSPOSE(_xlfn._xlws.FILTER(_xlfn.ANCHORARRAY($B$2),_xlfn.ANCHORARRAY($A$2)=$E182))</f>
        <v>#VALUE!</v>
      </c>
    </row>
    <row r="183" spans="6:6" x14ac:dyDescent="0.25">
      <c r="F183" t="e" cm="1" vm="1">
        <f t="array" ref="F183">TRANSPOSE(_xlfn._xlws.FILTER(_xlfn.ANCHORARRAY($B$2),_xlfn.ANCHORARRAY($A$2)=$E183))</f>
        <v>#VALUE!</v>
      </c>
    </row>
    <row r="184" spans="6:6" x14ac:dyDescent="0.25">
      <c r="F184" t="e" cm="1" vm="1">
        <f t="array" ref="F184">TRANSPOSE(_xlfn._xlws.FILTER(_xlfn.ANCHORARRAY($B$2),_xlfn.ANCHORARRAY($A$2)=$E184))</f>
        <v>#VALUE!</v>
      </c>
    </row>
    <row r="185" spans="6:6" x14ac:dyDescent="0.25">
      <c r="F185" t="e" cm="1" vm="1">
        <f t="array" ref="F185">TRANSPOSE(_xlfn._xlws.FILTER(_xlfn.ANCHORARRAY($B$2),_xlfn.ANCHORARRAY($A$2)=$E185))</f>
        <v>#VALUE!</v>
      </c>
    </row>
    <row r="186" spans="6:6" x14ac:dyDescent="0.25">
      <c r="F186" t="e" cm="1" vm="1">
        <f t="array" ref="F186">TRANSPOSE(_xlfn._xlws.FILTER(_xlfn.ANCHORARRAY($B$2),_xlfn.ANCHORARRAY($A$2)=$E186))</f>
        <v>#VALUE!</v>
      </c>
    </row>
    <row r="187" spans="6:6" x14ac:dyDescent="0.25">
      <c r="F187" t="e" cm="1" vm="1">
        <f t="array" ref="F187">TRANSPOSE(_xlfn._xlws.FILTER(_xlfn.ANCHORARRAY($B$2),_xlfn.ANCHORARRAY($A$2)=$E187))</f>
        <v>#VALUE!</v>
      </c>
    </row>
    <row r="188" spans="6:6" x14ac:dyDescent="0.25">
      <c r="F188" t="e" cm="1" vm="1">
        <f t="array" ref="F188">TRANSPOSE(_xlfn._xlws.FILTER(_xlfn.ANCHORARRAY($B$2),_xlfn.ANCHORARRAY($A$2)=$E188))</f>
        <v>#VALUE!</v>
      </c>
    </row>
    <row r="189" spans="6:6" x14ac:dyDescent="0.25">
      <c r="F189" t="e" cm="1" vm="1">
        <f t="array" ref="F189">TRANSPOSE(_xlfn._xlws.FILTER(_xlfn.ANCHORARRAY($B$2),_xlfn.ANCHORARRAY($A$2)=$E189))</f>
        <v>#VALUE!</v>
      </c>
    </row>
    <row r="190" spans="6:6" x14ac:dyDescent="0.25">
      <c r="F190" t="e" cm="1" vm="1">
        <f t="array" ref="F190">TRANSPOSE(_xlfn._xlws.FILTER(_xlfn.ANCHORARRAY($B$2),_xlfn.ANCHORARRAY($A$2)=$E190))</f>
        <v>#VALUE!</v>
      </c>
    </row>
    <row r="191" spans="6:6" x14ac:dyDescent="0.25">
      <c r="F191" t="e" cm="1" vm="1">
        <f t="array" ref="F191">TRANSPOSE(_xlfn._xlws.FILTER(_xlfn.ANCHORARRAY($B$2),_xlfn.ANCHORARRAY($A$2)=$E191))</f>
        <v>#VALUE!</v>
      </c>
    </row>
    <row r="192" spans="6:6" x14ac:dyDescent="0.25">
      <c r="F192" t="e" cm="1" vm="1">
        <f t="array" ref="F192">TRANSPOSE(_xlfn._xlws.FILTER(_xlfn.ANCHORARRAY($B$2),_xlfn.ANCHORARRAY($A$2)=$E192))</f>
        <v>#VALUE!</v>
      </c>
    </row>
    <row r="193" spans="6:6" x14ac:dyDescent="0.25">
      <c r="F193" t="e" cm="1" vm="1">
        <f t="array" ref="F193">TRANSPOSE(_xlfn._xlws.FILTER(_xlfn.ANCHORARRAY($B$2),_xlfn.ANCHORARRAY($A$2)=$E193))</f>
        <v>#VALUE!</v>
      </c>
    </row>
    <row r="194" spans="6:6" x14ac:dyDescent="0.25">
      <c r="F194" t="e" cm="1" vm="1">
        <f t="array" ref="F194">TRANSPOSE(_xlfn._xlws.FILTER(_xlfn.ANCHORARRAY($B$2),_xlfn.ANCHORARRAY($A$2)=$E194))</f>
        <v>#VALUE!</v>
      </c>
    </row>
    <row r="195" spans="6:6" x14ac:dyDescent="0.25">
      <c r="F195" t="e" cm="1" vm="1">
        <f t="array" ref="F195">TRANSPOSE(_xlfn._xlws.FILTER(_xlfn.ANCHORARRAY($B$2),_xlfn.ANCHORARRAY($A$2)=$E195))</f>
        <v>#VALUE!</v>
      </c>
    </row>
    <row r="196" spans="6:6" x14ac:dyDescent="0.25">
      <c r="F196" t="e" cm="1" vm="1">
        <f t="array" ref="F196">TRANSPOSE(_xlfn._xlws.FILTER(_xlfn.ANCHORARRAY($B$2),_xlfn.ANCHORARRAY($A$2)=$E196))</f>
        <v>#VALUE!</v>
      </c>
    </row>
    <row r="197" spans="6:6" x14ac:dyDescent="0.25">
      <c r="F197" t="e" cm="1" vm="1">
        <f t="array" ref="F197">TRANSPOSE(_xlfn._xlws.FILTER(_xlfn.ANCHORARRAY($B$2),_xlfn.ANCHORARRAY($A$2)=$E197))</f>
        <v>#VALUE!</v>
      </c>
    </row>
    <row r="198" spans="6:6" x14ac:dyDescent="0.25">
      <c r="F198" t="e" cm="1" vm="1">
        <f t="array" ref="F198">TRANSPOSE(_xlfn._xlws.FILTER(_xlfn.ANCHORARRAY($B$2),_xlfn.ANCHORARRAY($A$2)=$E198))</f>
        <v>#VALUE!</v>
      </c>
    </row>
    <row r="199" spans="6:6" x14ac:dyDescent="0.25">
      <c r="F199" t="e" cm="1" vm="1">
        <f t="array" ref="F199">TRANSPOSE(_xlfn._xlws.FILTER(_xlfn.ANCHORARRAY($B$2),_xlfn.ANCHORARRAY($A$2)=$E199))</f>
        <v>#VALUE!</v>
      </c>
    </row>
    <row r="200" spans="6:6" x14ac:dyDescent="0.25">
      <c r="F200" t="e" cm="1" vm="1">
        <f t="array" ref="F200">TRANSPOSE(_xlfn._xlws.FILTER(_xlfn.ANCHORARRAY($B$2),_xlfn.ANCHORARRAY($A$2)=$E200))</f>
        <v>#VALUE!</v>
      </c>
    </row>
    <row r="201" spans="6:6" x14ac:dyDescent="0.25">
      <c r="F201" t="e" cm="1" vm="1">
        <f t="array" ref="F201">TRANSPOSE(_xlfn._xlws.FILTER(_xlfn.ANCHORARRAY($B$2),_xlfn.ANCHORARRAY($A$2)=$E201))</f>
        <v>#VALUE!</v>
      </c>
    </row>
    <row r="202" spans="6:6" x14ac:dyDescent="0.25">
      <c r="F202" t="e" cm="1" vm="1">
        <f t="array" ref="F202">TRANSPOSE(_xlfn._xlws.FILTER(_xlfn.ANCHORARRAY($B$2),_xlfn.ANCHORARRAY($A$2)=$E202))</f>
        <v>#VALUE!</v>
      </c>
    </row>
    <row r="203" spans="6:6" x14ac:dyDescent="0.25">
      <c r="F203" t="e" cm="1" vm="1">
        <f t="array" ref="F203">TRANSPOSE(_xlfn._xlws.FILTER(_xlfn.ANCHORARRAY($B$2),_xlfn.ANCHORARRAY($A$2)=$E203))</f>
        <v>#VALUE!</v>
      </c>
    </row>
    <row r="204" spans="6:6" x14ac:dyDescent="0.25">
      <c r="F204" t="e" cm="1" vm="1">
        <f t="array" ref="F204">TRANSPOSE(_xlfn._xlws.FILTER(_xlfn.ANCHORARRAY($B$2),_xlfn.ANCHORARRAY($A$2)=$E204))</f>
        <v>#VALUE!</v>
      </c>
    </row>
    <row r="205" spans="6:6" x14ac:dyDescent="0.25">
      <c r="F205" t="e" cm="1" vm="1">
        <f t="array" ref="F205">TRANSPOSE(_xlfn._xlws.FILTER(_xlfn.ANCHORARRAY($B$2),_xlfn.ANCHORARRAY($A$2)=$E205))</f>
        <v>#VALUE!</v>
      </c>
    </row>
    <row r="206" spans="6:6" x14ac:dyDescent="0.25">
      <c r="F206" t="e" cm="1" vm="1">
        <f t="array" ref="F206">TRANSPOSE(_xlfn._xlws.FILTER(_xlfn.ANCHORARRAY($B$2),_xlfn.ANCHORARRAY($A$2)=$E206))</f>
        <v>#VALUE!</v>
      </c>
    </row>
    <row r="207" spans="6:6" x14ac:dyDescent="0.25">
      <c r="F207" t="e" cm="1" vm="1">
        <f t="array" ref="F207">TRANSPOSE(_xlfn._xlws.FILTER(_xlfn.ANCHORARRAY($B$2),_xlfn.ANCHORARRAY($A$2)=$E207))</f>
        <v>#VALUE!</v>
      </c>
    </row>
    <row r="208" spans="6:6" x14ac:dyDescent="0.25">
      <c r="F208" t="e" cm="1" vm="1">
        <f t="array" ref="F208">TRANSPOSE(_xlfn._xlws.FILTER(_xlfn.ANCHORARRAY($B$2),_xlfn.ANCHORARRAY($A$2)=$E208))</f>
        <v>#VALUE!</v>
      </c>
    </row>
    <row r="209" spans="6:6" x14ac:dyDescent="0.25">
      <c r="F209" t="e" cm="1" vm="1">
        <f t="array" ref="F209">TRANSPOSE(_xlfn._xlws.FILTER(_xlfn.ANCHORARRAY($B$2),_xlfn.ANCHORARRAY($A$2)=$E209))</f>
        <v>#VALUE!</v>
      </c>
    </row>
    <row r="210" spans="6:6" x14ac:dyDescent="0.25">
      <c r="F210" t="e" cm="1" vm="1">
        <f t="array" ref="F210">TRANSPOSE(_xlfn._xlws.FILTER(_xlfn.ANCHORARRAY($B$2),_xlfn.ANCHORARRAY($A$2)=$E210))</f>
        <v>#VALUE!</v>
      </c>
    </row>
    <row r="211" spans="6:6" x14ac:dyDescent="0.25">
      <c r="F211" t="e" cm="1" vm="1">
        <f t="array" ref="F211">TRANSPOSE(_xlfn._xlws.FILTER(_xlfn.ANCHORARRAY($B$2),_xlfn.ANCHORARRAY($A$2)=$E211))</f>
        <v>#VALUE!</v>
      </c>
    </row>
    <row r="212" spans="6:6" x14ac:dyDescent="0.25">
      <c r="F212" t="e" cm="1" vm="1">
        <f t="array" ref="F212">TRANSPOSE(_xlfn._xlws.FILTER(_xlfn.ANCHORARRAY($B$2),_xlfn.ANCHORARRAY($A$2)=$E212))</f>
        <v>#VALUE!</v>
      </c>
    </row>
    <row r="213" spans="6:6" x14ac:dyDescent="0.25">
      <c r="F213" t="e" cm="1" vm="1">
        <f t="array" ref="F213">TRANSPOSE(_xlfn._xlws.FILTER(_xlfn.ANCHORARRAY($B$2),_xlfn.ANCHORARRAY($A$2)=$E213))</f>
        <v>#VALUE!</v>
      </c>
    </row>
    <row r="214" spans="6:6" x14ac:dyDescent="0.25">
      <c r="F214" t="e" cm="1" vm="1">
        <f t="array" ref="F214">TRANSPOSE(_xlfn._xlws.FILTER(_xlfn.ANCHORARRAY($B$2),_xlfn.ANCHORARRAY($A$2)=$E214))</f>
        <v>#VALUE!</v>
      </c>
    </row>
    <row r="215" spans="6:6" x14ac:dyDescent="0.25">
      <c r="F215" t="e" cm="1" vm="1">
        <f t="array" ref="F215">TRANSPOSE(_xlfn._xlws.FILTER(_xlfn.ANCHORARRAY($B$2),_xlfn.ANCHORARRAY($A$2)=$E215))</f>
        <v>#VALUE!</v>
      </c>
    </row>
    <row r="216" spans="6:6" x14ac:dyDescent="0.25">
      <c r="F216" t="e" cm="1" vm="1">
        <f t="array" ref="F216">TRANSPOSE(_xlfn._xlws.FILTER(_xlfn.ANCHORARRAY($B$2),_xlfn.ANCHORARRAY($A$2)=$E216))</f>
        <v>#VALUE!</v>
      </c>
    </row>
    <row r="217" spans="6:6" x14ac:dyDescent="0.25">
      <c r="F217" t="e" cm="1" vm="1">
        <f t="array" ref="F217">TRANSPOSE(_xlfn._xlws.FILTER(_xlfn.ANCHORARRAY($B$2),_xlfn.ANCHORARRAY($A$2)=$E217))</f>
        <v>#VALUE!</v>
      </c>
    </row>
    <row r="218" spans="6:6" x14ac:dyDescent="0.25">
      <c r="F218" t="e" cm="1" vm="1">
        <f t="array" ref="F218">TRANSPOSE(_xlfn._xlws.FILTER(_xlfn.ANCHORARRAY($B$2),_xlfn.ANCHORARRAY($A$2)=$E218))</f>
        <v>#VALUE!</v>
      </c>
    </row>
    <row r="219" spans="6:6" x14ac:dyDescent="0.25">
      <c r="F219" t="e" cm="1" vm="1">
        <f t="array" ref="F219">TRANSPOSE(_xlfn._xlws.FILTER(_xlfn.ANCHORARRAY($B$2),_xlfn.ANCHORARRAY($A$2)=$E219))</f>
        <v>#VALUE!</v>
      </c>
    </row>
    <row r="220" spans="6:6" x14ac:dyDescent="0.25">
      <c r="F220" t="e" cm="1" vm="1">
        <f t="array" ref="F220">TRANSPOSE(_xlfn._xlws.FILTER(_xlfn.ANCHORARRAY($B$2),_xlfn.ANCHORARRAY($A$2)=$E220))</f>
        <v>#VALUE!</v>
      </c>
    </row>
    <row r="221" spans="6:6" x14ac:dyDescent="0.25">
      <c r="F221" t="e" cm="1" vm="1">
        <f t="array" ref="F221">TRANSPOSE(_xlfn._xlws.FILTER(_xlfn.ANCHORARRAY($B$2),_xlfn.ANCHORARRAY($A$2)=$E221))</f>
        <v>#VALUE!</v>
      </c>
    </row>
    <row r="222" spans="6:6" x14ac:dyDescent="0.25">
      <c r="F222" t="e" cm="1" vm="1">
        <f t="array" ref="F222">TRANSPOSE(_xlfn._xlws.FILTER(_xlfn.ANCHORARRAY($B$2),_xlfn.ANCHORARRAY($A$2)=$E222))</f>
        <v>#VALUE!</v>
      </c>
    </row>
    <row r="223" spans="6:6" x14ac:dyDescent="0.25">
      <c r="F223" t="e" cm="1" vm="1">
        <f t="array" ref="F223">TRANSPOSE(_xlfn._xlws.FILTER(_xlfn.ANCHORARRAY($B$2),_xlfn.ANCHORARRAY($A$2)=$E223))</f>
        <v>#VALUE!</v>
      </c>
    </row>
    <row r="224" spans="6:6" x14ac:dyDescent="0.25">
      <c r="F224" t="e" cm="1" vm="1">
        <f t="array" ref="F224">TRANSPOSE(_xlfn._xlws.FILTER(_xlfn.ANCHORARRAY($B$2),_xlfn.ANCHORARRAY($A$2)=$E224))</f>
        <v>#VALUE!</v>
      </c>
    </row>
    <row r="225" spans="6:6" x14ac:dyDescent="0.25">
      <c r="F225" t="e" cm="1" vm="1">
        <f t="array" ref="F225">TRANSPOSE(_xlfn._xlws.FILTER(_xlfn.ANCHORARRAY($B$2),_xlfn.ANCHORARRAY($A$2)=$E225))</f>
        <v>#VALUE!</v>
      </c>
    </row>
    <row r="226" spans="6:6" x14ac:dyDescent="0.25">
      <c r="F226" t="e" cm="1" vm="1">
        <f t="array" ref="F226">TRANSPOSE(_xlfn._xlws.FILTER(_xlfn.ANCHORARRAY($B$2),_xlfn.ANCHORARRAY($A$2)=$E226))</f>
        <v>#VALUE!</v>
      </c>
    </row>
    <row r="227" spans="6:6" x14ac:dyDescent="0.25">
      <c r="F227" t="e" cm="1" vm="1">
        <f t="array" ref="F227">TRANSPOSE(_xlfn._xlws.FILTER(_xlfn.ANCHORARRAY($B$2),_xlfn.ANCHORARRAY($A$2)=$E227))</f>
        <v>#VALUE!</v>
      </c>
    </row>
    <row r="228" spans="6:6" x14ac:dyDescent="0.25">
      <c r="F228" t="e" cm="1" vm="1">
        <f t="array" ref="F228">TRANSPOSE(_xlfn._xlws.FILTER(_xlfn.ANCHORARRAY($B$2),_xlfn.ANCHORARRAY($A$2)=$E228))</f>
        <v>#VALUE!</v>
      </c>
    </row>
    <row r="229" spans="6:6" x14ac:dyDescent="0.25">
      <c r="F229" t="e" cm="1" vm="1">
        <f t="array" ref="F229">TRANSPOSE(_xlfn._xlws.FILTER(_xlfn.ANCHORARRAY($B$2),_xlfn.ANCHORARRAY($A$2)=$E229))</f>
        <v>#VALUE!</v>
      </c>
    </row>
    <row r="230" spans="6:6" x14ac:dyDescent="0.25">
      <c r="F230" t="e" cm="1" vm="1">
        <f t="array" ref="F230">TRANSPOSE(_xlfn._xlws.FILTER(_xlfn.ANCHORARRAY($B$2),_xlfn.ANCHORARRAY($A$2)=$E230))</f>
        <v>#VALUE!</v>
      </c>
    </row>
    <row r="231" spans="6:6" x14ac:dyDescent="0.25">
      <c r="F231" t="e" cm="1" vm="1">
        <f t="array" ref="F231">TRANSPOSE(_xlfn._xlws.FILTER(_xlfn.ANCHORARRAY($B$2),_xlfn.ANCHORARRAY($A$2)=$E231))</f>
        <v>#VALUE!</v>
      </c>
    </row>
    <row r="232" spans="6:6" x14ac:dyDescent="0.25">
      <c r="F232" t="e" cm="1" vm="1">
        <f t="array" ref="F232">TRANSPOSE(_xlfn._xlws.FILTER(_xlfn.ANCHORARRAY($B$2),_xlfn.ANCHORARRAY($A$2)=$E232))</f>
        <v>#VALUE!</v>
      </c>
    </row>
    <row r="233" spans="6:6" x14ac:dyDescent="0.25">
      <c r="F233" t="e" cm="1" vm="1">
        <f t="array" ref="F233">TRANSPOSE(_xlfn._xlws.FILTER(_xlfn.ANCHORARRAY($B$2),_xlfn.ANCHORARRAY($A$2)=$E233))</f>
        <v>#VALUE!</v>
      </c>
    </row>
    <row r="234" spans="6:6" x14ac:dyDescent="0.25">
      <c r="F234" t="e" cm="1" vm="1">
        <f t="array" ref="F234">TRANSPOSE(_xlfn._xlws.FILTER(_xlfn.ANCHORARRAY($B$2),_xlfn.ANCHORARRAY($A$2)=$E234))</f>
        <v>#VALUE!</v>
      </c>
    </row>
    <row r="235" spans="6:6" x14ac:dyDescent="0.25">
      <c r="F235" t="e" cm="1" vm="1">
        <f t="array" ref="F235">TRANSPOSE(_xlfn._xlws.FILTER(_xlfn.ANCHORARRAY($B$2),_xlfn.ANCHORARRAY($A$2)=$E235))</f>
        <v>#VALUE!</v>
      </c>
    </row>
    <row r="236" spans="6:6" x14ac:dyDescent="0.25">
      <c r="F236" t="e" cm="1" vm="1">
        <f t="array" ref="F236">TRANSPOSE(_xlfn._xlws.FILTER(_xlfn.ANCHORARRAY($B$2),_xlfn.ANCHORARRAY($A$2)=$E236))</f>
        <v>#VALUE!</v>
      </c>
    </row>
    <row r="237" spans="6:6" x14ac:dyDescent="0.25">
      <c r="F237" t="e" cm="1" vm="1">
        <f t="array" ref="F237">TRANSPOSE(_xlfn._xlws.FILTER(_xlfn.ANCHORARRAY($B$2),_xlfn.ANCHORARRAY($A$2)=$E237))</f>
        <v>#VALUE!</v>
      </c>
    </row>
    <row r="238" spans="6:6" x14ac:dyDescent="0.25">
      <c r="F238" t="e" cm="1" vm="1">
        <f t="array" ref="F238">TRANSPOSE(_xlfn._xlws.FILTER(_xlfn.ANCHORARRAY($B$2),_xlfn.ANCHORARRAY($A$2)=$E238))</f>
        <v>#VALUE!</v>
      </c>
    </row>
    <row r="239" spans="6:6" x14ac:dyDescent="0.25">
      <c r="F239" t="e" cm="1" vm="1">
        <f t="array" ref="F239">TRANSPOSE(_xlfn._xlws.FILTER(_xlfn.ANCHORARRAY($B$2),_xlfn.ANCHORARRAY($A$2)=$E239))</f>
        <v>#VALUE!</v>
      </c>
    </row>
    <row r="240" spans="6:6" x14ac:dyDescent="0.25">
      <c r="F240" t="e" cm="1" vm="1">
        <f t="array" ref="F240">TRANSPOSE(_xlfn._xlws.FILTER(_xlfn.ANCHORARRAY($B$2),_xlfn.ANCHORARRAY($A$2)=$E240))</f>
        <v>#VALUE!</v>
      </c>
    </row>
    <row r="241" spans="6:6" x14ac:dyDescent="0.25">
      <c r="F241" t="e" cm="1" vm="1">
        <f t="array" ref="F241">TRANSPOSE(_xlfn._xlws.FILTER(_xlfn.ANCHORARRAY($B$2),_xlfn.ANCHORARRAY($A$2)=$E241))</f>
        <v>#VALUE!</v>
      </c>
    </row>
    <row r="242" spans="6:6" x14ac:dyDescent="0.25">
      <c r="F242" t="e" cm="1" vm="1">
        <f t="array" ref="F242">TRANSPOSE(_xlfn._xlws.FILTER(_xlfn.ANCHORARRAY($B$2),_xlfn.ANCHORARRAY($A$2)=$E242))</f>
        <v>#VALUE!</v>
      </c>
    </row>
    <row r="243" spans="6:6" x14ac:dyDescent="0.25">
      <c r="F243" t="e" cm="1" vm="1">
        <f t="array" ref="F243">TRANSPOSE(_xlfn._xlws.FILTER(_xlfn.ANCHORARRAY($B$2),_xlfn.ANCHORARRAY($A$2)=$E243))</f>
        <v>#VALUE!</v>
      </c>
    </row>
    <row r="244" spans="6:6" x14ac:dyDescent="0.25">
      <c r="F244" t="e" cm="1" vm="1">
        <f t="array" ref="F244">TRANSPOSE(_xlfn._xlws.FILTER(_xlfn.ANCHORARRAY($B$2),_xlfn.ANCHORARRAY($A$2)=$E244))</f>
        <v>#VALUE!</v>
      </c>
    </row>
    <row r="245" spans="6:6" x14ac:dyDescent="0.25">
      <c r="F245" t="e" cm="1" vm="1">
        <f t="array" ref="F245">TRANSPOSE(_xlfn._xlws.FILTER(_xlfn.ANCHORARRAY($B$2),_xlfn.ANCHORARRAY($A$2)=$E245))</f>
        <v>#VALUE!</v>
      </c>
    </row>
    <row r="246" spans="6:6" x14ac:dyDescent="0.25">
      <c r="F246" t="e" cm="1" vm="1">
        <f t="array" ref="F246">TRANSPOSE(_xlfn._xlws.FILTER(_xlfn.ANCHORARRAY($B$2),_xlfn.ANCHORARRAY($A$2)=$E246))</f>
        <v>#VALUE!</v>
      </c>
    </row>
    <row r="247" spans="6:6" x14ac:dyDescent="0.25">
      <c r="F247" t="e" cm="1" vm="1">
        <f t="array" ref="F247">TRANSPOSE(_xlfn._xlws.FILTER(_xlfn.ANCHORARRAY($B$2),_xlfn.ANCHORARRAY($A$2)=$E247))</f>
        <v>#VALUE!</v>
      </c>
    </row>
    <row r="248" spans="6:6" x14ac:dyDescent="0.25">
      <c r="F248" t="e" cm="1" vm="1">
        <f t="array" ref="F248">TRANSPOSE(_xlfn._xlws.FILTER(_xlfn.ANCHORARRAY($B$2),_xlfn.ANCHORARRAY($A$2)=$E248))</f>
        <v>#VALUE!</v>
      </c>
    </row>
    <row r="249" spans="6:6" x14ac:dyDescent="0.25">
      <c r="F249" t="e" cm="1" vm="1">
        <f t="array" ref="F249">TRANSPOSE(_xlfn._xlws.FILTER(_xlfn.ANCHORARRAY($B$2),_xlfn.ANCHORARRAY($A$2)=$E249))</f>
        <v>#VALUE!</v>
      </c>
    </row>
    <row r="250" spans="6:6" x14ac:dyDescent="0.25">
      <c r="F250" t="e" cm="1" vm="1">
        <f t="array" ref="F250">TRANSPOSE(_xlfn._xlws.FILTER(_xlfn.ANCHORARRAY($B$2),_xlfn.ANCHORARRAY($A$2)=$E250))</f>
        <v>#VALUE!</v>
      </c>
    </row>
    <row r="251" spans="6:6" x14ac:dyDescent="0.25">
      <c r="F251" t="e" cm="1" vm="1">
        <f t="array" ref="F251">TRANSPOSE(_xlfn._xlws.FILTER(_xlfn.ANCHORARRAY($B$2),_xlfn.ANCHORARRAY($A$2)=$E251))</f>
        <v>#VALUE!</v>
      </c>
    </row>
    <row r="252" spans="6:6" x14ac:dyDescent="0.25">
      <c r="F252" t="e" cm="1" vm="1">
        <f t="array" ref="F252">TRANSPOSE(_xlfn._xlws.FILTER(_xlfn.ANCHORARRAY($B$2),_xlfn.ANCHORARRAY($A$2)=$E252))</f>
        <v>#VALUE!</v>
      </c>
    </row>
    <row r="253" spans="6:6" x14ac:dyDescent="0.25">
      <c r="F253" t="e" cm="1" vm="1">
        <f t="array" ref="F253">TRANSPOSE(_xlfn._xlws.FILTER(_xlfn.ANCHORARRAY($B$2),_xlfn.ANCHORARRAY($A$2)=$E253))</f>
        <v>#VALUE!</v>
      </c>
    </row>
    <row r="254" spans="6:6" x14ac:dyDescent="0.25">
      <c r="F254" t="e" cm="1" vm="1">
        <f t="array" ref="F254">TRANSPOSE(_xlfn._xlws.FILTER(_xlfn.ANCHORARRAY($B$2),_xlfn.ANCHORARRAY($A$2)=$E254))</f>
        <v>#VALUE!</v>
      </c>
    </row>
    <row r="255" spans="6:6" x14ac:dyDescent="0.25">
      <c r="F255" t="e" cm="1" vm="1">
        <f t="array" ref="F255">TRANSPOSE(_xlfn._xlws.FILTER(_xlfn.ANCHORARRAY($B$2),_xlfn.ANCHORARRAY($A$2)=$E255))</f>
        <v>#VALUE!</v>
      </c>
    </row>
    <row r="256" spans="6:6" x14ac:dyDescent="0.25">
      <c r="F256" t="e" cm="1" vm="1">
        <f t="array" ref="F256">TRANSPOSE(_xlfn._xlws.FILTER(_xlfn.ANCHORARRAY($B$2),_xlfn.ANCHORARRAY($A$2)=$E256))</f>
        <v>#VALUE!</v>
      </c>
    </row>
    <row r="257" spans="6:6" x14ac:dyDescent="0.25">
      <c r="F257" t="e" cm="1" vm="1">
        <f t="array" ref="F257">TRANSPOSE(_xlfn._xlws.FILTER(_xlfn.ANCHORARRAY($B$2),_xlfn.ANCHORARRAY($A$2)=$E257))</f>
        <v>#VALUE!</v>
      </c>
    </row>
    <row r="258" spans="6:6" x14ac:dyDescent="0.25">
      <c r="F258" t="e" cm="1" vm="1">
        <f t="array" ref="F258">TRANSPOSE(_xlfn._xlws.FILTER(_xlfn.ANCHORARRAY($B$2),_xlfn.ANCHORARRAY($A$2)=$E258))</f>
        <v>#VALUE!</v>
      </c>
    </row>
    <row r="259" spans="6:6" x14ac:dyDescent="0.25">
      <c r="F259" t="e" cm="1" vm="1">
        <f t="array" ref="F259">TRANSPOSE(_xlfn._xlws.FILTER(_xlfn.ANCHORARRAY($B$2),_xlfn.ANCHORARRAY($A$2)=$E259))</f>
        <v>#VALUE!</v>
      </c>
    </row>
    <row r="260" spans="6:6" x14ac:dyDescent="0.25">
      <c r="F260" t="e" cm="1" vm="1">
        <f t="array" ref="F260">TRANSPOSE(_xlfn._xlws.FILTER(_xlfn.ANCHORARRAY($B$2),_xlfn.ANCHORARRAY($A$2)=$E260))</f>
        <v>#VALUE!</v>
      </c>
    </row>
    <row r="261" spans="6:6" x14ac:dyDescent="0.25">
      <c r="F261" t="e" cm="1" vm="1">
        <f t="array" ref="F261">TRANSPOSE(_xlfn._xlws.FILTER(_xlfn.ANCHORARRAY($B$2),_xlfn.ANCHORARRAY($A$2)=$E261))</f>
        <v>#VALUE!</v>
      </c>
    </row>
    <row r="262" spans="6:6" x14ac:dyDescent="0.25">
      <c r="F262" t="e" cm="1" vm="1">
        <f t="array" ref="F262">TRANSPOSE(_xlfn._xlws.FILTER(_xlfn.ANCHORARRAY($B$2),_xlfn.ANCHORARRAY($A$2)=$E262))</f>
        <v>#VALUE!</v>
      </c>
    </row>
    <row r="263" spans="6:6" x14ac:dyDescent="0.25">
      <c r="F263" t="e" cm="1" vm="1">
        <f t="array" ref="F263">TRANSPOSE(_xlfn._xlws.FILTER(_xlfn.ANCHORARRAY($B$2),_xlfn.ANCHORARRAY($A$2)=$E263))</f>
        <v>#VALUE!</v>
      </c>
    </row>
    <row r="264" spans="6:6" x14ac:dyDescent="0.25">
      <c r="F264" t="e" cm="1" vm="1">
        <f t="array" ref="F264">TRANSPOSE(_xlfn._xlws.FILTER(_xlfn.ANCHORARRAY($B$2),_xlfn.ANCHORARRAY($A$2)=$E264))</f>
        <v>#VALUE!</v>
      </c>
    </row>
    <row r="265" spans="6:6" x14ac:dyDescent="0.25">
      <c r="F265" t="e" cm="1" vm="1">
        <f t="array" ref="F265">TRANSPOSE(_xlfn._xlws.FILTER(_xlfn.ANCHORARRAY($B$2),_xlfn.ANCHORARRAY($A$2)=$E265))</f>
        <v>#VALUE!</v>
      </c>
    </row>
    <row r="266" spans="6:6" x14ac:dyDescent="0.25">
      <c r="F266" t="e" cm="1" vm="1">
        <f t="array" ref="F266">TRANSPOSE(_xlfn._xlws.FILTER(_xlfn.ANCHORARRAY($B$2),_xlfn.ANCHORARRAY($A$2)=$E266))</f>
        <v>#VALUE!</v>
      </c>
    </row>
    <row r="267" spans="6:6" x14ac:dyDescent="0.25">
      <c r="F267" t="e" cm="1" vm="1">
        <f t="array" ref="F267">TRANSPOSE(_xlfn._xlws.FILTER(_xlfn.ANCHORARRAY($B$2),_xlfn.ANCHORARRAY($A$2)=$E267))</f>
        <v>#VALUE!</v>
      </c>
    </row>
    <row r="268" spans="6:6" x14ac:dyDescent="0.25">
      <c r="F268" t="e" cm="1" vm="1">
        <f t="array" ref="F268">TRANSPOSE(_xlfn._xlws.FILTER(_xlfn.ANCHORARRAY($B$2),_xlfn.ANCHORARRAY($A$2)=$E268))</f>
        <v>#VALUE!</v>
      </c>
    </row>
    <row r="269" spans="6:6" x14ac:dyDescent="0.25">
      <c r="F269" t="e" cm="1" vm="1">
        <f t="array" ref="F269">TRANSPOSE(_xlfn._xlws.FILTER(_xlfn.ANCHORARRAY($B$2),_xlfn.ANCHORARRAY($A$2)=$E269))</f>
        <v>#VALUE!</v>
      </c>
    </row>
    <row r="270" spans="6:6" x14ac:dyDescent="0.25">
      <c r="F270" t="e" cm="1" vm="1">
        <f t="array" ref="F270">TRANSPOSE(_xlfn._xlws.FILTER(_xlfn.ANCHORARRAY($B$2),_xlfn.ANCHORARRAY($A$2)=$E270))</f>
        <v>#VALUE!</v>
      </c>
    </row>
    <row r="271" spans="6:6" x14ac:dyDescent="0.25">
      <c r="F271" t="e" cm="1" vm="1">
        <f t="array" ref="F271">TRANSPOSE(_xlfn._xlws.FILTER(_xlfn.ANCHORARRAY($B$2),_xlfn.ANCHORARRAY($A$2)=$E271))</f>
        <v>#VALUE!</v>
      </c>
    </row>
    <row r="272" spans="6:6" x14ac:dyDescent="0.25">
      <c r="F272" t="e" cm="1" vm="1">
        <f t="array" ref="F272">TRANSPOSE(_xlfn._xlws.FILTER(_xlfn.ANCHORARRAY($B$2),_xlfn.ANCHORARRAY($A$2)=$E272))</f>
        <v>#VALUE!</v>
      </c>
    </row>
    <row r="273" spans="6:6" x14ac:dyDescent="0.25">
      <c r="F273" t="e" cm="1" vm="1">
        <f t="array" ref="F273">TRANSPOSE(_xlfn._xlws.FILTER(_xlfn.ANCHORARRAY($B$2),_xlfn.ANCHORARRAY($A$2)=$E273))</f>
        <v>#VALUE!</v>
      </c>
    </row>
    <row r="274" spans="6:6" x14ac:dyDescent="0.25">
      <c r="F274" t="e" cm="1" vm="1">
        <f t="array" ref="F274">TRANSPOSE(_xlfn._xlws.FILTER(_xlfn.ANCHORARRAY($B$2),_xlfn.ANCHORARRAY($A$2)=$E274))</f>
        <v>#VALUE!</v>
      </c>
    </row>
    <row r="275" spans="6:6" x14ac:dyDescent="0.25">
      <c r="F275" t="e" cm="1" vm="1">
        <f t="array" ref="F275">TRANSPOSE(_xlfn._xlws.FILTER(_xlfn.ANCHORARRAY($B$2),_xlfn.ANCHORARRAY($A$2)=$E275))</f>
        <v>#VALUE!</v>
      </c>
    </row>
    <row r="276" spans="6:6" x14ac:dyDescent="0.25">
      <c r="F276" t="e" cm="1" vm="1">
        <f t="array" ref="F276">TRANSPOSE(_xlfn._xlws.FILTER(_xlfn.ANCHORARRAY($B$2),_xlfn.ANCHORARRAY($A$2)=$E276))</f>
        <v>#VALUE!</v>
      </c>
    </row>
    <row r="277" spans="6:6" x14ac:dyDescent="0.25">
      <c r="F277" t="e" cm="1" vm="1">
        <f t="array" ref="F277">TRANSPOSE(_xlfn._xlws.FILTER(_xlfn.ANCHORARRAY($B$2),_xlfn.ANCHORARRAY($A$2)=$E277))</f>
        <v>#VALUE!</v>
      </c>
    </row>
    <row r="278" spans="6:6" x14ac:dyDescent="0.25">
      <c r="F278" t="e" cm="1" vm="1">
        <f t="array" ref="F278">TRANSPOSE(_xlfn._xlws.FILTER(_xlfn.ANCHORARRAY($B$2),_xlfn.ANCHORARRAY($A$2)=$E278))</f>
        <v>#VALUE!</v>
      </c>
    </row>
    <row r="279" spans="6:6" x14ac:dyDescent="0.25">
      <c r="F279" t="e" cm="1" vm="1">
        <f t="array" ref="F279">TRANSPOSE(_xlfn._xlws.FILTER(_xlfn.ANCHORARRAY($B$2),_xlfn.ANCHORARRAY($A$2)=$E279))</f>
        <v>#VALUE!</v>
      </c>
    </row>
    <row r="280" spans="6:6" x14ac:dyDescent="0.25">
      <c r="F280" t="e" cm="1" vm="1">
        <f t="array" ref="F280">TRANSPOSE(_xlfn._xlws.FILTER(_xlfn.ANCHORARRAY($B$2),_xlfn.ANCHORARRAY($A$2)=$E280))</f>
        <v>#VALUE!</v>
      </c>
    </row>
    <row r="281" spans="6:6" x14ac:dyDescent="0.25">
      <c r="F281" t="e" cm="1" vm="1">
        <f t="array" ref="F281">TRANSPOSE(_xlfn._xlws.FILTER(_xlfn.ANCHORARRAY($B$2),_xlfn.ANCHORARRAY($A$2)=$E281))</f>
        <v>#VALUE!</v>
      </c>
    </row>
    <row r="282" spans="6:6" x14ac:dyDescent="0.25">
      <c r="F282" t="e" cm="1" vm="1">
        <f t="array" ref="F282">TRANSPOSE(_xlfn._xlws.FILTER(_xlfn.ANCHORARRAY($B$2),_xlfn.ANCHORARRAY($A$2)=$E282))</f>
        <v>#VALUE!</v>
      </c>
    </row>
    <row r="283" spans="6:6" x14ac:dyDescent="0.25">
      <c r="F283" t="e" cm="1" vm="1">
        <f t="array" ref="F283">TRANSPOSE(_xlfn._xlws.FILTER(_xlfn.ANCHORARRAY($B$2),_xlfn.ANCHORARRAY($A$2)=$E283))</f>
        <v>#VALUE!</v>
      </c>
    </row>
    <row r="284" spans="6:6" x14ac:dyDescent="0.25">
      <c r="F284" t="e" cm="1" vm="1">
        <f t="array" ref="F284">TRANSPOSE(_xlfn._xlws.FILTER(_xlfn.ANCHORARRAY($B$2),_xlfn.ANCHORARRAY($A$2)=$E284))</f>
        <v>#VALUE!</v>
      </c>
    </row>
    <row r="285" spans="6:6" x14ac:dyDescent="0.25">
      <c r="F285" t="e" cm="1" vm="1">
        <f t="array" ref="F285">TRANSPOSE(_xlfn._xlws.FILTER(_xlfn.ANCHORARRAY($B$2),_xlfn.ANCHORARRAY($A$2)=$E285))</f>
        <v>#VALUE!</v>
      </c>
    </row>
    <row r="286" spans="6:6" x14ac:dyDescent="0.25">
      <c r="F286" t="e" cm="1" vm="1">
        <f t="array" ref="F286">TRANSPOSE(_xlfn._xlws.FILTER(_xlfn.ANCHORARRAY($B$2),_xlfn.ANCHORARRAY($A$2)=$E286))</f>
        <v>#VALUE!</v>
      </c>
    </row>
    <row r="287" spans="6:6" x14ac:dyDescent="0.25">
      <c r="F287" t="e" cm="1" vm="1">
        <f t="array" ref="F287">TRANSPOSE(_xlfn._xlws.FILTER(_xlfn.ANCHORARRAY($B$2),_xlfn.ANCHORARRAY($A$2)=$E287))</f>
        <v>#VALUE!</v>
      </c>
    </row>
    <row r="288" spans="6:6" x14ac:dyDescent="0.25">
      <c r="F288" t="e" cm="1" vm="1">
        <f t="array" ref="F288">TRANSPOSE(_xlfn._xlws.FILTER(_xlfn.ANCHORARRAY($B$2),_xlfn.ANCHORARRAY($A$2)=$E288))</f>
        <v>#VALUE!</v>
      </c>
    </row>
    <row r="289" spans="6:6" x14ac:dyDescent="0.25">
      <c r="F289" t="e" cm="1" vm="1">
        <f t="array" ref="F289">TRANSPOSE(_xlfn._xlws.FILTER(_xlfn.ANCHORARRAY($B$2),_xlfn.ANCHORARRAY($A$2)=$E289))</f>
        <v>#VALUE!</v>
      </c>
    </row>
    <row r="290" spans="6:6" x14ac:dyDescent="0.25">
      <c r="F290" t="e" cm="1" vm="1">
        <f t="array" ref="F290">TRANSPOSE(_xlfn._xlws.FILTER(_xlfn.ANCHORARRAY($B$2),_xlfn.ANCHORARRAY($A$2)=$E290))</f>
        <v>#VALUE!</v>
      </c>
    </row>
    <row r="291" spans="6:6" x14ac:dyDescent="0.25">
      <c r="F291" t="e" cm="1" vm="1">
        <f t="array" ref="F291">TRANSPOSE(_xlfn._xlws.FILTER(_xlfn.ANCHORARRAY($B$2),_xlfn.ANCHORARRAY($A$2)=$E291))</f>
        <v>#VALUE!</v>
      </c>
    </row>
    <row r="292" spans="6:6" x14ac:dyDescent="0.25">
      <c r="F292" t="e" cm="1" vm="1">
        <f t="array" ref="F292">TRANSPOSE(_xlfn._xlws.FILTER(_xlfn.ANCHORARRAY($B$2),_xlfn.ANCHORARRAY($A$2)=$E292))</f>
        <v>#VALUE!</v>
      </c>
    </row>
    <row r="293" spans="6:6" x14ac:dyDescent="0.25">
      <c r="F293" t="e" cm="1" vm="1">
        <f t="array" ref="F293">TRANSPOSE(_xlfn._xlws.FILTER(_xlfn.ANCHORARRAY($B$2),_xlfn.ANCHORARRAY($A$2)=$E293))</f>
        <v>#VALUE!</v>
      </c>
    </row>
    <row r="294" spans="6:6" x14ac:dyDescent="0.25">
      <c r="F294" t="e" cm="1" vm="1">
        <f t="array" ref="F294">TRANSPOSE(_xlfn._xlws.FILTER(_xlfn.ANCHORARRAY($B$2),_xlfn.ANCHORARRAY($A$2)=$E294))</f>
        <v>#VALUE!</v>
      </c>
    </row>
    <row r="295" spans="6:6" x14ac:dyDescent="0.25">
      <c r="F295" t="e" cm="1" vm="1">
        <f t="array" ref="F295">TRANSPOSE(_xlfn._xlws.FILTER(_xlfn.ANCHORARRAY($B$2),_xlfn.ANCHORARRAY($A$2)=$E295))</f>
        <v>#VALUE!</v>
      </c>
    </row>
    <row r="296" spans="6:6" x14ac:dyDescent="0.25">
      <c r="F296" t="e" cm="1" vm="1">
        <f t="array" ref="F296">TRANSPOSE(_xlfn._xlws.FILTER(_xlfn.ANCHORARRAY($B$2),_xlfn.ANCHORARRAY($A$2)=$E296))</f>
        <v>#VALUE!</v>
      </c>
    </row>
    <row r="297" spans="6:6" x14ac:dyDescent="0.25">
      <c r="F297" t="e" cm="1" vm="1">
        <f t="array" ref="F297">TRANSPOSE(_xlfn._xlws.FILTER(_xlfn.ANCHORARRAY($B$2),_xlfn.ANCHORARRAY($A$2)=$E297))</f>
        <v>#VALUE!</v>
      </c>
    </row>
    <row r="298" spans="6:6" x14ac:dyDescent="0.25">
      <c r="F298" t="e" cm="1" vm="1">
        <f t="array" ref="F298">TRANSPOSE(_xlfn._xlws.FILTER(_xlfn.ANCHORARRAY($B$2),_xlfn.ANCHORARRAY($A$2)=$E298))</f>
        <v>#VALUE!</v>
      </c>
    </row>
    <row r="299" spans="6:6" x14ac:dyDescent="0.25">
      <c r="F299" t="e" cm="1" vm="1">
        <f t="array" ref="F299">TRANSPOSE(_xlfn._xlws.FILTER(_xlfn.ANCHORARRAY($B$2),_xlfn.ANCHORARRAY($A$2)=$E299))</f>
        <v>#VALUE!</v>
      </c>
    </row>
    <row r="300" spans="6:6" x14ac:dyDescent="0.25">
      <c r="F300" t="e" cm="1" vm="1">
        <f t="array" ref="F300">TRANSPOSE(_xlfn._xlws.FILTER(_xlfn.ANCHORARRAY($B$2),_xlfn.ANCHORARRAY($A$2)=$E300))</f>
        <v>#VALUE!</v>
      </c>
    </row>
    <row r="301" spans="6:6" x14ac:dyDescent="0.25">
      <c r="F301" t="e" cm="1" vm="1">
        <f t="array" ref="F301">TRANSPOSE(_xlfn._xlws.FILTER(_xlfn.ANCHORARRAY($B$2),_xlfn.ANCHORARRAY($A$2)=$E301))</f>
        <v>#VALUE!</v>
      </c>
    </row>
    <row r="302" spans="6:6" x14ac:dyDescent="0.25">
      <c r="F302" t="e" cm="1" vm="1">
        <f t="array" ref="F302">TRANSPOSE(_xlfn._xlws.FILTER(_xlfn.ANCHORARRAY($B$2),_xlfn.ANCHORARRAY($A$2)=$E302))</f>
        <v>#VALUE!</v>
      </c>
    </row>
    <row r="303" spans="6:6" x14ac:dyDescent="0.25">
      <c r="F303" t="e" cm="1" vm="1">
        <f t="array" ref="F303">TRANSPOSE(_xlfn._xlws.FILTER(_xlfn.ANCHORARRAY($B$2),_xlfn.ANCHORARRAY($A$2)=$E303))</f>
        <v>#VALUE!</v>
      </c>
    </row>
    <row r="304" spans="6:6" x14ac:dyDescent="0.25">
      <c r="F304" t="e" cm="1" vm="1">
        <f t="array" ref="F304">TRANSPOSE(_xlfn._xlws.FILTER(_xlfn.ANCHORARRAY($B$2),_xlfn.ANCHORARRAY($A$2)=$E304))</f>
        <v>#VALUE!</v>
      </c>
    </row>
    <row r="305" spans="6:6" x14ac:dyDescent="0.25">
      <c r="F305" t="e" cm="1" vm="1">
        <f t="array" ref="F305">TRANSPOSE(_xlfn._xlws.FILTER(_xlfn.ANCHORARRAY($B$2),_xlfn.ANCHORARRAY($A$2)=$E305))</f>
        <v>#VALUE!</v>
      </c>
    </row>
    <row r="306" spans="6:6" x14ac:dyDescent="0.25">
      <c r="F306" t="e" cm="1" vm="1">
        <f t="array" ref="F306">TRANSPOSE(_xlfn._xlws.FILTER(_xlfn.ANCHORARRAY($B$2),_xlfn.ANCHORARRAY($A$2)=$E306))</f>
        <v>#VALUE!</v>
      </c>
    </row>
    <row r="307" spans="6:6" x14ac:dyDescent="0.25">
      <c r="F307" t="e" cm="1" vm="1">
        <f t="array" ref="F307">TRANSPOSE(_xlfn._xlws.FILTER(_xlfn.ANCHORARRAY($B$2),_xlfn.ANCHORARRAY($A$2)=$E307))</f>
        <v>#VALUE!</v>
      </c>
    </row>
    <row r="308" spans="6:6" x14ac:dyDescent="0.25">
      <c r="F308" t="e" cm="1" vm="1">
        <f t="array" ref="F308">TRANSPOSE(_xlfn._xlws.FILTER(_xlfn.ANCHORARRAY($B$2),_xlfn.ANCHORARRAY($A$2)=$E308))</f>
        <v>#VALUE!</v>
      </c>
    </row>
    <row r="309" spans="6:6" x14ac:dyDescent="0.25">
      <c r="F309" t="e" cm="1" vm="1">
        <f t="array" ref="F309">TRANSPOSE(_xlfn._xlws.FILTER(_xlfn.ANCHORARRAY($B$2),_xlfn.ANCHORARRAY($A$2)=$E309))</f>
        <v>#VALUE!</v>
      </c>
    </row>
    <row r="310" spans="6:6" x14ac:dyDescent="0.25">
      <c r="F310" t="e" cm="1" vm="1">
        <f t="array" ref="F310">TRANSPOSE(_xlfn._xlws.FILTER(_xlfn.ANCHORARRAY($B$2),_xlfn.ANCHORARRAY($A$2)=$E310))</f>
        <v>#VALUE!</v>
      </c>
    </row>
    <row r="311" spans="6:6" x14ac:dyDescent="0.25">
      <c r="F311" t="e" cm="1" vm="1">
        <f t="array" ref="F311">TRANSPOSE(_xlfn._xlws.FILTER(_xlfn.ANCHORARRAY($B$2),_xlfn.ANCHORARRAY($A$2)=$E311))</f>
        <v>#VALUE!</v>
      </c>
    </row>
    <row r="312" spans="6:6" x14ac:dyDescent="0.25">
      <c r="F312" t="e" cm="1" vm="1">
        <f t="array" ref="F312">TRANSPOSE(_xlfn._xlws.FILTER(_xlfn.ANCHORARRAY($B$2),_xlfn.ANCHORARRAY($A$2)=$E312))</f>
        <v>#VALUE!</v>
      </c>
    </row>
    <row r="313" spans="6:6" x14ac:dyDescent="0.25">
      <c r="F313" t="e" cm="1" vm="1">
        <f t="array" ref="F313">TRANSPOSE(_xlfn._xlws.FILTER(_xlfn.ANCHORARRAY($B$2),_xlfn.ANCHORARRAY($A$2)=$E313))</f>
        <v>#VALUE!</v>
      </c>
    </row>
    <row r="314" spans="6:6" x14ac:dyDescent="0.25">
      <c r="F314" t="e" cm="1" vm="1">
        <f t="array" ref="F314">TRANSPOSE(_xlfn._xlws.FILTER(_xlfn.ANCHORARRAY($B$2),_xlfn.ANCHORARRAY($A$2)=$E314))</f>
        <v>#VALUE!</v>
      </c>
    </row>
    <row r="315" spans="6:6" x14ac:dyDescent="0.25">
      <c r="F315" t="e" cm="1" vm="1">
        <f t="array" ref="F315">TRANSPOSE(_xlfn._xlws.FILTER(_xlfn.ANCHORARRAY($B$2),_xlfn.ANCHORARRAY($A$2)=$E315))</f>
        <v>#VALUE!</v>
      </c>
    </row>
    <row r="316" spans="6:6" x14ac:dyDescent="0.25">
      <c r="F316" t="e" cm="1" vm="1">
        <f t="array" ref="F316">TRANSPOSE(_xlfn._xlws.FILTER(_xlfn.ANCHORARRAY($B$2),_xlfn.ANCHORARRAY($A$2)=$E316))</f>
        <v>#VALUE!</v>
      </c>
    </row>
    <row r="317" spans="6:6" x14ac:dyDescent="0.25">
      <c r="F317" t="e" cm="1" vm="1">
        <f t="array" ref="F317">TRANSPOSE(_xlfn._xlws.FILTER(_xlfn.ANCHORARRAY($B$2),_xlfn.ANCHORARRAY($A$2)=$E317))</f>
        <v>#VALUE!</v>
      </c>
    </row>
    <row r="318" spans="6:6" x14ac:dyDescent="0.25">
      <c r="F318" t="e" cm="1" vm="1">
        <f t="array" ref="F318">TRANSPOSE(_xlfn._xlws.FILTER(_xlfn.ANCHORARRAY($B$2),_xlfn.ANCHORARRAY($A$2)=$E318))</f>
        <v>#VALUE!</v>
      </c>
    </row>
    <row r="319" spans="6:6" x14ac:dyDescent="0.25">
      <c r="F319" t="e" cm="1" vm="1">
        <f t="array" ref="F319">TRANSPOSE(_xlfn._xlws.FILTER(_xlfn.ANCHORARRAY($B$2),_xlfn.ANCHORARRAY($A$2)=$E319))</f>
        <v>#VALUE!</v>
      </c>
    </row>
    <row r="320" spans="6:6" x14ac:dyDescent="0.25">
      <c r="F320" t="e" cm="1" vm="1">
        <f t="array" ref="F320">TRANSPOSE(_xlfn._xlws.FILTER(_xlfn.ANCHORARRAY($B$2),_xlfn.ANCHORARRAY($A$2)=$E320))</f>
        <v>#VALUE!</v>
      </c>
    </row>
    <row r="321" spans="6:6" x14ac:dyDescent="0.25">
      <c r="F321" t="e" cm="1" vm="1">
        <f t="array" ref="F321">TRANSPOSE(_xlfn._xlws.FILTER(_xlfn.ANCHORARRAY($B$2),_xlfn.ANCHORARRAY($A$2)=$E321))</f>
        <v>#VALUE!</v>
      </c>
    </row>
    <row r="322" spans="6:6" x14ac:dyDescent="0.25">
      <c r="F322" t="e" cm="1" vm="1">
        <f t="array" ref="F322">TRANSPOSE(_xlfn._xlws.FILTER(_xlfn.ANCHORARRAY($B$2),_xlfn.ANCHORARRAY($A$2)=$E322))</f>
        <v>#VALUE!</v>
      </c>
    </row>
    <row r="323" spans="6:6" x14ac:dyDescent="0.25">
      <c r="F323" t="e" cm="1" vm="1">
        <f t="array" ref="F323">TRANSPOSE(_xlfn._xlws.FILTER(_xlfn.ANCHORARRAY($B$2),_xlfn.ANCHORARRAY($A$2)=$E323))</f>
        <v>#VALUE!</v>
      </c>
    </row>
    <row r="324" spans="6:6" x14ac:dyDescent="0.25">
      <c r="F324" t="e" cm="1" vm="1">
        <f t="array" ref="F324">TRANSPOSE(_xlfn._xlws.FILTER(_xlfn.ANCHORARRAY($B$2),_xlfn.ANCHORARRAY($A$2)=$E324))</f>
        <v>#VALUE!</v>
      </c>
    </row>
    <row r="325" spans="6:6" x14ac:dyDescent="0.25">
      <c r="F325" t="e" cm="1" vm="1">
        <f t="array" ref="F325">TRANSPOSE(_xlfn._xlws.FILTER(_xlfn.ANCHORARRAY($B$2),_xlfn.ANCHORARRAY($A$2)=$E325))</f>
        <v>#VALUE!</v>
      </c>
    </row>
    <row r="326" spans="6:6" x14ac:dyDescent="0.25">
      <c r="F326" t="e" cm="1" vm="1">
        <f t="array" ref="F326">TRANSPOSE(_xlfn._xlws.FILTER(_xlfn.ANCHORARRAY($B$2),_xlfn.ANCHORARRAY($A$2)=$E326))</f>
        <v>#VALUE!</v>
      </c>
    </row>
    <row r="327" spans="6:6" x14ac:dyDescent="0.25">
      <c r="F327" t="e" cm="1" vm="1">
        <f t="array" ref="F327">TRANSPOSE(_xlfn._xlws.FILTER(_xlfn.ANCHORARRAY($B$2),_xlfn.ANCHORARRAY($A$2)=$E327))</f>
        <v>#VALUE!</v>
      </c>
    </row>
    <row r="328" spans="6:6" x14ac:dyDescent="0.25">
      <c r="F328" t="e" cm="1" vm="1">
        <f t="array" ref="F328">TRANSPOSE(_xlfn._xlws.FILTER(_xlfn.ANCHORARRAY($B$2),_xlfn.ANCHORARRAY($A$2)=$E328))</f>
        <v>#VALUE!</v>
      </c>
    </row>
    <row r="329" spans="6:6" x14ac:dyDescent="0.25">
      <c r="F329" t="e" cm="1" vm="1">
        <f t="array" ref="F329">TRANSPOSE(_xlfn._xlws.FILTER(_xlfn.ANCHORARRAY($B$2),_xlfn.ANCHORARRAY($A$2)=$E329))</f>
        <v>#VALUE!</v>
      </c>
    </row>
    <row r="330" spans="6:6" x14ac:dyDescent="0.25">
      <c r="F330" t="e" cm="1" vm="1">
        <f t="array" ref="F330">TRANSPOSE(_xlfn._xlws.FILTER(_xlfn.ANCHORARRAY($B$2),_xlfn.ANCHORARRAY($A$2)=$E330))</f>
        <v>#VALUE!</v>
      </c>
    </row>
    <row r="331" spans="6:6" x14ac:dyDescent="0.25">
      <c r="F331" t="e" cm="1" vm="1">
        <f t="array" ref="F331">TRANSPOSE(_xlfn._xlws.FILTER(_xlfn.ANCHORARRAY($B$2),_xlfn.ANCHORARRAY($A$2)=$E331))</f>
        <v>#VALUE!</v>
      </c>
    </row>
    <row r="332" spans="6:6" x14ac:dyDescent="0.25">
      <c r="F332" t="e" cm="1" vm="1">
        <f t="array" ref="F332">TRANSPOSE(_xlfn._xlws.FILTER(_xlfn.ANCHORARRAY($B$2),_xlfn.ANCHORARRAY($A$2)=$E332))</f>
        <v>#VALUE!</v>
      </c>
    </row>
    <row r="333" spans="6:6" x14ac:dyDescent="0.25">
      <c r="F333" t="e" cm="1" vm="1">
        <f t="array" ref="F333">TRANSPOSE(_xlfn._xlws.FILTER(_xlfn.ANCHORARRAY($B$2),_xlfn.ANCHORARRAY($A$2)=$E333))</f>
        <v>#VALUE!</v>
      </c>
    </row>
    <row r="334" spans="6:6" x14ac:dyDescent="0.25">
      <c r="F334" t="e" cm="1" vm="1">
        <f t="array" ref="F334">TRANSPOSE(_xlfn._xlws.FILTER(_xlfn.ANCHORARRAY($B$2),_xlfn.ANCHORARRAY($A$2)=$E334))</f>
        <v>#VALUE!</v>
      </c>
    </row>
    <row r="335" spans="6:6" x14ac:dyDescent="0.25">
      <c r="F335" t="e" cm="1" vm="1">
        <f t="array" ref="F335">TRANSPOSE(_xlfn._xlws.FILTER(_xlfn.ANCHORARRAY($B$2),_xlfn.ANCHORARRAY($A$2)=$E335))</f>
        <v>#VALUE!</v>
      </c>
    </row>
    <row r="336" spans="6:6" x14ac:dyDescent="0.25">
      <c r="F336" t="e" cm="1" vm="1">
        <f t="array" ref="F336">TRANSPOSE(_xlfn._xlws.FILTER(_xlfn.ANCHORARRAY($B$2),_xlfn.ANCHORARRAY($A$2)=$E336))</f>
        <v>#VALUE!</v>
      </c>
    </row>
    <row r="337" spans="6:6" x14ac:dyDescent="0.25">
      <c r="F337" t="e" cm="1" vm="1">
        <f t="array" ref="F337">TRANSPOSE(_xlfn._xlws.FILTER(_xlfn.ANCHORARRAY($B$2),_xlfn.ANCHORARRAY($A$2)=$E337))</f>
        <v>#VALUE!</v>
      </c>
    </row>
    <row r="338" spans="6:6" x14ac:dyDescent="0.25">
      <c r="F338" t="e" cm="1" vm="1">
        <f t="array" ref="F338">TRANSPOSE(_xlfn._xlws.FILTER(_xlfn.ANCHORARRAY($B$2),_xlfn.ANCHORARRAY($A$2)=$E338))</f>
        <v>#VALUE!</v>
      </c>
    </row>
    <row r="339" spans="6:6" x14ac:dyDescent="0.25">
      <c r="F339" t="e" cm="1" vm="1">
        <f t="array" ref="F339">TRANSPOSE(_xlfn._xlws.FILTER(_xlfn.ANCHORARRAY($B$2),_xlfn.ANCHORARRAY($A$2)=$E339))</f>
        <v>#VALUE!</v>
      </c>
    </row>
    <row r="340" spans="6:6" x14ac:dyDescent="0.25">
      <c r="F340" t="e" cm="1" vm="1">
        <f t="array" ref="F340">TRANSPOSE(_xlfn._xlws.FILTER(_xlfn.ANCHORARRAY($B$2),_xlfn.ANCHORARRAY($A$2)=$E340))</f>
        <v>#VALUE!</v>
      </c>
    </row>
    <row r="341" spans="6:6" x14ac:dyDescent="0.25">
      <c r="F341" t="e" cm="1" vm="1">
        <f t="array" ref="F341">TRANSPOSE(_xlfn._xlws.FILTER(_xlfn.ANCHORARRAY($B$2),_xlfn.ANCHORARRAY($A$2)=$E341))</f>
        <v>#VALUE!</v>
      </c>
    </row>
    <row r="342" spans="6:6" x14ac:dyDescent="0.25">
      <c r="F342" t="e" cm="1" vm="1">
        <f t="array" ref="F342">TRANSPOSE(_xlfn._xlws.FILTER(_xlfn.ANCHORARRAY($B$2),_xlfn.ANCHORARRAY($A$2)=$E342))</f>
        <v>#VALUE!</v>
      </c>
    </row>
    <row r="343" spans="6:6" x14ac:dyDescent="0.25">
      <c r="F343" t="e" cm="1" vm="1">
        <f t="array" ref="F343">TRANSPOSE(_xlfn._xlws.FILTER(_xlfn.ANCHORARRAY($B$2),_xlfn.ANCHORARRAY($A$2)=$E343))</f>
        <v>#VALUE!</v>
      </c>
    </row>
    <row r="344" spans="6:6" x14ac:dyDescent="0.25">
      <c r="F344" t="e" cm="1" vm="1">
        <f t="array" ref="F344">TRANSPOSE(_xlfn._xlws.FILTER(_xlfn.ANCHORARRAY($B$2),_xlfn.ANCHORARRAY($A$2)=$E344))</f>
        <v>#VALUE!</v>
      </c>
    </row>
    <row r="345" spans="6:6" x14ac:dyDescent="0.25">
      <c r="F345" t="e" cm="1" vm="1">
        <f t="array" ref="F345">TRANSPOSE(_xlfn._xlws.FILTER(_xlfn.ANCHORARRAY($B$2),_xlfn.ANCHORARRAY($A$2)=$E345))</f>
        <v>#VALUE!</v>
      </c>
    </row>
    <row r="346" spans="6:6" x14ac:dyDescent="0.25">
      <c r="F346" t="e" cm="1" vm="1">
        <f t="array" ref="F346">TRANSPOSE(_xlfn._xlws.FILTER(_xlfn.ANCHORARRAY($B$2),_xlfn.ANCHORARRAY($A$2)=$E346))</f>
        <v>#VALUE!</v>
      </c>
    </row>
    <row r="347" spans="6:6" x14ac:dyDescent="0.25">
      <c r="F347" t="e" cm="1" vm="1">
        <f t="array" ref="F347">TRANSPOSE(_xlfn._xlws.FILTER(_xlfn.ANCHORARRAY($B$2),_xlfn.ANCHORARRAY($A$2)=$E347))</f>
        <v>#VALUE!</v>
      </c>
    </row>
    <row r="348" spans="6:6" x14ac:dyDescent="0.25">
      <c r="F348" t="e" cm="1" vm="1">
        <f t="array" ref="F348">TRANSPOSE(_xlfn._xlws.FILTER(_xlfn.ANCHORARRAY($B$2),_xlfn.ANCHORARRAY($A$2)=$E348))</f>
        <v>#VALUE!</v>
      </c>
    </row>
    <row r="349" spans="6:6" x14ac:dyDescent="0.25">
      <c r="F349" t="e" cm="1" vm="1">
        <f t="array" ref="F349">TRANSPOSE(_xlfn._xlws.FILTER(_xlfn.ANCHORARRAY($B$2),_xlfn.ANCHORARRAY($A$2)=$E349))</f>
        <v>#VALUE!</v>
      </c>
    </row>
    <row r="350" spans="6:6" x14ac:dyDescent="0.25">
      <c r="F350" t="e" cm="1" vm="1">
        <f t="array" ref="F350">TRANSPOSE(_xlfn._xlws.FILTER(_xlfn.ANCHORARRAY($B$2),_xlfn.ANCHORARRAY($A$2)=$E350))</f>
        <v>#VALUE!</v>
      </c>
    </row>
    <row r="351" spans="6:6" x14ac:dyDescent="0.25">
      <c r="F351" t="e" cm="1" vm="1">
        <f t="array" ref="F351">TRANSPOSE(_xlfn._xlws.FILTER(_xlfn.ANCHORARRAY($B$2),_xlfn.ANCHORARRAY($A$2)=$E351))</f>
        <v>#VALUE!</v>
      </c>
    </row>
    <row r="352" spans="6:6" x14ac:dyDescent="0.25">
      <c r="F352" t="e" cm="1" vm="1">
        <f t="array" ref="F352">TRANSPOSE(_xlfn._xlws.FILTER(_xlfn.ANCHORARRAY($B$2),_xlfn.ANCHORARRAY($A$2)=$E352))</f>
        <v>#VALUE!</v>
      </c>
    </row>
    <row r="353" spans="6:6" x14ac:dyDescent="0.25">
      <c r="F353" t="e" cm="1" vm="1">
        <f t="array" ref="F353">TRANSPOSE(_xlfn._xlws.FILTER(_xlfn.ANCHORARRAY($B$2),_xlfn.ANCHORARRAY($A$2)=$E353))</f>
        <v>#VALUE!</v>
      </c>
    </row>
    <row r="354" spans="6:6" x14ac:dyDescent="0.25">
      <c r="F354" t="e" cm="1" vm="1">
        <f t="array" ref="F354">TRANSPOSE(_xlfn._xlws.FILTER(_xlfn.ANCHORARRAY($B$2),_xlfn.ANCHORARRAY($A$2)=$E354))</f>
        <v>#VALUE!</v>
      </c>
    </row>
    <row r="355" spans="6:6" x14ac:dyDescent="0.25">
      <c r="F355" t="e" cm="1" vm="1">
        <f t="array" ref="F355">TRANSPOSE(_xlfn._xlws.FILTER(_xlfn.ANCHORARRAY($B$2),_xlfn.ANCHORARRAY($A$2)=$E355))</f>
        <v>#VALUE!</v>
      </c>
    </row>
    <row r="356" spans="6:6" x14ac:dyDescent="0.25">
      <c r="F356" t="e" cm="1" vm="1">
        <f t="array" ref="F356">TRANSPOSE(_xlfn._xlws.FILTER(_xlfn.ANCHORARRAY($B$2),_xlfn.ANCHORARRAY($A$2)=$E356))</f>
        <v>#VALUE!</v>
      </c>
    </row>
    <row r="357" spans="6:6" x14ac:dyDescent="0.25">
      <c r="F357" t="e" cm="1" vm="1">
        <f t="array" ref="F357">TRANSPOSE(_xlfn._xlws.FILTER(_xlfn.ANCHORARRAY($B$2),_xlfn.ANCHORARRAY($A$2)=$E357))</f>
        <v>#VALUE!</v>
      </c>
    </row>
    <row r="358" spans="6:6" x14ac:dyDescent="0.25">
      <c r="F358" t="e" cm="1" vm="1">
        <f t="array" ref="F358">TRANSPOSE(_xlfn._xlws.FILTER(_xlfn.ANCHORARRAY($B$2),_xlfn.ANCHORARRAY($A$2)=$E358))</f>
        <v>#VALUE!</v>
      </c>
    </row>
    <row r="359" spans="6:6" x14ac:dyDescent="0.25">
      <c r="F359" t="e" cm="1" vm="1">
        <f t="array" ref="F359">TRANSPOSE(_xlfn._xlws.FILTER(_xlfn.ANCHORARRAY($B$2),_xlfn.ANCHORARRAY($A$2)=$E359))</f>
        <v>#VALUE!</v>
      </c>
    </row>
    <row r="360" spans="6:6" x14ac:dyDescent="0.25">
      <c r="F360" t="e" cm="1" vm="1">
        <f t="array" ref="F360">TRANSPOSE(_xlfn._xlws.FILTER(_xlfn.ANCHORARRAY($B$2),_xlfn.ANCHORARRAY($A$2)=$E360))</f>
        <v>#VALUE!</v>
      </c>
    </row>
    <row r="361" spans="6:6" x14ac:dyDescent="0.25">
      <c r="F361" t="e" cm="1" vm="1">
        <f t="array" ref="F361">TRANSPOSE(_xlfn._xlws.FILTER(_xlfn.ANCHORARRAY($B$2),_xlfn.ANCHORARRAY($A$2)=$E361))</f>
        <v>#VALUE!</v>
      </c>
    </row>
    <row r="362" spans="6:6" x14ac:dyDescent="0.25">
      <c r="F362" t="e" cm="1" vm="1">
        <f t="array" ref="F362">TRANSPOSE(_xlfn._xlws.FILTER(_xlfn.ANCHORARRAY($B$2),_xlfn.ANCHORARRAY($A$2)=$E362))</f>
        <v>#VALUE!</v>
      </c>
    </row>
    <row r="363" spans="6:6" x14ac:dyDescent="0.25">
      <c r="F363" t="e" cm="1" vm="1">
        <f t="array" ref="F363">TRANSPOSE(_xlfn._xlws.FILTER(_xlfn.ANCHORARRAY($B$2),_xlfn.ANCHORARRAY($A$2)=$E363))</f>
        <v>#VALUE!</v>
      </c>
    </row>
    <row r="364" spans="6:6" x14ac:dyDescent="0.25">
      <c r="F364" t="e" cm="1" vm="1">
        <f t="array" ref="F364">TRANSPOSE(_xlfn._xlws.FILTER(_xlfn.ANCHORARRAY($B$2),_xlfn.ANCHORARRAY($A$2)=$E364))</f>
        <v>#VALUE!</v>
      </c>
    </row>
    <row r="365" spans="6:6" x14ac:dyDescent="0.25">
      <c r="F365" t="e" cm="1" vm="1">
        <f t="array" ref="F365">TRANSPOSE(_xlfn._xlws.FILTER(_xlfn.ANCHORARRAY($B$2),_xlfn.ANCHORARRAY($A$2)=$E365))</f>
        <v>#VALUE!</v>
      </c>
    </row>
    <row r="366" spans="6:6" x14ac:dyDescent="0.25">
      <c r="F366" t="e" cm="1" vm="1">
        <f t="array" ref="F366">TRANSPOSE(_xlfn._xlws.FILTER(_xlfn.ANCHORARRAY($B$2),_xlfn.ANCHORARRAY($A$2)=$E366))</f>
        <v>#VALUE!</v>
      </c>
    </row>
    <row r="367" spans="6:6" x14ac:dyDescent="0.25">
      <c r="F367" t="e" cm="1" vm="1">
        <f t="array" ref="F367">TRANSPOSE(_xlfn._xlws.FILTER(_xlfn.ANCHORARRAY($B$2),_xlfn.ANCHORARRAY($A$2)=$E367))</f>
        <v>#VALUE!</v>
      </c>
    </row>
    <row r="368" spans="6:6" x14ac:dyDescent="0.25">
      <c r="F368" t="e" cm="1" vm="1">
        <f t="array" ref="F368">TRANSPOSE(_xlfn._xlws.FILTER(_xlfn.ANCHORARRAY($B$2),_xlfn.ANCHORARRAY($A$2)=$E368))</f>
        <v>#VALUE!</v>
      </c>
    </row>
    <row r="369" spans="6:6" x14ac:dyDescent="0.25">
      <c r="F369" t="e" cm="1" vm="1">
        <f t="array" ref="F369">TRANSPOSE(_xlfn._xlws.FILTER(_xlfn.ANCHORARRAY($B$2),_xlfn.ANCHORARRAY($A$2)=$E369))</f>
        <v>#VALUE!</v>
      </c>
    </row>
    <row r="370" spans="6:6" x14ac:dyDescent="0.25">
      <c r="F370" t="e" cm="1" vm="1">
        <f t="array" ref="F370">TRANSPOSE(_xlfn._xlws.FILTER(_xlfn.ANCHORARRAY($B$2),_xlfn.ANCHORARRAY($A$2)=$E370))</f>
        <v>#VALUE!</v>
      </c>
    </row>
    <row r="371" spans="6:6" x14ac:dyDescent="0.25">
      <c r="F371" t="e" cm="1" vm="1">
        <f t="array" ref="F371">TRANSPOSE(_xlfn._xlws.FILTER(_xlfn.ANCHORARRAY($B$2),_xlfn.ANCHORARRAY($A$2)=$E371))</f>
        <v>#VALUE!</v>
      </c>
    </row>
    <row r="372" spans="6:6" x14ac:dyDescent="0.25">
      <c r="F372" t="e" cm="1" vm="1">
        <f t="array" ref="F372">TRANSPOSE(_xlfn._xlws.FILTER(_xlfn.ANCHORARRAY($B$2),_xlfn.ANCHORARRAY($A$2)=$E372))</f>
        <v>#VALUE!</v>
      </c>
    </row>
    <row r="373" spans="6:6" x14ac:dyDescent="0.25">
      <c r="F373" t="e" cm="1" vm="1">
        <f t="array" ref="F373">TRANSPOSE(_xlfn._xlws.FILTER(_xlfn.ANCHORARRAY($B$2),_xlfn.ANCHORARRAY($A$2)=$E373))</f>
        <v>#VALUE!</v>
      </c>
    </row>
    <row r="374" spans="6:6" x14ac:dyDescent="0.25">
      <c r="F374" t="e" cm="1" vm="1">
        <f t="array" ref="F374">TRANSPOSE(_xlfn._xlws.FILTER(_xlfn.ANCHORARRAY($B$2),_xlfn.ANCHORARRAY($A$2)=$E374))</f>
        <v>#VALUE!</v>
      </c>
    </row>
    <row r="375" spans="6:6" x14ac:dyDescent="0.25">
      <c r="F375" t="e" cm="1" vm="1">
        <f t="array" ref="F375">TRANSPOSE(_xlfn._xlws.FILTER(_xlfn.ANCHORARRAY($B$2),_xlfn.ANCHORARRAY($A$2)=$E375))</f>
        <v>#VALUE!</v>
      </c>
    </row>
    <row r="376" spans="6:6" x14ac:dyDescent="0.25">
      <c r="F376" t="e" cm="1" vm="1">
        <f t="array" ref="F376">TRANSPOSE(_xlfn._xlws.FILTER(_xlfn.ANCHORARRAY($B$2),_xlfn.ANCHORARRAY($A$2)=$E376))</f>
        <v>#VALUE!</v>
      </c>
    </row>
    <row r="377" spans="6:6" x14ac:dyDescent="0.25">
      <c r="F377" t="e" cm="1" vm="1">
        <f t="array" ref="F377">TRANSPOSE(_xlfn._xlws.FILTER(_xlfn.ANCHORARRAY($B$2),_xlfn.ANCHORARRAY($A$2)=$E377))</f>
        <v>#VALUE!</v>
      </c>
    </row>
    <row r="378" spans="6:6" x14ac:dyDescent="0.25">
      <c r="F378" t="e" cm="1" vm="1">
        <f t="array" ref="F378">TRANSPOSE(_xlfn._xlws.FILTER(_xlfn.ANCHORARRAY($B$2),_xlfn.ANCHORARRAY($A$2)=$E378))</f>
        <v>#VALUE!</v>
      </c>
    </row>
    <row r="379" spans="6:6" x14ac:dyDescent="0.25">
      <c r="F379" t="e" cm="1" vm="1">
        <f t="array" ref="F379">TRANSPOSE(_xlfn._xlws.FILTER(_xlfn.ANCHORARRAY($B$2),_xlfn.ANCHORARRAY($A$2)=$E379))</f>
        <v>#VALUE!</v>
      </c>
    </row>
    <row r="380" spans="6:6" x14ac:dyDescent="0.25">
      <c r="F380" t="e" cm="1" vm="1">
        <f t="array" ref="F380">TRANSPOSE(_xlfn._xlws.FILTER(_xlfn.ANCHORARRAY($B$2),_xlfn.ANCHORARRAY($A$2)=$E380))</f>
        <v>#VALUE!</v>
      </c>
    </row>
    <row r="381" spans="6:6" x14ac:dyDescent="0.25">
      <c r="F381" t="e" cm="1" vm="1">
        <f t="array" ref="F381">TRANSPOSE(_xlfn._xlws.FILTER(_xlfn.ANCHORARRAY($B$2),_xlfn.ANCHORARRAY($A$2)=$E381))</f>
        <v>#VALUE!</v>
      </c>
    </row>
    <row r="382" spans="6:6" x14ac:dyDescent="0.25">
      <c r="F382" t="e" cm="1" vm="1">
        <f t="array" ref="F382">TRANSPOSE(_xlfn._xlws.FILTER(_xlfn.ANCHORARRAY($B$2),_xlfn.ANCHORARRAY($A$2)=$E382))</f>
        <v>#VALUE!</v>
      </c>
    </row>
    <row r="383" spans="6:6" x14ac:dyDescent="0.25">
      <c r="F383" t="e" cm="1" vm="1">
        <f t="array" ref="F383">TRANSPOSE(_xlfn._xlws.FILTER(_xlfn.ANCHORARRAY($B$2),_xlfn.ANCHORARRAY($A$2)=$E383))</f>
        <v>#VALUE!</v>
      </c>
    </row>
    <row r="384" spans="6:6" x14ac:dyDescent="0.25">
      <c r="F384" t="e" cm="1" vm="1">
        <f t="array" ref="F384">TRANSPOSE(_xlfn._xlws.FILTER(_xlfn.ANCHORARRAY($B$2),_xlfn.ANCHORARRAY($A$2)=$E384))</f>
        <v>#VALUE!</v>
      </c>
    </row>
    <row r="385" spans="6:6" x14ac:dyDescent="0.25">
      <c r="F385" t="e" cm="1" vm="1">
        <f t="array" ref="F385">TRANSPOSE(_xlfn._xlws.FILTER(_xlfn.ANCHORARRAY($B$2),_xlfn.ANCHORARRAY($A$2)=$E385))</f>
        <v>#VALUE!</v>
      </c>
    </row>
    <row r="386" spans="6:6" x14ac:dyDescent="0.25">
      <c r="F386" t="e" cm="1" vm="1">
        <f t="array" ref="F386">TRANSPOSE(_xlfn._xlws.FILTER(_xlfn.ANCHORARRAY($B$2),_xlfn.ANCHORARRAY($A$2)=$E386))</f>
        <v>#VALUE!</v>
      </c>
    </row>
    <row r="387" spans="6:6" x14ac:dyDescent="0.25">
      <c r="F387" t="e" cm="1" vm="1">
        <f t="array" ref="F387">TRANSPOSE(_xlfn._xlws.FILTER(_xlfn.ANCHORARRAY($B$2),_xlfn.ANCHORARRAY($A$2)=$E387))</f>
        <v>#VALUE!</v>
      </c>
    </row>
    <row r="388" spans="6:6" x14ac:dyDescent="0.25">
      <c r="F388" t="e" cm="1" vm="1">
        <f t="array" ref="F388">TRANSPOSE(_xlfn._xlws.FILTER(_xlfn.ANCHORARRAY($B$2),_xlfn.ANCHORARRAY($A$2)=$E388))</f>
        <v>#VALUE!</v>
      </c>
    </row>
    <row r="389" spans="6:6" x14ac:dyDescent="0.25">
      <c r="F389" t="e" cm="1" vm="1">
        <f t="array" ref="F389">TRANSPOSE(_xlfn._xlws.FILTER(_xlfn.ANCHORARRAY($B$2),_xlfn.ANCHORARRAY($A$2)=$E389))</f>
        <v>#VALUE!</v>
      </c>
    </row>
    <row r="390" spans="6:6" x14ac:dyDescent="0.25">
      <c r="F390" t="e" cm="1" vm="1">
        <f t="array" ref="F390">TRANSPOSE(_xlfn._xlws.FILTER(_xlfn.ANCHORARRAY($B$2),_xlfn.ANCHORARRAY($A$2)=$E390))</f>
        <v>#VALUE!</v>
      </c>
    </row>
    <row r="391" spans="6:6" x14ac:dyDescent="0.25">
      <c r="F391" t="e" cm="1" vm="1">
        <f t="array" ref="F391">TRANSPOSE(_xlfn._xlws.FILTER(_xlfn.ANCHORARRAY($B$2),_xlfn.ANCHORARRAY($A$2)=$E391))</f>
        <v>#VALUE!</v>
      </c>
    </row>
    <row r="392" spans="6:6" x14ac:dyDescent="0.25">
      <c r="F392" t="e" cm="1" vm="1">
        <f t="array" ref="F392">TRANSPOSE(_xlfn._xlws.FILTER(_xlfn.ANCHORARRAY($B$2),_xlfn.ANCHORARRAY($A$2)=$E392))</f>
        <v>#VALUE!</v>
      </c>
    </row>
    <row r="393" spans="6:6" x14ac:dyDescent="0.25">
      <c r="F393" t="e" cm="1" vm="1">
        <f t="array" ref="F393">TRANSPOSE(_xlfn._xlws.FILTER(_xlfn.ANCHORARRAY($B$2),_xlfn.ANCHORARRAY($A$2)=$E393))</f>
        <v>#VALUE!</v>
      </c>
    </row>
    <row r="394" spans="6:6" x14ac:dyDescent="0.25">
      <c r="F394" t="e" cm="1" vm="1">
        <f t="array" ref="F394">TRANSPOSE(_xlfn._xlws.FILTER(_xlfn.ANCHORARRAY($B$2),_xlfn.ANCHORARRAY($A$2)=$E394))</f>
        <v>#VALUE!</v>
      </c>
    </row>
    <row r="395" spans="6:6" x14ac:dyDescent="0.25">
      <c r="F395" t="e" cm="1" vm="1">
        <f t="array" ref="F395">TRANSPOSE(_xlfn._xlws.FILTER(_xlfn.ANCHORARRAY($B$2),_xlfn.ANCHORARRAY($A$2)=$E395))</f>
        <v>#VALUE!</v>
      </c>
    </row>
    <row r="396" spans="6:6" x14ac:dyDescent="0.25">
      <c r="F396" t="e" cm="1" vm="1">
        <f t="array" ref="F396">TRANSPOSE(_xlfn._xlws.FILTER(_xlfn.ANCHORARRAY($B$2),_xlfn.ANCHORARRAY($A$2)=$E396))</f>
        <v>#VALUE!</v>
      </c>
    </row>
    <row r="397" spans="6:6" x14ac:dyDescent="0.25">
      <c r="F397" t="e" cm="1" vm="1">
        <f t="array" ref="F397">TRANSPOSE(_xlfn._xlws.FILTER(_xlfn.ANCHORARRAY($B$2),_xlfn.ANCHORARRAY($A$2)=$E397))</f>
        <v>#VALUE!</v>
      </c>
    </row>
    <row r="398" spans="6:6" x14ac:dyDescent="0.25">
      <c r="F398" t="e" cm="1" vm="1">
        <f t="array" ref="F398">TRANSPOSE(_xlfn._xlws.FILTER(_xlfn.ANCHORARRAY($B$2),_xlfn.ANCHORARRAY($A$2)=$E398))</f>
        <v>#VALUE!</v>
      </c>
    </row>
    <row r="399" spans="6:6" x14ac:dyDescent="0.25">
      <c r="F399" t="e" cm="1" vm="1">
        <f t="array" ref="F399">TRANSPOSE(_xlfn._xlws.FILTER(_xlfn.ANCHORARRAY($B$2),_xlfn.ANCHORARRAY($A$2)=$E399))</f>
        <v>#VALUE!</v>
      </c>
    </row>
    <row r="400" spans="6:6" x14ac:dyDescent="0.25">
      <c r="F400" t="e" cm="1" vm="1">
        <f t="array" ref="F400">TRANSPOSE(_xlfn._xlws.FILTER(_xlfn.ANCHORARRAY($B$2),_xlfn.ANCHORARRAY($A$2)=$E400))</f>
        <v>#VALUE!</v>
      </c>
    </row>
    <row r="401" spans="6:6" x14ac:dyDescent="0.25">
      <c r="F401" t="e" cm="1" vm="1">
        <f t="array" ref="F401">TRANSPOSE(_xlfn._xlws.FILTER(_xlfn.ANCHORARRAY($B$2),_xlfn.ANCHORARRAY($A$2)=$E401))</f>
        <v>#VALUE!</v>
      </c>
    </row>
    <row r="402" spans="6:6" x14ac:dyDescent="0.25">
      <c r="F402" t="e" cm="1" vm="1">
        <f t="array" ref="F402">TRANSPOSE(_xlfn._xlws.FILTER(_xlfn.ANCHORARRAY($B$2),_xlfn.ANCHORARRAY($A$2)=$E402))</f>
        <v>#VALUE!</v>
      </c>
    </row>
    <row r="403" spans="6:6" x14ac:dyDescent="0.25">
      <c r="F403" t="e" cm="1" vm="1">
        <f t="array" ref="F403">TRANSPOSE(_xlfn._xlws.FILTER(_xlfn.ANCHORARRAY($B$2),_xlfn.ANCHORARRAY($A$2)=$E403))</f>
        <v>#VALUE!</v>
      </c>
    </row>
    <row r="404" spans="6:6" x14ac:dyDescent="0.25">
      <c r="F404" t="e" cm="1" vm="1">
        <f t="array" ref="F404">TRANSPOSE(_xlfn._xlws.FILTER(_xlfn.ANCHORARRAY($B$2),_xlfn.ANCHORARRAY($A$2)=$E404))</f>
        <v>#VALUE!</v>
      </c>
    </row>
    <row r="405" spans="6:6" x14ac:dyDescent="0.25">
      <c r="F405" t="e" cm="1" vm="1">
        <f t="array" ref="F405">TRANSPOSE(_xlfn._xlws.FILTER(_xlfn.ANCHORARRAY($B$2),_xlfn.ANCHORARRAY($A$2)=$E405))</f>
        <v>#VALUE!</v>
      </c>
    </row>
    <row r="406" spans="6:6" x14ac:dyDescent="0.25">
      <c r="F406" t="e" cm="1" vm="1">
        <f t="array" ref="F406">TRANSPOSE(_xlfn._xlws.FILTER(_xlfn.ANCHORARRAY($B$2),_xlfn.ANCHORARRAY($A$2)=$E406))</f>
        <v>#VALUE!</v>
      </c>
    </row>
    <row r="407" spans="6:6" x14ac:dyDescent="0.25">
      <c r="F407" t="e" cm="1" vm="1">
        <f t="array" ref="F407">TRANSPOSE(_xlfn._xlws.FILTER(_xlfn.ANCHORARRAY($B$2),_xlfn.ANCHORARRAY($A$2)=$E407))</f>
        <v>#VALUE!</v>
      </c>
    </row>
    <row r="408" spans="6:6" x14ac:dyDescent="0.25">
      <c r="F408" t="e" cm="1" vm="1">
        <f t="array" ref="F408">TRANSPOSE(_xlfn._xlws.FILTER(_xlfn.ANCHORARRAY($B$2),_xlfn.ANCHORARRAY($A$2)=$E408))</f>
        <v>#VALUE!</v>
      </c>
    </row>
    <row r="409" spans="6:6" x14ac:dyDescent="0.25">
      <c r="F409" t="e" cm="1" vm="1">
        <f t="array" ref="F409">TRANSPOSE(_xlfn._xlws.FILTER(_xlfn.ANCHORARRAY($B$2),_xlfn.ANCHORARRAY($A$2)=$E409))</f>
        <v>#VALUE!</v>
      </c>
    </row>
    <row r="410" spans="6:6" x14ac:dyDescent="0.25">
      <c r="F410" t="e" cm="1" vm="1">
        <f t="array" ref="F410">TRANSPOSE(_xlfn._xlws.FILTER(_xlfn.ANCHORARRAY($B$2),_xlfn.ANCHORARRAY($A$2)=$E410))</f>
        <v>#VALUE!</v>
      </c>
    </row>
    <row r="411" spans="6:6" x14ac:dyDescent="0.25">
      <c r="F411" t="e" cm="1" vm="1">
        <f t="array" ref="F411">TRANSPOSE(_xlfn._xlws.FILTER(_xlfn.ANCHORARRAY($B$2),_xlfn.ANCHORARRAY($A$2)=$E411))</f>
        <v>#VALUE!</v>
      </c>
    </row>
    <row r="412" spans="6:6" x14ac:dyDescent="0.25">
      <c r="F412" t="e" cm="1" vm="1">
        <f t="array" ref="F412">TRANSPOSE(_xlfn._xlws.FILTER(_xlfn.ANCHORARRAY($B$2),_xlfn.ANCHORARRAY($A$2)=$E412))</f>
        <v>#VALUE!</v>
      </c>
    </row>
    <row r="413" spans="6:6" x14ac:dyDescent="0.25">
      <c r="F413" t="e" cm="1" vm="1">
        <f t="array" ref="F413">TRANSPOSE(_xlfn._xlws.FILTER(_xlfn.ANCHORARRAY($B$2),_xlfn.ANCHORARRAY($A$2)=$E413))</f>
        <v>#VALUE!</v>
      </c>
    </row>
    <row r="414" spans="6:6" x14ac:dyDescent="0.25">
      <c r="F414" t="e" cm="1" vm="1">
        <f t="array" ref="F414">TRANSPOSE(_xlfn._xlws.FILTER(_xlfn.ANCHORARRAY($B$2),_xlfn.ANCHORARRAY($A$2)=$E414))</f>
        <v>#VALUE!</v>
      </c>
    </row>
    <row r="415" spans="6:6" x14ac:dyDescent="0.25">
      <c r="F415" t="e" cm="1" vm="1">
        <f t="array" ref="F415">TRANSPOSE(_xlfn._xlws.FILTER(_xlfn.ANCHORARRAY($B$2),_xlfn.ANCHORARRAY($A$2)=$E415))</f>
        <v>#VALUE!</v>
      </c>
    </row>
    <row r="416" spans="6:6" x14ac:dyDescent="0.25">
      <c r="F416" t="e" cm="1" vm="1">
        <f t="array" ref="F416">TRANSPOSE(_xlfn._xlws.FILTER(_xlfn.ANCHORARRAY($B$2),_xlfn.ANCHORARRAY($A$2)=$E416))</f>
        <v>#VALUE!</v>
      </c>
    </row>
    <row r="417" spans="6:6" x14ac:dyDescent="0.25">
      <c r="F417" t="e" cm="1" vm="1">
        <f t="array" ref="F417">TRANSPOSE(_xlfn._xlws.FILTER(_xlfn.ANCHORARRAY($B$2),_xlfn.ANCHORARRAY($A$2)=$E417))</f>
        <v>#VALUE!</v>
      </c>
    </row>
    <row r="418" spans="6:6" x14ac:dyDescent="0.25">
      <c r="F418" t="e" cm="1" vm="1">
        <f t="array" ref="F418">TRANSPOSE(_xlfn._xlws.FILTER(_xlfn.ANCHORARRAY($B$2),_xlfn.ANCHORARRAY($A$2)=$E418))</f>
        <v>#VALUE!</v>
      </c>
    </row>
    <row r="419" spans="6:6" x14ac:dyDescent="0.25">
      <c r="F419" t="e" cm="1" vm="1">
        <f t="array" ref="F419">TRANSPOSE(_xlfn._xlws.FILTER(_xlfn.ANCHORARRAY($B$2),_xlfn.ANCHORARRAY($A$2)=$E419))</f>
        <v>#VALUE!</v>
      </c>
    </row>
    <row r="420" spans="6:6" x14ac:dyDescent="0.25">
      <c r="F420" t="e" cm="1" vm="1">
        <f t="array" ref="F420">TRANSPOSE(_xlfn._xlws.FILTER(_xlfn.ANCHORARRAY($B$2),_xlfn.ANCHORARRAY($A$2)=$E420))</f>
        <v>#VALUE!</v>
      </c>
    </row>
    <row r="421" spans="6:6" x14ac:dyDescent="0.25">
      <c r="F421" t="e" cm="1" vm="1">
        <f t="array" ref="F421">TRANSPOSE(_xlfn._xlws.FILTER(_xlfn.ANCHORARRAY($B$2),_xlfn.ANCHORARRAY($A$2)=$E421))</f>
        <v>#VALUE!</v>
      </c>
    </row>
    <row r="422" spans="6:6" x14ac:dyDescent="0.25">
      <c r="F422" t="e" cm="1" vm="1">
        <f t="array" ref="F422">TRANSPOSE(_xlfn._xlws.FILTER(_xlfn.ANCHORARRAY($B$2),_xlfn.ANCHORARRAY($A$2)=$E422))</f>
        <v>#VALUE!</v>
      </c>
    </row>
    <row r="423" spans="6:6" x14ac:dyDescent="0.25">
      <c r="F423" t="e" cm="1" vm="1">
        <f t="array" ref="F423">TRANSPOSE(_xlfn._xlws.FILTER(_xlfn.ANCHORARRAY($B$2),_xlfn.ANCHORARRAY($A$2)=$E423))</f>
        <v>#VALUE!</v>
      </c>
    </row>
    <row r="424" spans="6:6" x14ac:dyDescent="0.25">
      <c r="F424" t="e" cm="1" vm="1">
        <f t="array" ref="F424">TRANSPOSE(_xlfn._xlws.FILTER(_xlfn.ANCHORARRAY($B$2),_xlfn.ANCHORARRAY($A$2)=$E424))</f>
        <v>#VALUE!</v>
      </c>
    </row>
    <row r="425" spans="6:6" x14ac:dyDescent="0.25">
      <c r="F425" t="e" cm="1" vm="1">
        <f t="array" ref="F425">TRANSPOSE(_xlfn._xlws.FILTER(_xlfn.ANCHORARRAY($B$2),_xlfn.ANCHORARRAY($A$2)=$E425))</f>
        <v>#VALUE!</v>
      </c>
    </row>
    <row r="426" spans="6:6" x14ac:dyDescent="0.25">
      <c r="F426" t="e" cm="1" vm="1">
        <f t="array" ref="F426">TRANSPOSE(_xlfn._xlws.FILTER(_xlfn.ANCHORARRAY($B$2),_xlfn.ANCHORARRAY($A$2)=$E426))</f>
        <v>#VALUE!</v>
      </c>
    </row>
    <row r="427" spans="6:6" x14ac:dyDescent="0.25">
      <c r="F427" t="e" cm="1" vm="1">
        <f t="array" ref="F427">TRANSPOSE(_xlfn._xlws.FILTER(_xlfn.ANCHORARRAY($B$2),_xlfn.ANCHORARRAY($A$2)=$E427))</f>
        <v>#VALUE!</v>
      </c>
    </row>
    <row r="428" spans="6:6" x14ac:dyDescent="0.25">
      <c r="F428" t="e" cm="1" vm="1">
        <f t="array" ref="F428">TRANSPOSE(_xlfn._xlws.FILTER(_xlfn.ANCHORARRAY($B$2),_xlfn.ANCHORARRAY($A$2)=$E428))</f>
        <v>#VALUE!</v>
      </c>
    </row>
    <row r="429" spans="6:6" x14ac:dyDescent="0.25">
      <c r="F429" t="e" cm="1" vm="1">
        <f t="array" ref="F429">TRANSPOSE(_xlfn._xlws.FILTER(_xlfn.ANCHORARRAY($B$2),_xlfn.ANCHORARRAY($A$2)=$E429))</f>
        <v>#VALUE!</v>
      </c>
    </row>
    <row r="430" spans="6:6" x14ac:dyDescent="0.25">
      <c r="F430" t="e" cm="1" vm="1">
        <f t="array" ref="F430">TRANSPOSE(_xlfn._xlws.FILTER(_xlfn.ANCHORARRAY($B$2),_xlfn.ANCHORARRAY($A$2)=$E430))</f>
        <v>#VALUE!</v>
      </c>
    </row>
    <row r="431" spans="6:6" x14ac:dyDescent="0.25">
      <c r="F431" t="e" cm="1" vm="1">
        <f t="array" ref="F431">TRANSPOSE(_xlfn._xlws.FILTER(_xlfn.ANCHORARRAY($B$2),_xlfn.ANCHORARRAY($A$2)=$E431))</f>
        <v>#VALUE!</v>
      </c>
    </row>
    <row r="432" spans="6:6" x14ac:dyDescent="0.25">
      <c r="F432" t="e" cm="1" vm="1">
        <f t="array" ref="F432">TRANSPOSE(_xlfn._xlws.FILTER(_xlfn.ANCHORARRAY($B$2),_xlfn.ANCHORARRAY($A$2)=$E432))</f>
        <v>#VALUE!</v>
      </c>
    </row>
    <row r="433" spans="6:6" x14ac:dyDescent="0.25">
      <c r="F433" t="e" cm="1" vm="1">
        <f t="array" ref="F433">TRANSPOSE(_xlfn._xlws.FILTER(_xlfn.ANCHORARRAY($B$2),_xlfn.ANCHORARRAY($A$2)=$E433))</f>
        <v>#VALUE!</v>
      </c>
    </row>
    <row r="434" spans="6:6" x14ac:dyDescent="0.25">
      <c r="F434" t="e" cm="1" vm="1">
        <f t="array" ref="F434">TRANSPOSE(_xlfn._xlws.FILTER(_xlfn.ANCHORARRAY($B$2),_xlfn.ANCHORARRAY($A$2)=$E434))</f>
        <v>#VALUE!</v>
      </c>
    </row>
    <row r="435" spans="6:6" x14ac:dyDescent="0.25">
      <c r="F435" t="e" cm="1" vm="1">
        <f t="array" ref="F435">TRANSPOSE(_xlfn._xlws.FILTER(_xlfn.ANCHORARRAY($B$2),_xlfn.ANCHORARRAY($A$2)=$E435))</f>
        <v>#VALUE!</v>
      </c>
    </row>
    <row r="436" spans="6:6" x14ac:dyDescent="0.25">
      <c r="F436" t="e" cm="1" vm="1">
        <f t="array" ref="F436">TRANSPOSE(_xlfn._xlws.FILTER(_xlfn.ANCHORARRAY($B$2),_xlfn.ANCHORARRAY($A$2)=$E436))</f>
        <v>#VALUE!</v>
      </c>
    </row>
    <row r="437" spans="6:6" x14ac:dyDescent="0.25">
      <c r="F437" t="e" cm="1" vm="1">
        <f t="array" ref="F437">TRANSPOSE(_xlfn._xlws.FILTER(_xlfn.ANCHORARRAY($B$2),_xlfn.ANCHORARRAY($A$2)=$E437))</f>
        <v>#VALUE!</v>
      </c>
    </row>
    <row r="438" spans="6:6" x14ac:dyDescent="0.25">
      <c r="F438" t="e" cm="1" vm="1">
        <f t="array" ref="F438">TRANSPOSE(_xlfn._xlws.FILTER(_xlfn.ANCHORARRAY($B$2),_xlfn.ANCHORARRAY($A$2)=$E438))</f>
        <v>#VALUE!</v>
      </c>
    </row>
    <row r="439" spans="6:6" x14ac:dyDescent="0.25">
      <c r="F439" t="e" cm="1" vm="1">
        <f t="array" ref="F439">TRANSPOSE(_xlfn._xlws.FILTER(_xlfn.ANCHORARRAY($B$2),_xlfn.ANCHORARRAY($A$2)=$E439))</f>
        <v>#VALUE!</v>
      </c>
    </row>
    <row r="440" spans="6:6" x14ac:dyDescent="0.25">
      <c r="F440" t="e" cm="1" vm="1">
        <f t="array" ref="F440">TRANSPOSE(_xlfn._xlws.FILTER(_xlfn.ANCHORARRAY($B$2),_xlfn.ANCHORARRAY($A$2)=$E440))</f>
        <v>#VALUE!</v>
      </c>
    </row>
    <row r="441" spans="6:6" x14ac:dyDescent="0.25">
      <c r="F441" t="e" cm="1" vm="1">
        <f t="array" ref="F441">TRANSPOSE(_xlfn._xlws.FILTER(_xlfn.ANCHORARRAY($B$2),_xlfn.ANCHORARRAY($A$2)=$E441))</f>
        <v>#VALUE!</v>
      </c>
    </row>
    <row r="442" spans="6:6" x14ac:dyDescent="0.25">
      <c r="F442" t="e" cm="1" vm="1">
        <f t="array" ref="F442">TRANSPOSE(_xlfn._xlws.FILTER(_xlfn.ANCHORARRAY($B$2),_xlfn.ANCHORARRAY($A$2)=$E442))</f>
        <v>#VALUE!</v>
      </c>
    </row>
    <row r="443" spans="6:6" x14ac:dyDescent="0.25">
      <c r="F443" t="e" cm="1" vm="1">
        <f t="array" ref="F443">TRANSPOSE(_xlfn._xlws.FILTER(_xlfn.ANCHORARRAY($B$2),_xlfn.ANCHORARRAY($A$2)=$E443))</f>
        <v>#VALUE!</v>
      </c>
    </row>
    <row r="444" spans="6:6" x14ac:dyDescent="0.25">
      <c r="F444" t="e" cm="1" vm="1">
        <f t="array" ref="F444">TRANSPOSE(_xlfn._xlws.FILTER(_xlfn.ANCHORARRAY($B$2),_xlfn.ANCHORARRAY($A$2)=$E444))</f>
        <v>#VALUE!</v>
      </c>
    </row>
    <row r="445" spans="6:6" x14ac:dyDescent="0.25">
      <c r="F445" t="e" cm="1" vm="1">
        <f t="array" ref="F445">TRANSPOSE(_xlfn._xlws.FILTER(_xlfn.ANCHORARRAY($B$2),_xlfn.ANCHORARRAY($A$2)=$E445))</f>
        <v>#VALUE!</v>
      </c>
    </row>
    <row r="446" spans="6:6" x14ac:dyDescent="0.25">
      <c r="F446" t="e" cm="1" vm="1">
        <f t="array" ref="F446">TRANSPOSE(_xlfn._xlws.FILTER(_xlfn.ANCHORARRAY($B$2),_xlfn.ANCHORARRAY($A$2)=$E446))</f>
        <v>#VALUE!</v>
      </c>
    </row>
    <row r="447" spans="6:6" x14ac:dyDescent="0.25">
      <c r="F447" t="e" cm="1" vm="1">
        <f t="array" ref="F447">TRANSPOSE(_xlfn._xlws.FILTER(_xlfn.ANCHORARRAY($B$2),_xlfn.ANCHORARRAY($A$2)=$E447))</f>
        <v>#VALUE!</v>
      </c>
    </row>
    <row r="448" spans="6:6" x14ac:dyDescent="0.25">
      <c r="F448" t="e" cm="1" vm="1">
        <f t="array" ref="F448">TRANSPOSE(_xlfn._xlws.FILTER(_xlfn.ANCHORARRAY($B$2),_xlfn.ANCHORARRAY($A$2)=$E448))</f>
        <v>#VALUE!</v>
      </c>
    </row>
    <row r="449" spans="6:6" x14ac:dyDescent="0.25">
      <c r="F449" t="e" cm="1" vm="1">
        <f t="array" ref="F449">TRANSPOSE(_xlfn._xlws.FILTER(_xlfn.ANCHORARRAY($B$2),_xlfn.ANCHORARRAY($A$2)=$E449))</f>
        <v>#VALUE!</v>
      </c>
    </row>
    <row r="450" spans="6:6" x14ac:dyDescent="0.25">
      <c r="F450" t="e" cm="1" vm="1">
        <f t="array" ref="F450">TRANSPOSE(_xlfn._xlws.FILTER(_xlfn.ANCHORARRAY($B$2),_xlfn.ANCHORARRAY($A$2)=$E450))</f>
        <v>#VALUE!</v>
      </c>
    </row>
    <row r="451" spans="6:6" x14ac:dyDescent="0.25">
      <c r="F451" t="e" cm="1" vm="1">
        <f t="array" ref="F451">TRANSPOSE(_xlfn._xlws.FILTER(_xlfn.ANCHORARRAY($B$2),_xlfn.ANCHORARRAY($A$2)=$E451))</f>
        <v>#VALUE!</v>
      </c>
    </row>
    <row r="452" spans="6:6" x14ac:dyDescent="0.25">
      <c r="F452" t="e" cm="1" vm="1">
        <f t="array" ref="F452">TRANSPOSE(_xlfn._xlws.FILTER(_xlfn.ANCHORARRAY($B$2),_xlfn.ANCHORARRAY($A$2)=$E452))</f>
        <v>#VALUE!</v>
      </c>
    </row>
    <row r="453" spans="6:6" x14ac:dyDescent="0.25">
      <c r="F453" t="e" cm="1" vm="1">
        <f t="array" ref="F453">TRANSPOSE(_xlfn._xlws.FILTER(_xlfn.ANCHORARRAY($B$2),_xlfn.ANCHORARRAY($A$2)=$E453))</f>
        <v>#VALUE!</v>
      </c>
    </row>
    <row r="454" spans="6:6" x14ac:dyDescent="0.25">
      <c r="F454" t="e" cm="1" vm="1">
        <f t="array" ref="F454">TRANSPOSE(_xlfn._xlws.FILTER(_xlfn.ANCHORARRAY($B$2),_xlfn.ANCHORARRAY($A$2)=$E454))</f>
        <v>#VALUE!</v>
      </c>
    </row>
    <row r="455" spans="6:6" x14ac:dyDescent="0.25">
      <c r="F455" t="e" cm="1" vm="1">
        <f t="array" ref="F455">TRANSPOSE(_xlfn._xlws.FILTER(_xlfn.ANCHORARRAY($B$2),_xlfn.ANCHORARRAY($A$2)=$E455))</f>
        <v>#VALUE!</v>
      </c>
    </row>
    <row r="456" spans="6:6" x14ac:dyDescent="0.25">
      <c r="F456" t="e" cm="1" vm="1">
        <f t="array" ref="F456">TRANSPOSE(_xlfn._xlws.FILTER(_xlfn.ANCHORARRAY($B$2),_xlfn.ANCHORARRAY($A$2)=$E456))</f>
        <v>#VALUE!</v>
      </c>
    </row>
    <row r="457" spans="6:6" x14ac:dyDescent="0.25">
      <c r="F457" t="e" cm="1" vm="1">
        <f t="array" ref="F457">TRANSPOSE(_xlfn._xlws.FILTER(_xlfn.ANCHORARRAY($B$2),_xlfn.ANCHORARRAY($A$2)=$E457))</f>
        <v>#VALUE!</v>
      </c>
    </row>
    <row r="458" spans="6:6" x14ac:dyDescent="0.25">
      <c r="F458" t="e" cm="1" vm="1">
        <f t="array" ref="F458">TRANSPOSE(_xlfn._xlws.FILTER(_xlfn.ANCHORARRAY($B$2),_xlfn.ANCHORARRAY($A$2)=$E458))</f>
        <v>#VALUE!</v>
      </c>
    </row>
    <row r="459" spans="6:6" x14ac:dyDescent="0.25">
      <c r="F459" t="e" cm="1" vm="1">
        <f t="array" ref="F459">TRANSPOSE(_xlfn._xlws.FILTER(_xlfn.ANCHORARRAY($B$2),_xlfn.ANCHORARRAY($A$2)=$E459))</f>
        <v>#VALUE!</v>
      </c>
    </row>
    <row r="460" spans="6:6" x14ac:dyDescent="0.25">
      <c r="F460" t="e" cm="1" vm="1">
        <f t="array" ref="F460">TRANSPOSE(_xlfn._xlws.FILTER(_xlfn.ANCHORARRAY($B$2),_xlfn.ANCHORARRAY($A$2)=$E460))</f>
        <v>#VALUE!</v>
      </c>
    </row>
    <row r="461" spans="6:6" x14ac:dyDescent="0.25">
      <c r="F461" t="e" cm="1" vm="1">
        <f t="array" ref="F461">TRANSPOSE(_xlfn._xlws.FILTER(_xlfn.ANCHORARRAY($B$2),_xlfn.ANCHORARRAY($A$2)=$E461))</f>
        <v>#VALUE!</v>
      </c>
    </row>
    <row r="462" spans="6:6" x14ac:dyDescent="0.25">
      <c r="F462" t="e" cm="1" vm="1">
        <f t="array" ref="F462">TRANSPOSE(_xlfn._xlws.FILTER(_xlfn.ANCHORARRAY($B$2),_xlfn.ANCHORARRAY($A$2)=$E462))</f>
        <v>#VALUE!</v>
      </c>
    </row>
    <row r="463" spans="6:6" x14ac:dyDescent="0.25">
      <c r="F463" t="e" cm="1" vm="1">
        <f t="array" ref="F463">TRANSPOSE(_xlfn._xlws.FILTER(_xlfn.ANCHORARRAY($B$2),_xlfn.ANCHORARRAY($A$2)=$E463))</f>
        <v>#VALUE!</v>
      </c>
    </row>
    <row r="464" spans="6:6" x14ac:dyDescent="0.25">
      <c r="F464" t="e" cm="1" vm="1">
        <f t="array" ref="F464">TRANSPOSE(_xlfn._xlws.FILTER(_xlfn.ANCHORARRAY($B$2),_xlfn.ANCHORARRAY($A$2)=$E464))</f>
        <v>#VALUE!</v>
      </c>
    </row>
    <row r="465" spans="6:6" x14ac:dyDescent="0.25">
      <c r="F465" t="e" cm="1" vm="1">
        <f t="array" ref="F465">TRANSPOSE(_xlfn._xlws.FILTER(_xlfn.ANCHORARRAY($B$2),_xlfn.ANCHORARRAY($A$2)=$E465))</f>
        <v>#VALUE!</v>
      </c>
    </row>
    <row r="466" spans="6:6" x14ac:dyDescent="0.25">
      <c r="F466" t="e" cm="1" vm="1">
        <f t="array" ref="F466">TRANSPOSE(_xlfn._xlws.FILTER(_xlfn.ANCHORARRAY($B$2),_xlfn.ANCHORARRAY($A$2)=$E466))</f>
        <v>#VALUE!</v>
      </c>
    </row>
    <row r="467" spans="6:6" x14ac:dyDescent="0.25">
      <c r="F467" t="e" cm="1" vm="1">
        <f t="array" ref="F467">TRANSPOSE(_xlfn._xlws.FILTER(_xlfn.ANCHORARRAY($B$2),_xlfn.ANCHORARRAY($A$2)=$E467))</f>
        <v>#VALUE!</v>
      </c>
    </row>
    <row r="468" spans="6:6" x14ac:dyDescent="0.25">
      <c r="F468" t="e" cm="1" vm="1">
        <f t="array" ref="F468">TRANSPOSE(_xlfn._xlws.FILTER(_xlfn.ANCHORARRAY($B$2),_xlfn.ANCHORARRAY($A$2)=$E468))</f>
        <v>#VALUE!</v>
      </c>
    </row>
    <row r="469" spans="6:6" x14ac:dyDescent="0.25">
      <c r="F469" t="e" cm="1" vm="1">
        <f t="array" ref="F469">TRANSPOSE(_xlfn._xlws.FILTER(_xlfn.ANCHORARRAY($B$2),_xlfn.ANCHORARRAY($A$2)=$E469))</f>
        <v>#VALUE!</v>
      </c>
    </row>
    <row r="470" spans="6:6" x14ac:dyDescent="0.25">
      <c r="F470" t="e" cm="1" vm="1">
        <f t="array" ref="F470">TRANSPOSE(_xlfn._xlws.FILTER(_xlfn.ANCHORARRAY($B$2),_xlfn.ANCHORARRAY($A$2)=$E470))</f>
        <v>#VALUE!</v>
      </c>
    </row>
    <row r="471" spans="6:6" x14ac:dyDescent="0.25">
      <c r="F471" t="e" cm="1" vm="1">
        <f t="array" ref="F471">TRANSPOSE(_xlfn._xlws.FILTER(_xlfn.ANCHORARRAY($B$2),_xlfn.ANCHORARRAY($A$2)=$E471))</f>
        <v>#VALUE!</v>
      </c>
    </row>
    <row r="472" spans="6:6" x14ac:dyDescent="0.25">
      <c r="F472" t="e" cm="1" vm="1">
        <f t="array" ref="F472">TRANSPOSE(_xlfn._xlws.FILTER(_xlfn.ANCHORARRAY($B$2),_xlfn.ANCHORARRAY($A$2)=$E472))</f>
        <v>#VALUE!</v>
      </c>
    </row>
    <row r="473" spans="6:6" x14ac:dyDescent="0.25">
      <c r="F473" t="e" cm="1" vm="1">
        <f t="array" ref="F473">TRANSPOSE(_xlfn._xlws.FILTER(_xlfn.ANCHORARRAY($B$2),_xlfn.ANCHORARRAY($A$2)=$E473))</f>
        <v>#VALUE!</v>
      </c>
    </row>
    <row r="474" spans="6:6" x14ac:dyDescent="0.25">
      <c r="F474" t="e" cm="1" vm="1">
        <f t="array" ref="F474">TRANSPOSE(_xlfn._xlws.FILTER(_xlfn.ANCHORARRAY($B$2),_xlfn.ANCHORARRAY($A$2)=$E474))</f>
        <v>#VALUE!</v>
      </c>
    </row>
    <row r="475" spans="6:6" x14ac:dyDescent="0.25">
      <c r="F475" t="e" cm="1" vm="1">
        <f t="array" ref="F475">TRANSPOSE(_xlfn._xlws.FILTER(_xlfn.ANCHORARRAY($B$2),_xlfn.ANCHORARRAY($A$2)=$E475))</f>
        <v>#VALUE!</v>
      </c>
    </row>
    <row r="476" spans="6:6" x14ac:dyDescent="0.25">
      <c r="F476" t="e" cm="1" vm="1">
        <f t="array" ref="F476">TRANSPOSE(_xlfn._xlws.FILTER(_xlfn.ANCHORARRAY($B$2),_xlfn.ANCHORARRAY($A$2)=$E476))</f>
        <v>#VALUE!</v>
      </c>
    </row>
    <row r="477" spans="6:6" x14ac:dyDescent="0.25">
      <c r="F477" t="e" cm="1" vm="1">
        <f t="array" ref="F477">TRANSPOSE(_xlfn._xlws.FILTER(_xlfn.ANCHORARRAY($B$2),_xlfn.ANCHORARRAY($A$2)=$E477))</f>
        <v>#VALUE!</v>
      </c>
    </row>
    <row r="478" spans="6:6" x14ac:dyDescent="0.25">
      <c r="F478" t="e" cm="1" vm="1">
        <f t="array" ref="F478">TRANSPOSE(_xlfn._xlws.FILTER(_xlfn.ANCHORARRAY($B$2),_xlfn.ANCHORARRAY($A$2)=$E478))</f>
        <v>#VALUE!</v>
      </c>
    </row>
    <row r="479" spans="6:6" x14ac:dyDescent="0.25">
      <c r="F479" t="e" cm="1" vm="1">
        <f t="array" ref="F479">TRANSPOSE(_xlfn._xlws.FILTER(_xlfn.ANCHORARRAY($B$2),_xlfn.ANCHORARRAY($A$2)=$E479))</f>
        <v>#VALUE!</v>
      </c>
    </row>
    <row r="480" spans="6:6" x14ac:dyDescent="0.25">
      <c r="F480" t="e" cm="1" vm="1">
        <f t="array" ref="F480">TRANSPOSE(_xlfn._xlws.FILTER(_xlfn.ANCHORARRAY($B$2),_xlfn.ANCHORARRAY($A$2)=$E480))</f>
        <v>#VALUE!</v>
      </c>
    </row>
    <row r="481" spans="6:6" x14ac:dyDescent="0.25">
      <c r="F481" t="e" cm="1" vm="1">
        <f t="array" ref="F481">TRANSPOSE(_xlfn._xlws.FILTER(_xlfn.ANCHORARRAY($B$2),_xlfn.ANCHORARRAY($A$2)=$E481))</f>
        <v>#VALUE!</v>
      </c>
    </row>
    <row r="482" spans="6:6" x14ac:dyDescent="0.25">
      <c r="F482" t="e" cm="1" vm="1">
        <f t="array" ref="F482">TRANSPOSE(_xlfn._xlws.FILTER(_xlfn.ANCHORARRAY($B$2),_xlfn.ANCHORARRAY($A$2)=$E482))</f>
        <v>#VALUE!</v>
      </c>
    </row>
    <row r="483" spans="6:6" x14ac:dyDescent="0.25">
      <c r="F483" t="e" cm="1" vm="1">
        <f t="array" ref="F483">TRANSPOSE(_xlfn._xlws.FILTER(_xlfn.ANCHORARRAY($B$2),_xlfn.ANCHORARRAY($A$2)=$E483))</f>
        <v>#VALUE!</v>
      </c>
    </row>
    <row r="484" spans="6:6" x14ac:dyDescent="0.25">
      <c r="F484" t="e" cm="1" vm="1">
        <f t="array" ref="F484">TRANSPOSE(_xlfn._xlws.FILTER(_xlfn.ANCHORARRAY($B$2),_xlfn.ANCHORARRAY($A$2)=$E484))</f>
        <v>#VALUE!</v>
      </c>
    </row>
    <row r="485" spans="6:6" x14ac:dyDescent="0.25">
      <c r="F485" t="e" cm="1" vm="1">
        <f t="array" ref="F485">TRANSPOSE(_xlfn._xlws.FILTER(_xlfn.ANCHORARRAY($B$2),_xlfn.ANCHORARRAY($A$2)=$E485))</f>
        <v>#VALUE!</v>
      </c>
    </row>
    <row r="486" spans="6:6" x14ac:dyDescent="0.25">
      <c r="F486" t="e" cm="1" vm="1">
        <f t="array" ref="F486">TRANSPOSE(_xlfn._xlws.FILTER(_xlfn.ANCHORARRAY($B$2),_xlfn.ANCHORARRAY($A$2)=$E486))</f>
        <v>#VALUE!</v>
      </c>
    </row>
    <row r="487" spans="6:6" x14ac:dyDescent="0.25">
      <c r="F487" t="e" cm="1" vm="1">
        <f t="array" ref="F487">TRANSPOSE(_xlfn._xlws.FILTER(_xlfn.ANCHORARRAY($B$2),_xlfn.ANCHORARRAY($A$2)=$E487))</f>
        <v>#VALUE!</v>
      </c>
    </row>
    <row r="488" spans="6:6" x14ac:dyDescent="0.25">
      <c r="F488" t="e" cm="1" vm="1">
        <f t="array" ref="F488">TRANSPOSE(_xlfn._xlws.FILTER(_xlfn.ANCHORARRAY($B$2),_xlfn.ANCHORARRAY($A$2)=$E488))</f>
        <v>#VALUE!</v>
      </c>
    </row>
    <row r="489" spans="6:6" x14ac:dyDescent="0.25">
      <c r="F489" t="e" cm="1" vm="1">
        <f t="array" ref="F489">TRANSPOSE(_xlfn._xlws.FILTER(_xlfn.ANCHORARRAY($B$2),_xlfn.ANCHORARRAY($A$2)=$E489))</f>
        <v>#VALUE!</v>
      </c>
    </row>
    <row r="490" spans="6:6" x14ac:dyDescent="0.25">
      <c r="F490" t="e" cm="1" vm="1">
        <f t="array" ref="F490">TRANSPOSE(_xlfn._xlws.FILTER(_xlfn.ANCHORARRAY($B$2),_xlfn.ANCHORARRAY($A$2)=$E490))</f>
        <v>#VALUE!</v>
      </c>
    </row>
    <row r="491" spans="6:6" x14ac:dyDescent="0.25">
      <c r="F491" t="e" cm="1" vm="1">
        <f t="array" ref="F491">TRANSPOSE(_xlfn._xlws.FILTER(_xlfn.ANCHORARRAY($B$2),_xlfn.ANCHORARRAY($A$2)=$E491))</f>
        <v>#VALUE!</v>
      </c>
    </row>
    <row r="492" spans="6:6" x14ac:dyDescent="0.25">
      <c r="F492" t="e" cm="1" vm="1">
        <f t="array" ref="F492">TRANSPOSE(_xlfn._xlws.FILTER(_xlfn.ANCHORARRAY($B$2),_xlfn.ANCHORARRAY($A$2)=$E492))</f>
        <v>#VALUE!</v>
      </c>
    </row>
    <row r="493" spans="6:6" x14ac:dyDescent="0.25">
      <c r="F493" t="e" cm="1" vm="1">
        <f t="array" ref="F493">TRANSPOSE(_xlfn._xlws.FILTER(_xlfn.ANCHORARRAY($B$2),_xlfn.ANCHORARRAY($A$2)=$E493))</f>
        <v>#VALUE!</v>
      </c>
    </row>
    <row r="494" spans="6:6" x14ac:dyDescent="0.25">
      <c r="F494" t="e" cm="1" vm="1">
        <f t="array" ref="F494">TRANSPOSE(_xlfn._xlws.FILTER(_xlfn.ANCHORARRAY($B$2),_xlfn.ANCHORARRAY($A$2)=$E494))</f>
        <v>#VALUE!</v>
      </c>
    </row>
    <row r="495" spans="6:6" x14ac:dyDescent="0.25">
      <c r="F495" t="e" cm="1" vm="1">
        <f t="array" ref="F495">TRANSPOSE(_xlfn._xlws.FILTER(_xlfn.ANCHORARRAY($B$2),_xlfn.ANCHORARRAY($A$2)=$E495))</f>
        <v>#VALUE!</v>
      </c>
    </row>
    <row r="496" spans="6:6" x14ac:dyDescent="0.25">
      <c r="F496" t="e" cm="1" vm="1">
        <f t="array" ref="F496">TRANSPOSE(_xlfn._xlws.FILTER(_xlfn.ANCHORARRAY($B$2),_xlfn.ANCHORARRAY($A$2)=$E496))</f>
        <v>#VALUE!</v>
      </c>
    </row>
    <row r="497" spans="6:6" x14ac:dyDescent="0.25">
      <c r="F497" t="e" cm="1" vm="1">
        <f t="array" ref="F497">TRANSPOSE(_xlfn._xlws.FILTER(_xlfn.ANCHORARRAY($B$2),_xlfn.ANCHORARRAY($A$2)=$E497))</f>
        <v>#VALUE!</v>
      </c>
    </row>
    <row r="498" spans="6:6" x14ac:dyDescent="0.25">
      <c r="F498" t="e" cm="1" vm="1">
        <f t="array" ref="F498">TRANSPOSE(_xlfn._xlws.FILTER(_xlfn.ANCHORARRAY($B$2),_xlfn.ANCHORARRAY($A$2)=$E498))</f>
        <v>#VALUE!</v>
      </c>
    </row>
    <row r="499" spans="6:6" x14ac:dyDescent="0.25">
      <c r="F499" t="e" cm="1" vm="1">
        <f t="array" ref="F499">TRANSPOSE(_xlfn._xlws.FILTER(_xlfn.ANCHORARRAY($B$2),_xlfn.ANCHORARRAY($A$2)=$E499))</f>
        <v>#VALUE!</v>
      </c>
    </row>
    <row r="500" spans="6:6" x14ac:dyDescent="0.25">
      <c r="F500" t="e" cm="1" vm="1">
        <f t="array" ref="F500">TRANSPOSE(_xlfn._xlws.FILTER(_xlfn.ANCHORARRAY($B$2),_xlfn.ANCHORARRAY($A$2)=$E500))</f>
        <v>#VALUE!</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6E568-0E81-44D7-A1BE-5CBD1C4BBA5E}">
  <sheetPr codeName="Sheet6"/>
  <dimension ref="A1:L500"/>
  <sheetViews>
    <sheetView topLeftCell="A492" workbookViewId="0">
      <selection activeCell="F200" sqref="F200:F500"/>
    </sheetView>
  </sheetViews>
  <sheetFormatPr defaultRowHeight="15" x14ac:dyDescent="0.25"/>
  <cols>
    <col min="1" max="1" width="14.7109375" customWidth="1"/>
    <col min="5" max="5" width="34.28515625" bestFit="1" customWidth="1"/>
    <col min="6" max="6" width="17.5703125" bestFit="1" customWidth="1"/>
  </cols>
  <sheetData>
    <row r="1" spans="1:12" x14ac:dyDescent="0.25">
      <c r="A1" t="s">
        <v>1</v>
      </c>
      <c r="B1" t="s">
        <v>239</v>
      </c>
      <c r="D1" cm="1">
        <f t="array" ref="D1:D64">tbl_Extraction[No.]</f>
        <v>1</v>
      </c>
      <c r="E1" t="str" cm="1">
        <f t="array" ref="E1:E64">tbl_Extraction[Model]</f>
        <v>CR113_N_Case1,4_SLS_0.7EI_Hyd_a03BP1.0m</v>
      </c>
      <c r="F1" t="str" cm="1">
        <f t="array" ref="F1:L1">TRANSPOSE(_xlfn._xlws.FILTER(_xlfn.ANCHORARRAY($B$2),_xlfn.ANCHORARRAY($A$2)=$E1))</f>
        <v>EmbeddedBeamRow_1</v>
      </c>
      <c r="G1" t="str">
        <v>EmbeddedBeamRow_2</v>
      </c>
      <c r="H1" t="str">
        <v>EmbeddedBeamRow_3</v>
      </c>
      <c r="I1" t="str">
        <v>EmbeddedBeamRow_4</v>
      </c>
      <c r="J1" t="str">
        <v>EmbeddedBeamRow_5</v>
      </c>
      <c r="K1" t="str">
        <v>EmbeddedBeamRow_6</v>
      </c>
      <c r="L1" t="str">
        <v>EmbeddedBeamRow_7</v>
      </c>
    </row>
    <row r="2" spans="1:12" x14ac:dyDescent="0.25">
      <c r="A2" t="str" cm="1">
        <f t="array" ref="A2:A43">_xlfn._xlws.FILTER(tbl_AllElements[Model],tbl_AllElements[Element Type]=$B$1)</f>
        <v>CR113_N_Case1,4_SLS_0.7EI_Hyd_a03BP1.0m</v>
      </c>
      <c r="B2" t="str" cm="1">
        <f t="array" ref="B2:B43">_xlfn._xlws.FILTER(tbl_AllElements[Element Name],tbl_AllElements[Element Type]=$B$1)</f>
        <v>EmbeddedBeamRow_1</v>
      </c>
      <c r="D2">
        <v>2</v>
      </c>
      <c r="E2" t="str">
        <v>CR113_N_Case1,4_SLS_0.7EI_Hyd_a03BP1.0m</v>
      </c>
      <c r="F2" t="str" cm="1">
        <f t="array" ref="F2:L2">TRANSPOSE(_xlfn._xlws.FILTER(_xlfn.ANCHORARRAY($B$2),_xlfn.ANCHORARRAY($A$2)=$E2))</f>
        <v>EmbeddedBeamRow_1</v>
      </c>
      <c r="G2" t="str">
        <v>EmbeddedBeamRow_2</v>
      </c>
      <c r="H2" t="str">
        <v>EmbeddedBeamRow_3</v>
      </c>
      <c r="I2" t="str">
        <v>EmbeddedBeamRow_4</v>
      </c>
      <c r="J2" t="str">
        <v>EmbeddedBeamRow_5</v>
      </c>
      <c r="K2" t="str">
        <v>EmbeddedBeamRow_6</v>
      </c>
      <c r="L2" t="str">
        <v>EmbeddedBeamRow_7</v>
      </c>
    </row>
    <row r="3" spans="1:12" x14ac:dyDescent="0.25">
      <c r="A3" t="str">
        <v>CR113_N_Case1,4_SLS_0.7EI_Hyd_a03BP1.0m</v>
      </c>
      <c r="B3" t="str">
        <v>EmbeddedBeamRow_2</v>
      </c>
      <c r="D3">
        <v>3</v>
      </c>
      <c r="E3" t="str">
        <v>CR113_N_Case1,4_SLS_0.7EI_Hyd_a03BP1.0m</v>
      </c>
      <c r="F3" t="str" cm="1">
        <f t="array" ref="F3:L3">TRANSPOSE(_xlfn._xlws.FILTER(_xlfn.ANCHORARRAY($B$2),_xlfn.ANCHORARRAY($A$2)=$E3))</f>
        <v>EmbeddedBeamRow_1</v>
      </c>
      <c r="G3" t="str">
        <v>EmbeddedBeamRow_2</v>
      </c>
      <c r="H3" t="str">
        <v>EmbeddedBeamRow_3</v>
      </c>
      <c r="I3" t="str">
        <v>EmbeddedBeamRow_4</v>
      </c>
      <c r="J3" t="str">
        <v>EmbeddedBeamRow_5</v>
      </c>
      <c r="K3" t="str">
        <v>EmbeddedBeamRow_6</v>
      </c>
      <c r="L3" t="str">
        <v>EmbeddedBeamRow_7</v>
      </c>
    </row>
    <row r="4" spans="1:12" x14ac:dyDescent="0.25">
      <c r="A4" t="str">
        <v>CR113_N_Case1,4_SLS_0.7EI_Hyd_a03BP1.0m</v>
      </c>
      <c r="B4" t="str">
        <v>EmbeddedBeamRow_3</v>
      </c>
      <c r="D4">
        <v>4</v>
      </c>
      <c r="E4" t="str">
        <v>CR113_N_Case1,4_SLS_0.7EI_Hyd_a03BP1.0m</v>
      </c>
      <c r="F4" t="str" cm="1">
        <f t="array" ref="F4:L4">TRANSPOSE(_xlfn._xlws.FILTER(_xlfn.ANCHORARRAY($B$2),_xlfn.ANCHORARRAY($A$2)=$E4))</f>
        <v>EmbeddedBeamRow_1</v>
      </c>
      <c r="G4" t="str">
        <v>EmbeddedBeamRow_2</v>
      </c>
      <c r="H4" t="str">
        <v>EmbeddedBeamRow_3</v>
      </c>
      <c r="I4" t="str">
        <v>EmbeddedBeamRow_4</v>
      </c>
      <c r="J4" t="str">
        <v>EmbeddedBeamRow_5</v>
      </c>
      <c r="K4" t="str">
        <v>EmbeddedBeamRow_6</v>
      </c>
      <c r="L4" t="str">
        <v>EmbeddedBeamRow_7</v>
      </c>
    </row>
    <row r="5" spans="1:12" x14ac:dyDescent="0.25">
      <c r="A5" t="str">
        <v>CR113_N_Case1,4_SLS_0.7EI_Hyd_a03BP1.0m</v>
      </c>
      <c r="B5" t="str">
        <v>EmbeddedBeamRow_4</v>
      </c>
      <c r="D5">
        <v>5</v>
      </c>
      <c r="E5" t="str">
        <v>CR113_N_Case1,4_SLS_0.7EI_Hyd_a03BP1.0m</v>
      </c>
      <c r="F5" t="str" cm="1">
        <f t="array" ref="F5:L5">TRANSPOSE(_xlfn._xlws.FILTER(_xlfn.ANCHORARRAY($B$2),_xlfn.ANCHORARRAY($A$2)=$E5))</f>
        <v>EmbeddedBeamRow_1</v>
      </c>
      <c r="G5" t="str">
        <v>EmbeddedBeamRow_2</v>
      </c>
      <c r="H5" t="str">
        <v>EmbeddedBeamRow_3</v>
      </c>
      <c r="I5" t="str">
        <v>EmbeddedBeamRow_4</v>
      </c>
      <c r="J5" t="str">
        <v>EmbeddedBeamRow_5</v>
      </c>
      <c r="K5" t="str">
        <v>EmbeddedBeamRow_6</v>
      </c>
      <c r="L5" t="str">
        <v>EmbeddedBeamRow_7</v>
      </c>
    </row>
    <row r="6" spans="1:12" x14ac:dyDescent="0.25">
      <c r="A6" t="str">
        <v>CR113_N_Case1,4_SLS_0.7EI_Hyd_a03BP1.0m</v>
      </c>
      <c r="B6" t="str">
        <v>EmbeddedBeamRow_5</v>
      </c>
      <c r="D6">
        <v>6</v>
      </c>
      <c r="E6" t="str">
        <v>CR113_N_Case1,4_SLS_0.7EI_Hyd_a03BP1.0m</v>
      </c>
      <c r="F6" t="str" cm="1">
        <f t="array" ref="F6:L6">TRANSPOSE(_xlfn._xlws.FILTER(_xlfn.ANCHORARRAY($B$2),_xlfn.ANCHORARRAY($A$2)=$E6))</f>
        <v>EmbeddedBeamRow_1</v>
      </c>
      <c r="G6" t="str">
        <v>EmbeddedBeamRow_2</v>
      </c>
      <c r="H6" t="str">
        <v>EmbeddedBeamRow_3</v>
      </c>
      <c r="I6" t="str">
        <v>EmbeddedBeamRow_4</v>
      </c>
      <c r="J6" t="str">
        <v>EmbeddedBeamRow_5</v>
      </c>
      <c r="K6" t="str">
        <v>EmbeddedBeamRow_6</v>
      </c>
      <c r="L6" t="str">
        <v>EmbeddedBeamRow_7</v>
      </c>
    </row>
    <row r="7" spans="1:12" x14ac:dyDescent="0.25">
      <c r="A7" t="str">
        <v>CR113_N_Case1,4_SLS_0.7EI_Hyd_a03BP1.0m</v>
      </c>
      <c r="B7" t="str">
        <v>EmbeddedBeamRow_6</v>
      </c>
      <c r="D7">
        <v>7</v>
      </c>
      <c r="E7" t="str">
        <v>CR113_N_Case1,4_SLS_0.7EI_Hyd_a03BP1.0m</v>
      </c>
      <c r="F7" t="str" cm="1">
        <f t="array" ref="F7:L7">TRANSPOSE(_xlfn._xlws.FILTER(_xlfn.ANCHORARRAY($B$2),_xlfn.ANCHORARRAY($A$2)=$E7))</f>
        <v>EmbeddedBeamRow_1</v>
      </c>
      <c r="G7" t="str">
        <v>EmbeddedBeamRow_2</v>
      </c>
      <c r="H7" t="str">
        <v>EmbeddedBeamRow_3</v>
      </c>
      <c r="I7" t="str">
        <v>EmbeddedBeamRow_4</v>
      </c>
      <c r="J7" t="str">
        <v>EmbeddedBeamRow_5</v>
      </c>
      <c r="K7" t="str">
        <v>EmbeddedBeamRow_6</v>
      </c>
      <c r="L7" t="str">
        <v>EmbeddedBeamRow_7</v>
      </c>
    </row>
    <row r="8" spans="1:12" x14ac:dyDescent="0.25">
      <c r="A8" t="str">
        <v>CR113_N_Case1,4_SLS_0.7EI_Hyd_a03BP1.0m</v>
      </c>
      <c r="B8" t="str">
        <v>EmbeddedBeamRow_7</v>
      </c>
      <c r="D8">
        <v>8</v>
      </c>
      <c r="E8" t="str">
        <v>CR113_N_Case1,4_SLS_0.7EI_Hyd_a03BP1.0m</v>
      </c>
      <c r="F8" t="str" cm="1">
        <f t="array" ref="F8:L8">TRANSPOSE(_xlfn._xlws.FILTER(_xlfn.ANCHORARRAY($B$2),_xlfn.ANCHORARRAY($A$2)=$E8))</f>
        <v>EmbeddedBeamRow_1</v>
      </c>
      <c r="G8" t="str">
        <v>EmbeddedBeamRow_2</v>
      </c>
      <c r="H8" t="str">
        <v>EmbeddedBeamRow_3</v>
      </c>
      <c r="I8" t="str">
        <v>EmbeddedBeamRow_4</v>
      </c>
      <c r="J8" t="str">
        <v>EmbeddedBeamRow_5</v>
      </c>
      <c r="K8" t="str">
        <v>EmbeddedBeamRow_6</v>
      </c>
      <c r="L8" t="str">
        <v>EmbeddedBeamRow_7</v>
      </c>
    </row>
    <row r="9" spans="1:12" x14ac:dyDescent="0.25">
      <c r="A9" t="str">
        <v>CR113_N_Case2_ULS1_1.0EI_Hyd_a03BP1.0m</v>
      </c>
      <c r="B9" t="str">
        <v>EmbeddedBeamRow_1</v>
      </c>
      <c r="D9">
        <v>9</v>
      </c>
      <c r="E9" t="str">
        <v>CR113_N_Case1,4_SLS_0.7EI_Hyd_a03BP1.0m</v>
      </c>
      <c r="F9" t="str" cm="1">
        <f t="array" ref="F9:L9">TRANSPOSE(_xlfn._xlws.FILTER(_xlfn.ANCHORARRAY($B$2),_xlfn.ANCHORARRAY($A$2)=$E9))</f>
        <v>EmbeddedBeamRow_1</v>
      </c>
      <c r="G9" t="str">
        <v>EmbeddedBeamRow_2</v>
      </c>
      <c r="H9" t="str">
        <v>EmbeddedBeamRow_3</v>
      </c>
      <c r="I9" t="str">
        <v>EmbeddedBeamRow_4</v>
      </c>
      <c r="J9" t="str">
        <v>EmbeddedBeamRow_5</v>
      </c>
      <c r="K9" t="str">
        <v>EmbeddedBeamRow_6</v>
      </c>
      <c r="L9" t="str">
        <v>EmbeddedBeamRow_7</v>
      </c>
    </row>
    <row r="10" spans="1:12" x14ac:dyDescent="0.25">
      <c r="A10" t="str">
        <v>CR113_N_Case2_ULS1_1.0EI_Hyd_a03BP1.0m</v>
      </c>
      <c r="B10" t="str">
        <v>EmbeddedBeamRow_2</v>
      </c>
      <c r="D10">
        <v>10</v>
      </c>
      <c r="E10" t="str">
        <v>CR113_N_Case1,4_SLS_0.7EI_Hyd_a03BP1.0m</v>
      </c>
      <c r="F10" t="str" cm="1">
        <f t="array" ref="F10:L10">TRANSPOSE(_xlfn._xlws.FILTER(_xlfn.ANCHORARRAY($B$2),_xlfn.ANCHORARRAY($A$2)=$E10))</f>
        <v>EmbeddedBeamRow_1</v>
      </c>
      <c r="G10" t="str">
        <v>EmbeddedBeamRow_2</v>
      </c>
      <c r="H10" t="str">
        <v>EmbeddedBeamRow_3</v>
      </c>
      <c r="I10" t="str">
        <v>EmbeddedBeamRow_4</v>
      </c>
      <c r="J10" t="str">
        <v>EmbeddedBeamRow_5</v>
      </c>
      <c r="K10" t="str">
        <v>EmbeddedBeamRow_6</v>
      </c>
      <c r="L10" t="str">
        <v>EmbeddedBeamRow_7</v>
      </c>
    </row>
    <row r="11" spans="1:12" x14ac:dyDescent="0.25">
      <c r="A11" t="str">
        <v>CR113_N_Case2_ULS1_1.0EI_Hyd_a03BP1.0m</v>
      </c>
      <c r="B11" t="str">
        <v>EmbeddedBeamRow_3</v>
      </c>
      <c r="D11">
        <v>11</v>
      </c>
      <c r="E11" t="str">
        <v>CR113_N_Case1,4_SLS_0.7EI_Hyd_a03BP1.0m</v>
      </c>
      <c r="F11" t="str" cm="1">
        <f t="array" ref="F11:L11">TRANSPOSE(_xlfn._xlws.FILTER(_xlfn.ANCHORARRAY($B$2),_xlfn.ANCHORARRAY($A$2)=$E11))</f>
        <v>EmbeddedBeamRow_1</v>
      </c>
      <c r="G11" t="str">
        <v>EmbeddedBeamRow_2</v>
      </c>
      <c r="H11" t="str">
        <v>EmbeddedBeamRow_3</v>
      </c>
      <c r="I11" t="str">
        <v>EmbeddedBeamRow_4</v>
      </c>
      <c r="J11" t="str">
        <v>EmbeddedBeamRow_5</v>
      </c>
      <c r="K11" t="str">
        <v>EmbeddedBeamRow_6</v>
      </c>
      <c r="L11" t="str">
        <v>EmbeddedBeamRow_7</v>
      </c>
    </row>
    <row r="12" spans="1:12" x14ac:dyDescent="0.25">
      <c r="A12" t="str">
        <v>CR113_N_Case2_ULS1_1.0EI_Hyd_a03BP1.0m</v>
      </c>
      <c r="B12" t="str">
        <v>EmbeddedBeamRow_4</v>
      </c>
      <c r="D12">
        <v>12</v>
      </c>
      <c r="E12" t="str">
        <v>CR113_N_Case1,4_SLS_0.7EI_Hyd_a03BP1.0m</v>
      </c>
      <c r="F12" t="str" cm="1">
        <f t="array" ref="F12:L12">TRANSPOSE(_xlfn._xlws.FILTER(_xlfn.ANCHORARRAY($B$2),_xlfn.ANCHORARRAY($A$2)=$E12))</f>
        <v>EmbeddedBeamRow_1</v>
      </c>
      <c r="G12" t="str">
        <v>EmbeddedBeamRow_2</v>
      </c>
      <c r="H12" t="str">
        <v>EmbeddedBeamRow_3</v>
      </c>
      <c r="I12" t="str">
        <v>EmbeddedBeamRow_4</v>
      </c>
      <c r="J12" t="str">
        <v>EmbeddedBeamRow_5</v>
      </c>
      <c r="K12" t="str">
        <v>EmbeddedBeamRow_6</v>
      </c>
      <c r="L12" t="str">
        <v>EmbeddedBeamRow_7</v>
      </c>
    </row>
    <row r="13" spans="1:12" x14ac:dyDescent="0.25">
      <c r="A13" t="str">
        <v>CR113_N_Case2_ULS1_1.0EI_Hyd_a03BP1.0m</v>
      </c>
      <c r="B13" t="str">
        <v>EmbeddedBeamRow_5</v>
      </c>
      <c r="D13">
        <v>13</v>
      </c>
      <c r="E13" t="str">
        <v>CR113_N_Case1,4_SLS_0.7EI_Hyd_a03BP1.0m</v>
      </c>
      <c r="F13" t="str" cm="1">
        <f t="array" ref="F13:L13">TRANSPOSE(_xlfn._xlws.FILTER(_xlfn.ANCHORARRAY($B$2),_xlfn.ANCHORARRAY($A$2)=$E13))</f>
        <v>EmbeddedBeamRow_1</v>
      </c>
      <c r="G13" t="str">
        <v>EmbeddedBeamRow_2</v>
      </c>
      <c r="H13" t="str">
        <v>EmbeddedBeamRow_3</v>
      </c>
      <c r="I13" t="str">
        <v>EmbeddedBeamRow_4</v>
      </c>
      <c r="J13" t="str">
        <v>EmbeddedBeamRow_5</v>
      </c>
      <c r="K13" t="str">
        <v>EmbeddedBeamRow_6</v>
      </c>
      <c r="L13" t="str">
        <v>EmbeddedBeamRow_7</v>
      </c>
    </row>
    <row r="14" spans="1:12" x14ac:dyDescent="0.25">
      <c r="A14" t="str">
        <v>CR113_N_Case2_ULS1_1.0EI_Hyd_a03BP1.0m</v>
      </c>
      <c r="B14" t="str">
        <v>EmbeddedBeamRow_6</v>
      </c>
      <c r="D14">
        <v>14</v>
      </c>
      <c r="E14" t="str">
        <v>CR113_N_Case1,4_SLS_0.7EI_Hyd_a03BP1.0m</v>
      </c>
      <c r="F14" t="str" cm="1">
        <f t="array" ref="F14:L14">TRANSPOSE(_xlfn._xlws.FILTER(_xlfn.ANCHORARRAY($B$2),_xlfn.ANCHORARRAY($A$2)=$E14))</f>
        <v>EmbeddedBeamRow_1</v>
      </c>
      <c r="G14" t="str">
        <v>EmbeddedBeamRow_2</v>
      </c>
      <c r="H14" t="str">
        <v>EmbeddedBeamRow_3</v>
      </c>
      <c r="I14" t="str">
        <v>EmbeddedBeamRow_4</v>
      </c>
      <c r="J14" t="str">
        <v>EmbeddedBeamRow_5</v>
      </c>
      <c r="K14" t="str">
        <v>EmbeddedBeamRow_6</v>
      </c>
      <c r="L14" t="str">
        <v>EmbeddedBeamRow_7</v>
      </c>
    </row>
    <row r="15" spans="1:12" x14ac:dyDescent="0.25">
      <c r="A15" t="str">
        <v>CR113_N_Case2_ULS1_1.0EI_Hyd_a03BP1.0m</v>
      </c>
      <c r="B15" t="str">
        <v>EmbeddedBeamRow_7</v>
      </c>
      <c r="D15">
        <v>15</v>
      </c>
      <c r="E15" t="str">
        <v>CR113_N_Case1,4_SLS_0.7EI_Hyd_a03BP1.0m</v>
      </c>
      <c r="F15" t="str" cm="1">
        <f t="array" ref="F15:L15">TRANSPOSE(_xlfn._xlws.FILTER(_xlfn.ANCHORARRAY($B$2),_xlfn.ANCHORARRAY($A$2)=$E15))</f>
        <v>EmbeddedBeamRow_1</v>
      </c>
      <c r="G15" t="str">
        <v>EmbeddedBeamRow_2</v>
      </c>
      <c r="H15" t="str">
        <v>EmbeddedBeamRow_3</v>
      </c>
      <c r="I15" t="str">
        <v>EmbeddedBeamRow_4</v>
      </c>
      <c r="J15" t="str">
        <v>EmbeddedBeamRow_5</v>
      </c>
      <c r="K15" t="str">
        <v>EmbeddedBeamRow_6</v>
      </c>
      <c r="L15" t="str">
        <v>EmbeddedBeamRow_7</v>
      </c>
    </row>
    <row r="16" spans="1:12" x14ac:dyDescent="0.25">
      <c r="A16" t="str">
        <v>CR113_N_Case3_ULS2_1.0EI_Hyd_a03BP1.0m</v>
      </c>
      <c r="B16" t="str">
        <v>EmbeddedBeamRow_1</v>
      </c>
      <c r="D16">
        <v>16</v>
      </c>
      <c r="E16" t="str">
        <v>CR113_N_Case1,4_SLS_0.7EI_Hyd_a03BP1.0m</v>
      </c>
      <c r="F16" t="str" cm="1">
        <f t="array" ref="F16:L16">TRANSPOSE(_xlfn._xlws.FILTER(_xlfn.ANCHORARRAY($B$2),_xlfn.ANCHORARRAY($A$2)=$E16))</f>
        <v>EmbeddedBeamRow_1</v>
      </c>
      <c r="G16" t="str">
        <v>EmbeddedBeamRow_2</v>
      </c>
      <c r="H16" t="str">
        <v>EmbeddedBeamRow_3</v>
      </c>
      <c r="I16" t="str">
        <v>EmbeddedBeamRow_4</v>
      </c>
      <c r="J16" t="str">
        <v>EmbeddedBeamRow_5</v>
      </c>
      <c r="K16" t="str">
        <v>EmbeddedBeamRow_6</v>
      </c>
      <c r="L16" t="str">
        <v>EmbeddedBeamRow_7</v>
      </c>
    </row>
    <row r="17" spans="1:12" x14ac:dyDescent="0.25">
      <c r="A17" t="str">
        <v>CR113_N_Case3_ULS2_1.0EI_Hyd_a03BP1.0m</v>
      </c>
      <c r="B17" t="str">
        <v>EmbeddedBeamRow_2</v>
      </c>
      <c r="D17">
        <v>17</v>
      </c>
      <c r="E17" t="str">
        <v>CR113_N_Case1,4_SLS_0.7EI_Hyd_a03BP1.0m</v>
      </c>
      <c r="F17" t="str" cm="1">
        <f t="array" ref="F17:L17">TRANSPOSE(_xlfn._xlws.FILTER(_xlfn.ANCHORARRAY($B$2),_xlfn.ANCHORARRAY($A$2)=$E17))</f>
        <v>EmbeddedBeamRow_1</v>
      </c>
      <c r="G17" t="str">
        <v>EmbeddedBeamRow_2</v>
      </c>
      <c r="H17" t="str">
        <v>EmbeddedBeamRow_3</v>
      </c>
      <c r="I17" t="str">
        <v>EmbeddedBeamRow_4</v>
      </c>
      <c r="J17" t="str">
        <v>EmbeddedBeamRow_5</v>
      </c>
      <c r="K17" t="str">
        <v>EmbeddedBeamRow_6</v>
      </c>
      <c r="L17" t="str">
        <v>EmbeddedBeamRow_7</v>
      </c>
    </row>
    <row r="18" spans="1:12" x14ac:dyDescent="0.25">
      <c r="A18" t="str">
        <v>CR113_N_Case3_ULS2_1.0EI_Hyd_a03BP1.0m</v>
      </c>
      <c r="B18" t="str">
        <v>EmbeddedBeamRow_3</v>
      </c>
      <c r="D18">
        <v>18</v>
      </c>
      <c r="E18" t="str">
        <v>CR113_N_Case1,4_SLS_0.7EI_Hyd_a03BP1.0m</v>
      </c>
      <c r="F18" t="str" cm="1">
        <f t="array" ref="F18:L18">TRANSPOSE(_xlfn._xlws.FILTER(_xlfn.ANCHORARRAY($B$2),_xlfn.ANCHORARRAY($A$2)=$E18))</f>
        <v>EmbeddedBeamRow_1</v>
      </c>
      <c r="G18" t="str">
        <v>EmbeddedBeamRow_2</v>
      </c>
      <c r="H18" t="str">
        <v>EmbeddedBeamRow_3</v>
      </c>
      <c r="I18" t="str">
        <v>EmbeddedBeamRow_4</v>
      </c>
      <c r="J18" t="str">
        <v>EmbeddedBeamRow_5</v>
      </c>
      <c r="K18" t="str">
        <v>EmbeddedBeamRow_6</v>
      </c>
      <c r="L18" t="str">
        <v>EmbeddedBeamRow_7</v>
      </c>
    </row>
    <row r="19" spans="1:12" x14ac:dyDescent="0.25">
      <c r="A19" t="str">
        <v>CR113_N_Case3_ULS2_1.0EI_Hyd_a03BP1.0m</v>
      </c>
      <c r="B19" t="str">
        <v>EmbeddedBeamRow_4</v>
      </c>
      <c r="D19">
        <v>19</v>
      </c>
      <c r="E19" t="str">
        <v>CR113_N_Case1,4_SLS_0.7EI_Hyd_a03BP1.0m</v>
      </c>
      <c r="F19" t="str" cm="1">
        <f t="array" ref="F19:L19">TRANSPOSE(_xlfn._xlws.FILTER(_xlfn.ANCHORARRAY($B$2),_xlfn.ANCHORARRAY($A$2)=$E19))</f>
        <v>EmbeddedBeamRow_1</v>
      </c>
      <c r="G19" t="str">
        <v>EmbeddedBeamRow_2</v>
      </c>
      <c r="H19" t="str">
        <v>EmbeddedBeamRow_3</v>
      </c>
      <c r="I19" t="str">
        <v>EmbeddedBeamRow_4</v>
      </c>
      <c r="J19" t="str">
        <v>EmbeddedBeamRow_5</v>
      </c>
      <c r="K19" t="str">
        <v>EmbeddedBeamRow_6</v>
      </c>
      <c r="L19" t="str">
        <v>EmbeddedBeamRow_7</v>
      </c>
    </row>
    <row r="20" spans="1:12" x14ac:dyDescent="0.25">
      <c r="A20" t="str">
        <v>CR113_N_Case3_ULS2_1.0EI_Hyd_a03BP1.0m</v>
      </c>
      <c r="B20" t="str">
        <v>EmbeddedBeamRow_5</v>
      </c>
      <c r="D20">
        <v>20</v>
      </c>
      <c r="E20" t="str">
        <v>CR113_N_Case1,4_SLS_0.7EI_Hyd_a03BP1.0m</v>
      </c>
      <c r="F20" t="str" cm="1">
        <f t="array" ref="F20:L20">TRANSPOSE(_xlfn._xlws.FILTER(_xlfn.ANCHORARRAY($B$2),_xlfn.ANCHORARRAY($A$2)=$E20))</f>
        <v>EmbeddedBeamRow_1</v>
      </c>
      <c r="G20" t="str">
        <v>EmbeddedBeamRow_2</v>
      </c>
      <c r="H20" t="str">
        <v>EmbeddedBeamRow_3</v>
      </c>
      <c r="I20" t="str">
        <v>EmbeddedBeamRow_4</v>
      </c>
      <c r="J20" t="str">
        <v>EmbeddedBeamRow_5</v>
      </c>
      <c r="K20" t="str">
        <v>EmbeddedBeamRow_6</v>
      </c>
      <c r="L20" t="str">
        <v>EmbeddedBeamRow_7</v>
      </c>
    </row>
    <row r="21" spans="1:12" x14ac:dyDescent="0.25">
      <c r="A21" t="str">
        <v>CR113_N_Case3_ULS2_1.0EI_Hyd_a03BP1.0m</v>
      </c>
      <c r="B21" t="str">
        <v>EmbeddedBeamRow_6</v>
      </c>
      <c r="D21">
        <v>21</v>
      </c>
      <c r="E21" t="str">
        <v>CR113_N_Case1,4_SLS_0.7EI_Hyd_a03BP1.0m</v>
      </c>
      <c r="F21" t="str" cm="1">
        <f t="array" ref="F21:L21">TRANSPOSE(_xlfn._xlws.FILTER(_xlfn.ANCHORARRAY($B$2),_xlfn.ANCHORARRAY($A$2)=$E21))</f>
        <v>EmbeddedBeamRow_1</v>
      </c>
      <c r="G21" t="str">
        <v>EmbeddedBeamRow_2</v>
      </c>
      <c r="H21" t="str">
        <v>EmbeddedBeamRow_3</v>
      </c>
      <c r="I21" t="str">
        <v>EmbeddedBeamRow_4</v>
      </c>
      <c r="J21" t="str">
        <v>EmbeddedBeamRow_5</v>
      </c>
      <c r="K21" t="str">
        <v>EmbeddedBeamRow_6</v>
      </c>
      <c r="L21" t="str">
        <v>EmbeddedBeamRow_7</v>
      </c>
    </row>
    <row r="22" spans="1:12" x14ac:dyDescent="0.25">
      <c r="A22" t="str">
        <v>CR113_N_Case3_ULS2_1.0EI_Hyd_a03BP1.0m</v>
      </c>
      <c r="B22" t="str">
        <v>EmbeddedBeamRow_7</v>
      </c>
      <c r="D22">
        <v>22</v>
      </c>
      <c r="E22" t="str">
        <v>CR113_N_Case1,4_SLS_0.7EI_Hyd_a03BP1.0m</v>
      </c>
      <c r="F22" t="str" cm="1">
        <f t="array" ref="F22:L22">TRANSPOSE(_xlfn._xlws.FILTER(_xlfn.ANCHORARRAY($B$2),_xlfn.ANCHORARRAY($A$2)=$E22))</f>
        <v>EmbeddedBeamRow_1</v>
      </c>
      <c r="G22" t="str">
        <v>EmbeddedBeamRow_2</v>
      </c>
      <c r="H22" t="str">
        <v>EmbeddedBeamRow_3</v>
      </c>
      <c r="I22" t="str">
        <v>EmbeddedBeamRow_4</v>
      </c>
      <c r="J22" t="str">
        <v>EmbeddedBeamRow_5</v>
      </c>
      <c r="K22" t="str">
        <v>EmbeddedBeamRow_6</v>
      </c>
      <c r="L22" t="str">
        <v>EmbeddedBeamRow_7</v>
      </c>
    </row>
    <row r="23" spans="1:12" x14ac:dyDescent="0.25">
      <c r="A23" t="str">
        <v>CR113_N_Case5,8_SLS_0.7EI_SpG_a03BP1.0m</v>
      </c>
      <c r="B23" t="str">
        <v>EmbeddedBeamRow_1</v>
      </c>
      <c r="D23">
        <v>23</v>
      </c>
      <c r="E23" t="str">
        <v>CR113_N_Case1,4_SLS_0.7EI_Hyd_a03BP1.0m</v>
      </c>
      <c r="F23" t="str" cm="1">
        <f t="array" ref="F23:L23">TRANSPOSE(_xlfn._xlws.FILTER(_xlfn.ANCHORARRAY($B$2),_xlfn.ANCHORARRAY($A$2)=$E23))</f>
        <v>EmbeddedBeamRow_1</v>
      </c>
      <c r="G23" t="str">
        <v>EmbeddedBeamRow_2</v>
      </c>
      <c r="H23" t="str">
        <v>EmbeddedBeamRow_3</v>
      </c>
      <c r="I23" t="str">
        <v>EmbeddedBeamRow_4</v>
      </c>
      <c r="J23" t="str">
        <v>EmbeddedBeamRow_5</v>
      </c>
      <c r="K23" t="str">
        <v>EmbeddedBeamRow_6</v>
      </c>
      <c r="L23" t="str">
        <v>EmbeddedBeamRow_7</v>
      </c>
    </row>
    <row r="24" spans="1:12" x14ac:dyDescent="0.25">
      <c r="A24" t="str">
        <v>CR113_N_Case5,8_SLS_0.7EI_SpG_a03BP1.0m</v>
      </c>
      <c r="B24" t="str">
        <v>EmbeddedBeamRow_2</v>
      </c>
      <c r="D24">
        <v>24</v>
      </c>
      <c r="E24" t="str">
        <v>CR113_N_Case1,4_SLS_0.7EI_Hyd_a03BP1.0m</v>
      </c>
      <c r="F24" t="str" cm="1">
        <f t="array" ref="F24:L24">TRANSPOSE(_xlfn._xlws.FILTER(_xlfn.ANCHORARRAY($B$2),_xlfn.ANCHORARRAY($A$2)=$E24))</f>
        <v>EmbeddedBeamRow_1</v>
      </c>
      <c r="G24" t="str">
        <v>EmbeddedBeamRow_2</v>
      </c>
      <c r="H24" t="str">
        <v>EmbeddedBeamRow_3</v>
      </c>
      <c r="I24" t="str">
        <v>EmbeddedBeamRow_4</v>
      </c>
      <c r="J24" t="str">
        <v>EmbeddedBeamRow_5</v>
      </c>
      <c r="K24" t="str">
        <v>EmbeddedBeamRow_6</v>
      </c>
      <c r="L24" t="str">
        <v>EmbeddedBeamRow_7</v>
      </c>
    </row>
    <row r="25" spans="1:12" x14ac:dyDescent="0.25">
      <c r="A25" t="str">
        <v>CR113_N_Case5,8_SLS_0.7EI_SpG_a03BP1.0m</v>
      </c>
      <c r="B25" t="str">
        <v>EmbeddedBeamRow_3</v>
      </c>
      <c r="D25">
        <v>25</v>
      </c>
      <c r="E25" t="str">
        <v>CR113_N_Case1,4_SLS_0.7EI_Hyd_a03BP1.0m</v>
      </c>
      <c r="F25" t="str" cm="1">
        <f t="array" ref="F25:L25">TRANSPOSE(_xlfn._xlws.FILTER(_xlfn.ANCHORARRAY($B$2),_xlfn.ANCHORARRAY($A$2)=$E25))</f>
        <v>EmbeddedBeamRow_1</v>
      </c>
      <c r="G25" t="str">
        <v>EmbeddedBeamRow_2</v>
      </c>
      <c r="H25" t="str">
        <v>EmbeddedBeamRow_3</v>
      </c>
      <c r="I25" t="str">
        <v>EmbeddedBeamRow_4</v>
      </c>
      <c r="J25" t="str">
        <v>EmbeddedBeamRow_5</v>
      </c>
      <c r="K25" t="str">
        <v>EmbeddedBeamRow_6</v>
      </c>
      <c r="L25" t="str">
        <v>EmbeddedBeamRow_7</v>
      </c>
    </row>
    <row r="26" spans="1:12" x14ac:dyDescent="0.25">
      <c r="A26" t="str">
        <v>CR113_N_Case5,8_SLS_0.7EI_SpG_a03BP1.0m</v>
      </c>
      <c r="B26" t="str">
        <v>EmbeddedBeamRow_4</v>
      </c>
      <c r="D26">
        <v>26</v>
      </c>
      <c r="E26" t="str">
        <v>CR113_N_Case2_ULS1_1.0EI_Hyd_a03BP1.0m</v>
      </c>
      <c r="F26" t="str" cm="1">
        <f t="array" ref="F26:L26">TRANSPOSE(_xlfn._xlws.FILTER(_xlfn.ANCHORARRAY($B$2),_xlfn.ANCHORARRAY($A$2)=$E26))</f>
        <v>EmbeddedBeamRow_1</v>
      </c>
      <c r="G26" t="str">
        <v>EmbeddedBeamRow_2</v>
      </c>
      <c r="H26" t="str">
        <v>EmbeddedBeamRow_3</v>
      </c>
      <c r="I26" t="str">
        <v>EmbeddedBeamRow_4</v>
      </c>
      <c r="J26" t="str">
        <v>EmbeddedBeamRow_5</v>
      </c>
      <c r="K26" t="str">
        <v>EmbeddedBeamRow_6</v>
      </c>
      <c r="L26" t="str">
        <v>EmbeddedBeamRow_7</v>
      </c>
    </row>
    <row r="27" spans="1:12" x14ac:dyDescent="0.25">
      <c r="A27" t="str">
        <v>CR113_N_Case5,8_SLS_0.7EI_SpG_a03BP1.0m</v>
      </c>
      <c r="B27" t="str">
        <v>EmbeddedBeamRow_5</v>
      </c>
      <c r="D27">
        <v>27</v>
      </c>
      <c r="E27" t="str">
        <v>CR113_N_Case2_ULS1_1.0EI_Hyd_a03BP1.0m</v>
      </c>
      <c r="F27" t="str" cm="1">
        <f t="array" ref="F27:L27">TRANSPOSE(_xlfn._xlws.FILTER(_xlfn.ANCHORARRAY($B$2),_xlfn.ANCHORARRAY($A$2)=$E27))</f>
        <v>EmbeddedBeamRow_1</v>
      </c>
      <c r="G27" t="str">
        <v>EmbeddedBeamRow_2</v>
      </c>
      <c r="H27" t="str">
        <v>EmbeddedBeamRow_3</v>
      </c>
      <c r="I27" t="str">
        <v>EmbeddedBeamRow_4</v>
      </c>
      <c r="J27" t="str">
        <v>EmbeddedBeamRow_5</v>
      </c>
      <c r="K27" t="str">
        <v>EmbeddedBeamRow_6</v>
      </c>
      <c r="L27" t="str">
        <v>EmbeddedBeamRow_7</v>
      </c>
    </row>
    <row r="28" spans="1:12" x14ac:dyDescent="0.25">
      <c r="A28" t="str">
        <v>CR113_N_Case5,8_SLS_0.7EI_SpG_a03BP1.0m</v>
      </c>
      <c r="B28" t="str">
        <v>EmbeddedBeamRow_6</v>
      </c>
      <c r="D28">
        <v>28</v>
      </c>
      <c r="E28" t="str">
        <v>CR113_N_Case2_ULS1_1.0EI_Hyd_a03BP1.0m</v>
      </c>
      <c r="F28" t="str" cm="1">
        <f t="array" ref="F28:L28">TRANSPOSE(_xlfn._xlws.FILTER(_xlfn.ANCHORARRAY($B$2),_xlfn.ANCHORARRAY($A$2)=$E28))</f>
        <v>EmbeddedBeamRow_1</v>
      </c>
      <c r="G28" t="str">
        <v>EmbeddedBeamRow_2</v>
      </c>
      <c r="H28" t="str">
        <v>EmbeddedBeamRow_3</v>
      </c>
      <c r="I28" t="str">
        <v>EmbeddedBeamRow_4</v>
      </c>
      <c r="J28" t="str">
        <v>EmbeddedBeamRow_5</v>
      </c>
      <c r="K28" t="str">
        <v>EmbeddedBeamRow_6</v>
      </c>
      <c r="L28" t="str">
        <v>EmbeddedBeamRow_7</v>
      </c>
    </row>
    <row r="29" spans="1:12" x14ac:dyDescent="0.25">
      <c r="A29" t="str">
        <v>CR113_N_Case5,8_SLS_0.7EI_SpG_a03BP1.0m</v>
      </c>
      <c r="B29" t="str">
        <v>EmbeddedBeamRow_7</v>
      </c>
      <c r="D29">
        <v>29</v>
      </c>
      <c r="E29" t="str">
        <v>CR113_N_Case2_ULS1_1.0EI_Hyd_a03BP1.0m</v>
      </c>
      <c r="F29" t="str" cm="1">
        <f t="array" ref="F29:L29">TRANSPOSE(_xlfn._xlws.FILTER(_xlfn.ANCHORARRAY($B$2),_xlfn.ANCHORARRAY($A$2)=$E29))</f>
        <v>EmbeddedBeamRow_1</v>
      </c>
      <c r="G29" t="str">
        <v>EmbeddedBeamRow_2</v>
      </c>
      <c r="H29" t="str">
        <v>EmbeddedBeamRow_3</v>
      </c>
      <c r="I29" t="str">
        <v>EmbeddedBeamRow_4</v>
      </c>
      <c r="J29" t="str">
        <v>EmbeddedBeamRow_5</v>
      </c>
      <c r="K29" t="str">
        <v>EmbeddedBeamRow_6</v>
      </c>
      <c r="L29" t="str">
        <v>EmbeddedBeamRow_7</v>
      </c>
    </row>
    <row r="30" spans="1:12" x14ac:dyDescent="0.25">
      <c r="A30" t="str">
        <v>CR113_N_Case6,7_ULS1_1.0EI_SpG_a03BP1.0m</v>
      </c>
      <c r="B30" t="str">
        <v>EmbeddedBeamRow_1</v>
      </c>
      <c r="D30">
        <v>30</v>
      </c>
      <c r="E30" t="str">
        <v>CR113_N_Case3_ULS2_1.0EI_Hyd_a03BP1.0m</v>
      </c>
      <c r="F30" t="str" cm="1">
        <f t="array" ref="F30:L30">TRANSPOSE(_xlfn._xlws.FILTER(_xlfn.ANCHORARRAY($B$2),_xlfn.ANCHORARRAY($A$2)=$E30))</f>
        <v>EmbeddedBeamRow_1</v>
      </c>
      <c r="G30" t="str">
        <v>EmbeddedBeamRow_2</v>
      </c>
      <c r="H30" t="str">
        <v>EmbeddedBeamRow_3</v>
      </c>
      <c r="I30" t="str">
        <v>EmbeddedBeamRow_4</v>
      </c>
      <c r="J30" t="str">
        <v>EmbeddedBeamRow_5</v>
      </c>
      <c r="K30" t="str">
        <v>EmbeddedBeamRow_6</v>
      </c>
      <c r="L30" t="str">
        <v>EmbeddedBeamRow_7</v>
      </c>
    </row>
    <row r="31" spans="1:12" x14ac:dyDescent="0.25">
      <c r="A31" t="str">
        <v>CR113_N_Case6,7_ULS1_1.0EI_SpG_a03BP1.0m</v>
      </c>
      <c r="B31" t="str">
        <v>EmbeddedBeamRow_2</v>
      </c>
      <c r="D31">
        <v>31</v>
      </c>
      <c r="E31" t="str">
        <v>CR113_N_Case3_ULS2_1.0EI_Hyd_a03BP1.0m</v>
      </c>
      <c r="F31" t="str" cm="1">
        <f t="array" ref="F31:L31">TRANSPOSE(_xlfn._xlws.FILTER(_xlfn.ANCHORARRAY($B$2),_xlfn.ANCHORARRAY($A$2)=$E31))</f>
        <v>EmbeddedBeamRow_1</v>
      </c>
      <c r="G31" t="str">
        <v>EmbeddedBeamRow_2</v>
      </c>
      <c r="H31" t="str">
        <v>EmbeddedBeamRow_3</v>
      </c>
      <c r="I31" t="str">
        <v>EmbeddedBeamRow_4</v>
      </c>
      <c r="J31" t="str">
        <v>EmbeddedBeamRow_5</v>
      </c>
      <c r="K31" t="str">
        <v>EmbeddedBeamRow_6</v>
      </c>
      <c r="L31" t="str">
        <v>EmbeddedBeamRow_7</v>
      </c>
    </row>
    <row r="32" spans="1:12" x14ac:dyDescent="0.25">
      <c r="A32" t="str">
        <v>CR113_N_Case6,7_ULS1_1.0EI_SpG_a03BP1.0m</v>
      </c>
      <c r="B32" t="str">
        <v>EmbeddedBeamRow_3</v>
      </c>
      <c r="D32">
        <v>32</v>
      </c>
      <c r="E32" t="str">
        <v>CR113_N_Case3_ULS2_1.0EI_Hyd_a03BP1.0m</v>
      </c>
      <c r="F32" t="str" cm="1">
        <f t="array" ref="F32:L32">TRANSPOSE(_xlfn._xlws.FILTER(_xlfn.ANCHORARRAY($B$2),_xlfn.ANCHORARRAY($A$2)=$E32))</f>
        <v>EmbeddedBeamRow_1</v>
      </c>
      <c r="G32" t="str">
        <v>EmbeddedBeamRow_2</v>
      </c>
      <c r="H32" t="str">
        <v>EmbeddedBeamRow_3</v>
      </c>
      <c r="I32" t="str">
        <v>EmbeddedBeamRow_4</v>
      </c>
      <c r="J32" t="str">
        <v>EmbeddedBeamRow_5</v>
      </c>
      <c r="K32" t="str">
        <v>EmbeddedBeamRow_6</v>
      </c>
      <c r="L32" t="str">
        <v>EmbeddedBeamRow_7</v>
      </c>
    </row>
    <row r="33" spans="1:12" x14ac:dyDescent="0.25">
      <c r="A33" t="str">
        <v>CR113_N_Case6,7_ULS1_1.0EI_SpG_a03BP1.0m</v>
      </c>
      <c r="B33" t="str">
        <v>EmbeddedBeamRow_4</v>
      </c>
      <c r="D33">
        <v>33</v>
      </c>
      <c r="E33" t="str">
        <v>CR113_N_Case3_ULS2_1.0EI_Hyd_a03BP1.0m</v>
      </c>
      <c r="F33" t="str" cm="1">
        <f t="array" ref="F33:L33">TRANSPOSE(_xlfn._xlws.FILTER(_xlfn.ANCHORARRAY($B$2),_xlfn.ANCHORARRAY($A$2)=$E33))</f>
        <v>EmbeddedBeamRow_1</v>
      </c>
      <c r="G33" t="str">
        <v>EmbeddedBeamRow_2</v>
      </c>
      <c r="H33" t="str">
        <v>EmbeddedBeamRow_3</v>
      </c>
      <c r="I33" t="str">
        <v>EmbeddedBeamRow_4</v>
      </c>
      <c r="J33" t="str">
        <v>EmbeddedBeamRow_5</v>
      </c>
      <c r="K33" t="str">
        <v>EmbeddedBeamRow_6</v>
      </c>
      <c r="L33" t="str">
        <v>EmbeddedBeamRow_7</v>
      </c>
    </row>
    <row r="34" spans="1:12" x14ac:dyDescent="0.25">
      <c r="A34" t="str">
        <v>CR113_N_Case6,7_ULS1_1.0EI_SpG_a03BP1.0m</v>
      </c>
      <c r="B34" t="str">
        <v>EmbeddedBeamRow_5</v>
      </c>
      <c r="D34">
        <v>34</v>
      </c>
      <c r="E34" t="str">
        <v>CR113_N_Case5,8_SLS_0.7EI_SpG_a03BP1.0m</v>
      </c>
      <c r="F34" t="str" cm="1">
        <f t="array" ref="F34:L34">TRANSPOSE(_xlfn._xlws.FILTER(_xlfn.ANCHORARRAY($B$2),_xlfn.ANCHORARRAY($A$2)=$E34))</f>
        <v>EmbeddedBeamRow_1</v>
      </c>
      <c r="G34" t="str">
        <v>EmbeddedBeamRow_2</v>
      </c>
      <c r="H34" t="str">
        <v>EmbeddedBeamRow_3</v>
      </c>
      <c r="I34" t="str">
        <v>EmbeddedBeamRow_4</v>
      </c>
      <c r="J34" t="str">
        <v>EmbeddedBeamRow_5</v>
      </c>
      <c r="K34" t="str">
        <v>EmbeddedBeamRow_6</v>
      </c>
      <c r="L34" t="str">
        <v>EmbeddedBeamRow_7</v>
      </c>
    </row>
    <row r="35" spans="1:12" x14ac:dyDescent="0.25">
      <c r="A35" t="str">
        <v>CR113_N_Case6,7_ULS1_1.0EI_SpG_a03BP1.0m</v>
      </c>
      <c r="B35" t="str">
        <v>EmbeddedBeamRow_6</v>
      </c>
      <c r="D35">
        <v>35</v>
      </c>
      <c r="E35" t="str">
        <v>CR113_N_Case5,8_SLS_0.7EI_SpG_a03BP1.0m</v>
      </c>
      <c r="F35" t="str" cm="1">
        <f t="array" ref="F35:L35">TRANSPOSE(_xlfn._xlws.FILTER(_xlfn.ANCHORARRAY($B$2),_xlfn.ANCHORARRAY($A$2)=$E35))</f>
        <v>EmbeddedBeamRow_1</v>
      </c>
      <c r="G35" t="str">
        <v>EmbeddedBeamRow_2</v>
      </c>
      <c r="H35" t="str">
        <v>EmbeddedBeamRow_3</v>
      </c>
      <c r="I35" t="str">
        <v>EmbeddedBeamRow_4</v>
      </c>
      <c r="J35" t="str">
        <v>EmbeddedBeamRow_5</v>
      </c>
      <c r="K35" t="str">
        <v>EmbeddedBeamRow_6</v>
      </c>
      <c r="L35" t="str">
        <v>EmbeddedBeamRow_7</v>
      </c>
    </row>
    <row r="36" spans="1:12" x14ac:dyDescent="0.25">
      <c r="A36" t="str">
        <v>CR113_N_Case6,7_ULS1_1.0EI_SpG_a03BP1.0m</v>
      </c>
      <c r="B36" t="str">
        <v>EmbeddedBeamRow_7</v>
      </c>
      <c r="D36">
        <v>36</v>
      </c>
      <c r="E36" t="str">
        <v>CR113_N_Case5,8_SLS_0.7EI_SpG_a03BP1.0m</v>
      </c>
      <c r="F36" t="str" cm="1">
        <f t="array" ref="F36:L36">TRANSPOSE(_xlfn._xlws.FILTER(_xlfn.ANCHORARRAY($B$2),_xlfn.ANCHORARRAY($A$2)=$E36))</f>
        <v>EmbeddedBeamRow_1</v>
      </c>
      <c r="G36" t="str">
        <v>EmbeddedBeamRow_2</v>
      </c>
      <c r="H36" t="str">
        <v>EmbeddedBeamRow_3</v>
      </c>
      <c r="I36" t="str">
        <v>EmbeddedBeamRow_4</v>
      </c>
      <c r="J36" t="str">
        <v>EmbeddedBeamRow_5</v>
      </c>
      <c r="K36" t="str">
        <v>EmbeddedBeamRow_6</v>
      </c>
      <c r="L36" t="str">
        <v>EmbeddedBeamRow_7</v>
      </c>
    </row>
    <row r="37" spans="1:12" x14ac:dyDescent="0.25">
      <c r="A37" t="str">
        <v>CR113_N_CaseA_SLS_0.7EI_SpD_a03BP1.0m</v>
      </c>
      <c r="B37" t="str">
        <v>EmbeddedBeamRow_1</v>
      </c>
      <c r="D37">
        <v>37</v>
      </c>
      <c r="E37" t="str">
        <v>CR113_N_Case5,8_SLS_0.7EI_SpG_a03BP1.0m</v>
      </c>
      <c r="F37" t="str" cm="1">
        <f t="array" ref="F37:L37">TRANSPOSE(_xlfn._xlws.FILTER(_xlfn.ANCHORARRAY($B$2),_xlfn.ANCHORARRAY($A$2)=$E37))</f>
        <v>EmbeddedBeamRow_1</v>
      </c>
      <c r="G37" t="str">
        <v>EmbeddedBeamRow_2</v>
      </c>
      <c r="H37" t="str">
        <v>EmbeddedBeamRow_3</v>
      </c>
      <c r="I37" t="str">
        <v>EmbeddedBeamRow_4</v>
      </c>
      <c r="J37" t="str">
        <v>EmbeddedBeamRow_5</v>
      </c>
      <c r="K37" t="str">
        <v>EmbeddedBeamRow_6</v>
      </c>
      <c r="L37" t="str">
        <v>EmbeddedBeamRow_7</v>
      </c>
    </row>
    <row r="38" spans="1:12" x14ac:dyDescent="0.25">
      <c r="A38" t="str">
        <v>CR113_N_CaseA_SLS_0.7EI_SpD_a03BP1.0m</v>
      </c>
      <c r="B38" t="str">
        <v>EmbeddedBeamRow_2</v>
      </c>
      <c r="D38">
        <v>38</v>
      </c>
      <c r="E38" t="str">
        <v>CR113_N_Case5,8_SLS_0.7EI_SpG_a03BP1.0m</v>
      </c>
      <c r="F38" t="str" cm="1">
        <f t="array" ref="F38:L38">TRANSPOSE(_xlfn._xlws.FILTER(_xlfn.ANCHORARRAY($B$2),_xlfn.ANCHORARRAY($A$2)=$E38))</f>
        <v>EmbeddedBeamRow_1</v>
      </c>
      <c r="G38" t="str">
        <v>EmbeddedBeamRow_2</v>
      </c>
      <c r="H38" t="str">
        <v>EmbeddedBeamRow_3</v>
      </c>
      <c r="I38" t="str">
        <v>EmbeddedBeamRow_4</v>
      </c>
      <c r="J38" t="str">
        <v>EmbeddedBeamRow_5</v>
      </c>
      <c r="K38" t="str">
        <v>EmbeddedBeamRow_6</v>
      </c>
      <c r="L38" t="str">
        <v>EmbeddedBeamRow_7</v>
      </c>
    </row>
    <row r="39" spans="1:12" x14ac:dyDescent="0.25">
      <c r="A39" t="str">
        <v>CR113_N_CaseA_SLS_0.7EI_SpD_a03BP1.0m</v>
      </c>
      <c r="B39" t="str">
        <v>EmbeddedBeamRow_3</v>
      </c>
      <c r="D39">
        <v>39</v>
      </c>
      <c r="E39" t="str">
        <v>CR113_N_Case5,8_SLS_0.7EI_SpG_a03BP1.0m</v>
      </c>
      <c r="F39" t="str" cm="1">
        <f t="array" ref="F39:L39">TRANSPOSE(_xlfn._xlws.FILTER(_xlfn.ANCHORARRAY($B$2),_xlfn.ANCHORARRAY($A$2)=$E39))</f>
        <v>EmbeddedBeamRow_1</v>
      </c>
      <c r="G39" t="str">
        <v>EmbeddedBeamRow_2</v>
      </c>
      <c r="H39" t="str">
        <v>EmbeddedBeamRow_3</v>
      </c>
      <c r="I39" t="str">
        <v>EmbeddedBeamRow_4</v>
      </c>
      <c r="J39" t="str">
        <v>EmbeddedBeamRow_5</v>
      </c>
      <c r="K39" t="str">
        <v>EmbeddedBeamRow_6</v>
      </c>
      <c r="L39" t="str">
        <v>EmbeddedBeamRow_7</v>
      </c>
    </row>
    <row r="40" spans="1:12" x14ac:dyDescent="0.25">
      <c r="A40" t="str">
        <v>CR113_N_CaseA_SLS_0.7EI_SpD_a03BP1.0m</v>
      </c>
      <c r="B40" t="str">
        <v>EmbeddedBeamRow_4</v>
      </c>
      <c r="D40">
        <v>40</v>
      </c>
      <c r="E40" t="str">
        <v>CR113_N_Case5,8_SLS_0.7EI_SpG_a03BP1.0m</v>
      </c>
      <c r="F40" t="str" cm="1">
        <f t="array" ref="F40:L40">TRANSPOSE(_xlfn._xlws.FILTER(_xlfn.ANCHORARRAY($B$2),_xlfn.ANCHORARRAY($A$2)=$E40))</f>
        <v>EmbeddedBeamRow_1</v>
      </c>
      <c r="G40" t="str">
        <v>EmbeddedBeamRow_2</v>
      </c>
      <c r="H40" t="str">
        <v>EmbeddedBeamRow_3</v>
      </c>
      <c r="I40" t="str">
        <v>EmbeddedBeamRow_4</v>
      </c>
      <c r="J40" t="str">
        <v>EmbeddedBeamRow_5</v>
      </c>
      <c r="K40" t="str">
        <v>EmbeddedBeamRow_6</v>
      </c>
      <c r="L40" t="str">
        <v>EmbeddedBeamRow_7</v>
      </c>
    </row>
    <row r="41" spans="1:12" x14ac:dyDescent="0.25">
      <c r="A41" t="str">
        <v>CR113_N_CaseA_SLS_0.7EI_SpD_a03BP1.0m</v>
      </c>
      <c r="B41" t="str">
        <v>EmbeddedBeamRow_5</v>
      </c>
      <c r="D41">
        <v>41</v>
      </c>
      <c r="E41" t="str">
        <v>CR113_N_Case5,8_SLS_0.7EI_SpG_a03BP1.0m</v>
      </c>
      <c r="F41" t="str" cm="1">
        <f t="array" ref="F41:L41">TRANSPOSE(_xlfn._xlws.FILTER(_xlfn.ANCHORARRAY($B$2),_xlfn.ANCHORARRAY($A$2)=$E41))</f>
        <v>EmbeddedBeamRow_1</v>
      </c>
      <c r="G41" t="str">
        <v>EmbeddedBeamRow_2</v>
      </c>
      <c r="H41" t="str">
        <v>EmbeddedBeamRow_3</v>
      </c>
      <c r="I41" t="str">
        <v>EmbeddedBeamRow_4</v>
      </c>
      <c r="J41" t="str">
        <v>EmbeddedBeamRow_5</v>
      </c>
      <c r="K41" t="str">
        <v>EmbeddedBeamRow_6</v>
      </c>
      <c r="L41" t="str">
        <v>EmbeddedBeamRow_7</v>
      </c>
    </row>
    <row r="42" spans="1:12" x14ac:dyDescent="0.25">
      <c r="A42" t="str">
        <v>CR113_N_CaseA_SLS_0.7EI_SpD_a03BP1.0m</v>
      </c>
      <c r="B42" t="str">
        <v>EmbeddedBeamRow_6</v>
      </c>
      <c r="D42">
        <v>42</v>
      </c>
      <c r="E42" t="str">
        <v>CR113_N_Case5,8_SLS_0.7EI_SpG_a03BP1.0m</v>
      </c>
      <c r="F42" t="str" cm="1">
        <f t="array" ref="F42:L42">TRANSPOSE(_xlfn._xlws.FILTER(_xlfn.ANCHORARRAY($B$2),_xlfn.ANCHORARRAY($A$2)=$E42))</f>
        <v>EmbeddedBeamRow_1</v>
      </c>
      <c r="G42" t="str">
        <v>EmbeddedBeamRow_2</v>
      </c>
      <c r="H42" t="str">
        <v>EmbeddedBeamRow_3</v>
      </c>
      <c r="I42" t="str">
        <v>EmbeddedBeamRow_4</v>
      </c>
      <c r="J42" t="str">
        <v>EmbeddedBeamRow_5</v>
      </c>
      <c r="K42" t="str">
        <v>EmbeddedBeamRow_6</v>
      </c>
      <c r="L42" t="str">
        <v>EmbeddedBeamRow_7</v>
      </c>
    </row>
    <row r="43" spans="1:12" x14ac:dyDescent="0.25">
      <c r="A43" t="str">
        <v>CR113_N_CaseA_SLS_0.7EI_SpD_a03BP1.0m</v>
      </c>
      <c r="B43" t="str">
        <v>EmbeddedBeamRow_7</v>
      </c>
      <c r="D43">
        <v>43</v>
      </c>
      <c r="E43" t="str">
        <v>CR113_N_Case5,8_SLS_0.7EI_SpG_a03BP1.0m</v>
      </c>
      <c r="F43" t="str" cm="1">
        <f t="array" ref="F43:L43">TRANSPOSE(_xlfn._xlws.FILTER(_xlfn.ANCHORARRAY($B$2),_xlfn.ANCHORARRAY($A$2)=$E43))</f>
        <v>EmbeddedBeamRow_1</v>
      </c>
      <c r="G43" t="str">
        <v>EmbeddedBeamRow_2</v>
      </c>
      <c r="H43" t="str">
        <v>EmbeddedBeamRow_3</v>
      </c>
      <c r="I43" t="str">
        <v>EmbeddedBeamRow_4</v>
      </c>
      <c r="J43" t="str">
        <v>EmbeddedBeamRow_5</v>
      </c>
      <c r="K43" t="str">
        <v>EmbeddedBeamRow_6</v>
      </c>
      <c r="L43" t="str">
        <v>EmbeddedBeamRow_7</v>
      </c>
    </row>
    <row r="44" spans="1:12" x14ac:dyDescent="0.25">
      <c r="D44">
        <v>44</v>
      </c>
      <c r="E44" t="str">
        <v>CR113_N_Case5,8_SLS_0.7EI_SpG_a03BP1.0m</v>
      </c>
      <c r="F44" t="str" cm="1">
        <f t="array" ref="F44:L44">TRANSPOSE(_xlfn._xlws.FILTER(_xlfn.ANCHORARRAY($B$2),_xlfn.ANCHORARRAY($A$2)=$E44))</f>
        <v>EmbeddedBeamRow_1</v>
      </c>
      <c r="G44" t="str">
        <v>EmbeddedBeamRow_2</v>
      </c>
      <c r="H44" t="str">
        <v>EmbeddedBeamRow_3</v>
      </c>
      <c r="I44" t="str">
        <v>EmbeddedBeamRow_4</v>
      </c>
      <c r="J44" t="str">
        <v>EmbeddedBeamRow_5</v>
      </c>
      <c r="K44" t="str">
        <v>EmbeddedBeamRow_6</v>
      </c>
      <c r="L44" t="str">
        <v>EmbeddedBeamRow_7</v>
      </c>
    </row>
    <row r="45" spans="1:12" x14ac:dyDescent="0.25">
      <c r="D45">
        <v>45</v>
      </c>
      <c r="E45" t="str">
        <v>CR113_N_Case5,8_SLS_0.7EI_SpG_a03BP1.0m</v>
      </c>
      <c r="F45" t="str" cm="1">
        <f t="array" ref="F45:L45">TRANSPOSE(_xlfn._xlws.FILTER(_xlfn.ANCHORARRAY($B$2),_xlfn.ANCHORARRAY($A$2)=$E45))</f>
        <v>EmbeddedBeamRow_1</v>
      </c>
      <c r="G45" t="str">
        <v>EmbeddedBeamRow_2</v>
      </c>
      <c r="H45" t="str">
        <v>EmbeddedBeamRow_3</v>
      </c>
      <c r="I45" t="str">
        <v>EmbeddedBeamRow_4</v>
      </c>
      <c r="J45" t="str">
        <v>EmbeddedBeamRow_5</v>
      </c>
      <c r="K45" t="str">
        <v>EmbeddedBeamRow_6</v>
      </c>
      <c r="L45" t="str">
        <v>EmbeddedBeamRow_7</v>
      </c>
    </row>
    <row r="46" spans="1:12" x14ac:dyDescent="0.25">
      <c r="D46">
        <v>46</v>
      </c>
      <c r="E46" t="str">
        <v>CR113_N_Case5,8_SLS_0.7EI_SpG_a03BP1.0m</v>
      </c>
      <c r="F46" t="str" cm="1">
        <f t="array" ref="F46:L46">TRANSPOSE(_xlfn._xlws.FILTER(_xlfn.ANCHORARRAY($B$2),_xlfn.ANCHORARRAY($A$2)=$E46))</f>
        <v>EmbeddedBeamRow_1</v>
      </c>
      <c r="G46" t="str">
        <v>EmbeddedBeamRow_2</v>
      </c>
      <c r="H46" t="str">
        <v>EmbeddedBeamRow_3</v>
      </c>
      <c r="I46" t="str">
        <v>EmbeddedBeamRow_4</v>
      </c>
      <c r="J46" t="str">
        <v>EmbeddedBeamRow_5</v>
      </c>
      <c r="K46" t="str">
        <v>EmbeddedBeamRow_6</v>
      </c>
      <c r="L46" t="str">
        <v>EmbeddedBeamRow_7</v>
      </c>
    </row>
    <row r="47" spans="1:12" x14ac:dyDescent="0.25">
      <c r="D47">
        <v>47</v>
      </c>
      <c r="E47" t="str">
        <v>CR113_N_Case5,8_SLS_0.7EI_SpG_a03BP1.0m</v>
      </c>
      <c r="F47" t="str" cm="1">
        <f t="array" ref="F47:L47">TRANSPOSE(_xlfn._xlws.FILTER(_xlfn.ANCHORARRAY($B$2),_xlfn.ANCHORARRAY($A$2)=$E47))</f>
        <v>EmbeddedBeamRow_1</v>
      </c>
      <c r="G47" t="str">
        <v>EmbeddedBeamRow_2</v>
      </c>
      <c r="H47" t="str">
        <v>EmbeddedBeamRow_3</v>
      </c>
      <c r="I47" t="str">
        <v>EmbeddedBeamRow_4</v>
      </c>
      <c r="J47" t="str">
        <v>EmbeddedBeamRow_5</v>
      </c>
      <c r="K47" t="str">
        <v>EmbeddedBeamRow_6</v>
      </c>
      <c r="L47" t="str">
        <v>EmbeddedBeamRow_7</v>
      </c>
    </row>
    <row r="48" spans="1:12" x14ac:dyDescent="0.25">
      <c r="D48">
        <v>48</v>
      </c>
      <c r="E48" t="str">
        <v>CR113_N_Case5,8_SLS_0.7EI_SpG_a03BP1.0m</v>
      </c>
      <c r="F48" t="str" cm="1">
        <f t="array" ref="F48:L48">TRANSPOSE(_xlfn._xlws.FILTER(_xlfn.ANCHORARRAY($B$2),_xlfn.ANCHORARRAY($A$2)=$E48))</f>
        <v>EmbeddedBeamRow_1</v>
      </c>
      <c r="G48" t="str">
        <v>EmbeddedBeamRow_2</v>
      </c>
      <c r="H48" t="str">
        <v>EmbeddedBeamRow_3</v>
      </c>
      <c r="I48" t="str">
        <v>EmbeddedBeamRow_4</v>
      </c>
      <c r="J48" t="str">
        <v>EmbeddedBeamRow_5</v>
      </c>
      <c r="K48" t="str">
        <v>EmbeddedBeamRow_6</v>
      </c>
      <c r="L48" t="str">
        <v>EmbeddedBeamRow_7</v>
      </c>
    </row>
    <row r="49" spans="4:12" x14ac:dyDescent="0.25">
      <c r="D49">
        <v>49</v>
      </c>
      <c r="E49" t="str">
        <v>CR113_N_Case5,8_SLS_0.7EI_SpG_a03BP1.0m</v>
      </c>
      <c r="F49" t="str" cm="1">
        <f t="array" ref="F49:L49">TRANSPOSE(_xlfn._xlws.FILTER(_xlfn.ANCHORARRAY($B$2),_xlfn.ANCHORARRAY($A$2)=$E49))</f>
        <v>EmbeddedBeamRow_1</v>
      </c>
      <c r="G49" t="str">
        <v>EmbeddedBeamRow_2</v>
      </c>
      <c r="H49" t="str">
        <v>EmbeddedBeamRow_3</v>
      </c>
      <c r="I49" t="str">
        <v>EmbeddedBeamRow_4</v>
      </c>
      <c r="J49" t="str">
        <v>EmbeddedBeamRow_5</v>
      </c>
      <c r="K49" t="str">
        <v>EmbeddedBeamRow_6</v>
      </c>
      <c r="L49" t="str">
        <v>EmbeddedBeamRow_7</v>
      </c>
    </row>
    <row r="50" spans="4:12" x14ac:dyDescent="0.25">
      <c r="D50">
        <v>50</v>
      </c>
      <c r="E50" t="str">
        <v>CR113_N_Case5,8_SLS_0.7EI_SpG_a03BP1.0m</v>
      </c>
      <c r="F50" t="str" cm="1">
        <f t="array" ref="F50:L50">TRANSPOSE(_xlfn._xlws.FILTER(_xlfn.ANCHORARRAY($B$2),_xlfn.ANCHORARRAY($A$2)=$E50))</f>
        <v>EmbeddedBeamRow_1</v>
      </c>
      <c r="G50" t="str">
        <v>EmbeddedBeamRow_2</v>
      </c>
      <c r="H50" t="str">
        <v>EmbeddedBeamRow_3</v>
      </c>
      <c r="I50" t="str">
        <v>EmbeddedBeamRow_4</v>
      </c>
      <c r="J50" t="str">
        <v>EmbeddedBeamRow_5</v>
      </c>
      <c r="K50" t="str">
        <v>EmbeddedBeamRow_6</v>
      </c>
      <c r="L50" t="str">
        <v>EmbeddedBeamRow_7</v>
      </c>
    </row>
    <row r="51" spans="4:12" x14ac:dyDescent="0.25">
      <c r="D51">
        <v>51</v>
      </c>
      <c r="E51" t="str">
        <v>CR113_N_Case5,8_SLS_0.7EI_SpG_a03BP1.0m</v>
      </c>
      <c r="F51" t="str" cm="1">
        <f t="array" ref="F51:L51">TRANSPOSE(_xlfn._xlws.FILTER(_xlfn.ANCHORARRAY($B$2),_xlfn.ANCHORARRAY($A$2)=$E51))</f>
        <v>EmbeddedBeamRow_1</v>
      </c>
      <c r="G51" t="str">
        <v>EmbeddedBeamRow_2</v>
      </c>
      <c r="H51" t="str">
        <v>EmbeddedBeamRow_3</v>
      </c>
      <c r="I51" t="str">
        <v>EmbeddedBeamRow_4</v>
      </c>
      <c r="J51" t="str">
        <v>EmbeddedBeamRow_5</v>
      </c>
      <c r="K51" t="str">
        <v>EmbeddedBeamRow_6</v>
      </c>
      <c r="L51" t="str">
        <v>EmbeddedBeamRow_7</v>
      </c>
    </row>
    <row r="52" spans="4:12" x14ac:dyDescent="0.25">
      <c r="D52">
        <v>52</v>
      </c>
      <c r="E52" t="str">
        <v>CR113_N_Case5,8_SLS_0.7EI_SpG_a03BP1.0m</v>
      </c>
      <c r="F52" t="str" cm="1">
        <f t="array" ref="F52:L52">TRANSPOSE(_xlfn._xlws.FILTER(_xlfn.ANCHORARRAY($B$2),_xlfn.ANCHORARRAY($A$2)=$E52))</f>
        <v>EmbeddedBeamRow_1</v>
      </c>
      <c r="G52" t="str">
        <v>EmbeddedBeamRow_2</v>
      </c>
      <c r="H52" t="str">
        <v>EmbeddedBeamRow_3</v>
      </c>
      <c r="I52" t="str">
        <v>EmbeddedBeamRow_4</v>
      </c>
      <c r="J52" t="str">
        <v>EmbeddedBeamRow_5</v>
      </c>
      <c r="K52" t="str">
        <v>EmbeddedBeamRow_6</v>
      </c>
      <c r="L52" t="str">
        <v>EmbeddedBeamRow_7</v>
      </c>
    </row>
    <row r="53" spans="4:12" x14ac:dyDescent="0.25">
      <c r="D53">
        <v>53</v>
      </c>
      <c r="E53" t="str">
        <v>CR113_N_Case5,8_SLS_0.7EI_SpG_a03BP1.0m</v>
      </c>
      <c r="F53" t="str" cm="1">
        <f t="array" ref="F53:L53">TRANSPOSE(_xlfn._xlws.FILTER(_xlfn.ANCHORARRAY($B$2),_xlfn.ANCHORARRAY($A$2)=$E53))</f>
        <v>EmbeddedBeamRow_1</v>
      </c>
      <c r="G53" t="str">
        <v>EmbeddedBeamRow_2</v>
      </c>
      <c r="H53" t="str">
        <v>EmbeddedBeamRow_3</v>
      </c>
      <c r="I53" t="str">
        <v>EmbeddedBeamRow_4</v>
      </c>
      <c r="J53" t="str">
        <v>EmbeddedBeamRow_5</v>
      </c>
      <c r="K53" t="str">
        <v>EmbeddedBeamRow_6</v>
      </c>
      <c r="L53" t="str">
        <v>EmbeddedBeamRow_7</v>
      </c>
    </row>
    <row r="54" spans="4:12" x14ac:dyDescent="0.25">
      <c r="D54">
        <v>54</v>
      </c>
      <c r="E54" t="str">
        <v>CR113_N_Case5,8_SLS_0.7EI_SpG_a03BP1.0m</v>
      </c>
      <c r="F54" t="str" cm="1">
        <f t="array" ref="F54:L54">TRANSPOSE(_xlfn._xlws.FILTER(_xlfn.ANCHORARRAY($B$2),_xlfn.ANCHORARRAY($A$2)=$E54))</f>
        <v>EmbeddedBeamRow_1</v>
      </c>
      <c r="G54" t="str">
        <v>EmbeddedBeamRow_2</v>
      </c>
      <c r="H54" t="str">
        <v>EmbeddedBeamRow_3</v>
      </c>
      <c r="I54" t="str">
        <v>EmbeddedBeamRow_4</v>
      </c>
      <c r="J54" t="str">
        <v>EmbeddedBeamRow_5</v>
      </c>
      <c r="K54" t="str">
        <v>EmbeddedBeamRow_6</v>
      </c>
      <c r="L54" t="str">
        <v>EmbeddedBeamRow_7</v>
      </c>
    </row>
    <row r="55" spans="4:12" x14ac:dyDescent="0.25">
      <c r="D55">
        <v>55</v>
      </c>
      <c r="E55" t="str">
        <v>CR113_N_Case5,8_SLS_0.7EI_SpG_a03BP1.0m</v>
      </c>
      <c r="F55" t="str" cm="1">
        <f t="array" ref="F55:L55">TRANSPOSE(_xlfn._xlws.FILTER(_xlfn.ANCHORARRAY($B$2),_xlfn.ANCHORARRAY($A$2)=$E55))</f>
        <v>EmbeddedBeamRow_1</v>
      </c>
      <c r="G55" t="str">
        <v>EmbeddedBeamRow_2</v>
      </c>
      <c r="H55" t="str">
        <v>EmbeddedBeamRow_3</v>
      </c>
      <c r="I55" t="str">
        <v>EmbeddedBeamRow_4</v>
      </c>
      <c r="J55" t="str">
        <v>EmbeddedBeamRow_5</v>
      </c>
      <c r="K55" t="str">
        <v>EmbeddedBeamRow_6</v>
      </c>
      <c r="L55" t="str">
        <v>EmbeddedBeamRow_7</v>
      </c>
    </row>
    <row r="56" spans="4:12" x14ac:dyDescent="0.25">
      <c r="D56">
        <v>56</v>
      </c>
      <c r="E56" t="str">
        <v>CR113_N_Case6,7_ULS1_1.0EI_SpG_a03BP1.0m</v>
      </c>
      <c r="F56" t="str" cm="1">
        <f t="array" ref="F56:L56">TRANSPOSE(_xlfn._xlws.FILTER(_xlfn.ANCHORARRAY($B$2),_xlfn.ANCHORARRAY($A$2)=$E56))</f>
        <v>EmbeddedBeamRow_1</v>
      </c>
      <c r="G56" t="str">
        <v>EmbeddedBeamRow_2</v>
      </c>
      <c r="H56" t="str">
        <v>EmbeddedBeamRow_3</v>
      </c>
      <c r="I56" t="str">
        <v>EmbeddedBeamRow_4</v>
      </c>
      <c r="J56" t="str">
        <v>EmbeddedBeamRow_5</v>
      </c>
      <c r="K56" t="str">
        <v>EmbeddedBeamRow_6</v>
      </c>
      <c r="L56" t="str">
        <v>EmbeddedBeamRow_7</v>
      </c>
    </row>
    <row r="57" spans="4:12" x14ac:dyDescent="0.25">
      <c r="D57">
        <v>57</v>
      </c>
      <c r="E57" t="str">
        <v>CR113_N_Case6,7_ULS1_1.0EI_SpG_a03BP1.0m</v>
      </c>
      <c r="F57" t="str" cm="1">
        <f t="array" ref="F57:L57">TRANSPOSE(_xlfn._xlws.FILTER(_xlfn.ANCHORARRAY($B$2),_xlfn.ANCHORARRAY($A$2)=$E57))</f>
        <v>EmbeddedBeamRow_1</v>
      </c>
      <c r="G57" t="str">
        <v>EmbeddedBeamRow_2</v>
      </c>
      <c r="H57" t="str">
        <v>EmbeddedBeamRow_3</v>
      </c>
      <c r="I57" t="str">
        <v>EmbeddedBeamRow_4</v>
      </c>
      <c r="J57" t="str">
        <v>EmbeddedBeamRow_5</v>
      </c>
      <c r="K57" t="str">
        <v>EmbeddedBeamRow_6</v>
      </c>
      <c r="L57" t="str">
        <v>EmbeddedBeamRow_7</v>
      </c>
    </row>
    <row r="58" spans="4:12" x14ac:dyDescent="0.25">
      <c r="D58">
        <v>58</v>
      </c>
      <c r="E58" t="str">
        <v>CR113_N_Case6,7_ULS1_1.0EI_SpG_a03BP1.0m</v>
      </c>
      <c r="F58" t="str" cm="1">
        <f t="array" ref="F58:L58">TRANSPOSE(_xlfn._xlws.FILTER(_xlfn.ANCHORARRAY($B$2),_xlfn.ANCHORARRAY($A$2)=$E58))</f>
        <v>EmbeddedBeamRow_1</v>
      </c>
      <c r="G58" t="str">
        <v>EmbeddedBeamRow_2</v>
      </c>
      <c r="H58" t="str">
        <v>EmbeddedBeamRow_3</v>
      </c>
      <c r="I58" t="str">
        <v>EmbeddedBeamRow_4</v>
      </c>
      <c r="J58" t="str">
        <v>EmbeddedBeamRow_5</v>
      </c>
      <c r="K58" t="str">
        <v>EmbeddedBeamRow_6</v>
      </c>
      <c r="L58" t="str">
        <v>EmbeddedBeamRow_7</v>
      </c>
    </row>
    <row r="59" spans="4:12" x14ac:dyDescent="0.25">
      <c r="D59">
        <v>59</v>
      </c>
      <c r="E59" t="str">
        <v>CR113_N_Case6,7_ULS1_1.0EI_SpG_a03BP1.0m</v>
      </c>
      <c r="F59" t="str" cm="1">
        <f t="array" ref="F59:L59">TRANSPOSE(_xlfn._xlws.FILTER(_xlfn.ANCHORARRAY($B$2),_xlfn.ANCHORARRAY($A$2)=$E59))</f>
        <v>EmbeddedBeamRow_1</v>
      </c>
      <c r="G59" t="str">
        <v>EmbeddedBeamRow_2</v>
      </c>
      <c r="H59" t="str">
        <v>EmbeddedBeamRow_3</v>
      </c>
      <c r="I59" t="str">
        <v>EmbeddedBeamRow_4</v>
      </c>
      <c r="J59" t="str">
        <v>EmbeddedBeamRow_5</v>
      </c>
      <c r="K59" t="str">
        <v>EmbeddedBeamRow_6</v>
      </c>
      <c r="L59" t="str">
        <v>EmbeddedBeamRow_7</v>
      </c>
    </row>
    <row r="60" spans="4:12" x14ac:dyDescent="0.25">
      <c r="D60">
        <v>60</v>
      </c>
      <c r="E60" t="str">
        <v>CR113_N_Case6,7_ULS1_1.0EI_SpG_a03BP1.0m</v>
      </c>
      <c r="F60" t="str" cm="1">
        <f t="array" ref="F60:L60">TRANSPOSE(_xlfn._xlws.FILTER(_xlfn.ANCHORARRAY($B$2),_xlfn.ANCHORARRAY($A$2)=$E60))</f>
        <v>EmbeddedBeamRow_1</v>
      </c>
      <c r="G60" t="str">
        <v>EmbeddedBeamRow_2</v>
      </c>
      <c r="H60" t="str">
        <v>EmbeddedBeamRow_3</v>
      </c>
      <c r="I60" t="str">
        <v>EmbeddedBeamRow_4</v>
      </c>
      <c r="J60" t="str">
        <v>EmbeddedBeamRow_5</v>
      </c>
      <c r="K60" t="str">
        <v>EmbeddedBeamRow_6</v>
      </c>
      <c r="L60" t="str">
        <v>EmbeddedBeamRow_7</v>
      </c>
    </row>
    <row r="61" spans="4:12" x14ac:dyDescent="0.25">
      <c r="D61">
        <v>61</v>
      </c>
      <c r="E61" t="str">
        <v>CR113_N_Case6,7_ULS1_1.0EI_SpG_a03BP1.0m</v>
      </c>
      <c r="F61" t="str" cm="1">
        <f t="array" ref="F61:L61">TRANSPOSE(_xlfn._xlws.FILTER(_xlfn.ANCHORARRAY($B$2),_xlfn.ANCHORARRAY($A$2)=$E61))</f>
        <v>EmbeddedBeamRow_1</v>
      </c>
      <c r="G61" t="str">
        <v>EmbeddedBeamRow_2</v>
      </c>
      <c r="H61" t="str">
        <v>EmbeddedBeamRow_3</v>
      </c>
      <c r="I61" t="str">
        <v>EmbeddedBeamRow_4</v>
      </c>
      <c r="J61" t="str">
        <v>EmbeddedBeamRow_5</v>
      </c>
      <c r="K61" t="str">
        <v>EmbeddedBeamRow_6</v>
      </c>
      <c r="L61" t="str">
        <v>EmbeddedBeamRow_7</v>
      </c>
    </row>
    <row r="62" spans="4:12" x14ac:dyDescent="0.25">
      <c r="D62">
        <v>62</v>
      </c>
      <c r="E62" t="str">
        <v>CR113_N_Case6,7_ULS1_1.0EI_SpG_a03BP1.0m</v>
      </c>
      <c r="F62" t="str" cm="1">
        <f t="array" ref="F62:L62">TRANSPOSE(_xlfn._xlws.FILTER(_xlfn.ANCHORARRAY($B$2),_xlfn.ANCHORARRAY($A$2)=$E62))</f>
        <v>EmbeddedBeamRow_1</v>
      </c>
      <c r="G62" t="str">
        <v>EmbeddedBeamRow_2</v>
      </c>
      <c r="H62" t="str">
        <v>EmbeddedBeamRow_3</v>
      </c>
      <c r="I62" t="str">
        <v>EmbeddedBeamRow_4</v>
      </c>
      <c r="J62" t="str">
        <v>EmbeddedBeamRow_5</v>
      </c>
      <c r="K62" t="str">
        <v>EmbeddedBeamRow_6</v>
      </c>
      <c r="L62" t="str">
        <v>EmbeddedBeamRow_7</v>
      </c>
    </row>
    <row r="63" spans="4:12" x14ac:dyDescent="0.25">
      <c r="D63">
        <v>63</v>
      </c>
      <c r="E63" t="str">
        <v>CR113_N_Case6,7_ULS1_1.0EI_SpG_a03BP1.0m</v>
      </c>
      <c r="F63" t="str" cm="1">
        <f t="array" ref="F63:L63">TRANSPOSE(_xlfn._xlws.FILTER(_xlfn.ANCHORARRAY($B$2),_xlfn.ANCHORARRAY($A$2)=$E63))</f>
        <v>EmbeddedBeamRow_1</v>
      </c>
      <c r="G63" t="str">
        <v>EmbeddedBeamRow_2</v>
      </c>
      <c r="H63" t="str">
        <v>EmbeddedBeamRow_3</v>
      </c>
      <c r="I63" t="str">
        <v>EmbeddedBeamRow_4</v>
      </c>
      <c r="J63" t="str">
        <v>EmbeddedBeamRow_5</v>
      </c>
      <c r="K63" t="str">
        <v>EmbeddedBeamRow_6</v>
      </c>
      <c r="L63" t="str">
        <v>EmbeddedBeamRow_7</v>
      </c>
    </row>
    <row r="64" spans="4:12" x14ac:dyDescent="0.25">
      <c r="D64">
        <v>64</v>
      </c>
      <c r="E64" t="str">
        <v>CR113_N_Case6,7_ULS1_1.0EI_SpG_a03BP1.0m</v>
      </c>
      <c r="F64" t="str" cm="1">
        <f t="array" ref="F64:L64">TRANSPOSE(_xlfn._xlws.FILTER(_xlfn.ANCHORARRAY($B$2),_xlfn.ANCHORARRAY($A$2)=$E64))</f>
        <v>EmbeddedBeamRow_1</v>
      </c>
      <c r="G64" t="str">
        <v>EmbeddedBeamRow_2</v>
      </c>
      <c r="H64" t="str">
        <v>EmbeddedBeamRow_3</v>
      </c>
      <c r="I64" t="str">
        <v>EmbeddedBeamRow_4</v>
      </c>
      <c r="J64" t="str">
        <v>EmbeddedBeamRow_5</v>
      </c>
      <c r="K64" t="str">
        <v>EmbeddedBeamRow_6</v>
      </c>
      <c r="L64" t="str">
        <v>EmbeddedBeamRow_7</v>
      </c>
    </row>
    <row r="65" spans="6:6" x14ac:dyDescent="0.25">
      <c r="F65" t="e" cm="1" vm="1">
        <f t="array" ref="F65">TRANSPOSE(_xlfn._xlws.FILTER(_xlfn.ANCHORARRAY($B$2),_xlfn.ANCHORARRAY($A$2)=$E65))</f>
        <v>#VALUE!</v>
      </c>
    </row>
    <row r="66" spans="6:6" x14ac:dyDescent="0.25">
      <c r="F66" t="e" cm="1" vm="1">
        <f t="array" ref="F66">TRANSPOSE(_xlfn._xlws.FILTER(_xlfn.ANCHORARRAY($B$2),_xlfn.ANCHORARRAY($A$2)=$E66))</f>
        <v>#VALUE!</v>
      </c>
    </row>
    <row r="67" spans="6:6" x14ac:dyDescent="0.25">
      <c r="F67" t="e" cm="1" vm="1">
        <f t="array" ref="F67">TRANSPOSE(_xlfn._xlws.FILTER(_xlfn.ANCHORARRAY($B$2),_xlfn.ANCHORARRAY($A$2)=$E67))</f>
        <v>#VALUE!</v>
      </c>
    </row>
    <row r="68" spans="6:6" x14ac:dyDescent="0.25">
      <c r="F68" t="e" cm="1" vm="1">
        <f t="array" ref="F68">TRANSPOSE(_xlfn._xlws.FILTER(_xlfn.ANCHORARRAY($B$2),_xlfn.ANCHORARRAY($A$2)=$E68))</f>
        <v>#VALUE!</v>
      </c>
    </row>
    <row r="69" spans="6:6" x14ac:dyDescent="0.25">
      <c r="F69" t="e" cm="1" vm="1">
        <f t="array" ref="F69">TRANSPOSE(_xlfn._xlws.FILTER(_xlfn.ANCHORARRAY($B$2),_xlfn.ANCHORARRAY($A$2)=$E69))</f>
        <v>#VALUE!</v>
      </c>
    </row>
    <row r="70" spans="6:6" x14ac:dyDescent="0.25">
      <c r="F70" t="e" cm="1" vm="1">
        <f t="array" ref="F70">TRANSPOSE(_xlfn._xlws.FILTER(_xlfn.ANCHORARRAY($B$2),_xlfn.ANCHORARRAY($A$2)=$E70))</f>
        <v>#VALUE!</v>
      </c>
    </row>
    <row r="71" spans="6:6" x14ac:dyDescent="0.25">
      <c r="F71" t="e" cm="1" vm="1">
        <f t="array" ref="F71">TRANSPOSE(_xlfn._xlws.FILTER(_xlfn.ANCHORARRAY($B$2),_xlfn.ANCHORARRAY($A$2)=$E71))</f>
        <v>#VALUE!</v>
      </c>
    </row>
    <row r="72" spans="6:6" x14ac:dyDescent="0.25">
      <c r="F72" t="e" cm="1" vm="1">
        <f t="array" ref="F72">TRANSPOSE(_xlfn._xlws.FILTER(_xlfn.ANCHORARRAY($B$2),_xlfn.ANCHORARRAY($A$2)=$E72))</f>
        <v>#VALUE!</v>
      </c>
    </row>
    <row r="73" spans="6:6" x14ac:dyDescent="0.25">
      <c r="F73" t="e" cm="1" vm="1">
        <f t="array" ref="F73">TRANSPOSE(_xlfn._xlws.FILTER(_xlfn.ANCHORARRAY($B$2),_xlfn.ANCHORARRAY($A$2)=$E73))</f>
        <v>#VALUE!</v>
      </c>
    </row>
    <row r="74" spans="6:6" x14ac:dyDescent="0.25">
      <c r="F74" t="e" cm="1" vm="1">
        <f t="array" ref="F74">TRANSPOSE(_xlfn._xlws.FILTER(_xlfn.ANCHORARRAY($B$2),_xlfn.ANCHORARRAY($A$2)=$E74))</f>
        <v>#VALUE!</v>
      </c>
    </row>
    <row r="75" spans="6:6" x14ac:dyDescent="0.25">
      <c r="F75" t="e" cm="1" vm="1">
        <f t="array" ref="F75">TRANSPOSE(_xlfn._xlws.FILTER(_xlfn.ANCHORARRAY($B$2),_xlfn.ANCHORARRAY($A$2)=$E75))</f>
        <v>#VALUE!</v>
      </c>
    </row>
    <row r="76" spans="6:6" x14ac:dyDescent="0.25">
      <c r="F76" t="e" cm="1" vm="1">
        <f t="array" ref="F76">TRANSPOSE(_xlfn._xlws.FILTER(_xlfn.ANCHORARRAY($B$2),_xlfn.ANCHORARRAY($A$2)=$E76))</f>
        <v>#VALUE!</v>
      </c>
    </row>
    <row r="77" spans="6:6" x14ac:dyDescent="0.25">
      <c r="F77" t="e" cm="1" vm="1">
        <f t="array" ref="F77">TRANSPOSE(_xlfn._xlws.FILTER(_xlfn.ANCHORARRAY($B$2),_xlfn.ANCHORARRAY($A$2)=$E77))</f>
        <v>#VALUE!</v>
      </c>
    </row>
    <row r="78" spans="6:6" x14ac:dyDescent="0.25">
      <c r="F78" t="e" cm="1" vm="1">
        <f t="array" ref="F78">TRANSPOSE(_xlfn._xlws.FILTER(_xlfn.ANCHORARRAY($B$2),_xlfn.ANCHORARRAY($A$2)=$E78))</f>
        <v>#VALUE!</v>
      </c>
    </row>
    <row r="79" spans="6:6" x14ac:dyDescent="0.25">
      <c r="F79" t="e" cm="1" vm="1">
        <f t="array" ref="F79">TRANSPOSE(_xlfn._xlws.FILTER(_xlfn.ANCHORARRAY($B$2),_xlfn.ANCHORARRAY($A$2)=$E79))</f>
        <v>#VALUE!</v>
      </c>
    </row>
    <row r="80" spans="6:6" x14ac:dyDescent="0.25">
      <c r="F80" t="e" cm="1" vm="1">
        <f t="array" ref="F80">TRANSPOSE(_xlfn._xlws.FILTER(_xlfn.ANCHORARRAY($B$2),_xlfn.ANCHORARRAY($A$2)=$E80))</f>
        <v>#VALUE!</v>
      </c>
    </row>
    <row r="81" spans="6:6" x14ac:dyDescent="0.25">
      <c r="F81" t="e" cm="1" vm="1">
        <f t="array" ref="F81">TRANSPOSE(_xlfn._xlws.FILTER(_xlfn.ANCHORARRAY($B$2),_xlfn.ANCHORARRAY($A$2)=$E81))</f>
        <v>#VALUE!</v>
      </c>
    </row>
    <row r="82" spans="6:6" x14ac:dyDescent="0.25">
      <c r="F82" t="e" cm="1" vm="1">
        <f t="array" ref="F82">TRANSPOSE(_xlfn._xlws.FILTER(_xlfn.ANCHORARRAY($B$2),_xlfn.ANCHORARRAY($A$2)=$E82))</f>
        <v>#VALUE!</v>
      </c>
    </row>
    <row r="83" spans="6:6" x14ac:dyDescent="0.25">
      <c r="F83" t="e" cm="1" vm="1">
        <f t="array" ref="F83">TRANSPOSE(_xlfn._xlws.FILTER(_xlfn.ANCHORARRAY($B$2),_xlfn.ANCHORARRAY($A$2)=$E83))</f>
        <v>#VALUE!</v>
      </c>
    </row>
    <row r="84" spans="6:6" x14ac:dyDescent="0.25">
      <c r="F84" t="e" cm="1" vm="1">
        <f t="array" ref="F84">TRANSPOSE(_xlfn._xlws.FILTER(_xlfn.ANCHORARRAY($B$2),_xlfn.ANCHORARRAY($A$2)=$E84))</f>
        <v>#VALUE!</v>
      </c>
    </row>
    <row r="85" spans="6:6" x14ac:dyDescent="0.25">
      <c r="F85" t="e" cm="1" vm="1">
        <f t="array" ref="F85">TRANSPOSE(_xlfn._xlws.FILTER(_xlfn.ANCHORARRAY($B$2),_xlfn.ANCHORARRAY($A$2)=$E85))</f>
        <v>#VALUE!</v>
      </c>
    </row>
    <row r="86" spans="6:6" x14ac:dyDescent="0.25">
      <c r="F86" t="e" cm="1" vm="1">
        <f t="array" ref="F86">TRANSPOSE(_xlfn._xlws.FILTER(_xlfn.ANCHORARRAY($B$2),_xlfn.ANCHORARRAY($A$2)=$E86))</f>
        <v>#VALUE!</v>
      </c>
    </row>
    <row r="87" spans="6:6" x14ac:dyDescent="0.25">
      <c r="F87" t="e" cm="1" vm="1">
        <f t="array" ref="F87">TRANSPOSE(_xlfn._xlws.FILTER(_xlfn.ANCHORARRAY($B$2),_xlfn.ANCHORARRAY($A$2)=$E87))</f>
        <v>#VALUE!</v>
      </c>
    </row>
    <row r="88" spans="6:6" x14ac:dyDescent="0.25">
      <c r="F88" t="e" cm="1" vm="1">
        <f t="array" ref="F88">TRANSPOSE(_xlfn._xlws.FILTER(_xlfn.ANCHORARRAY($B$2),_xlfn.ANCHORARRAY($A$2)=$E88))</f>
        <v>#VALUE!</v>
      </c>
    </row>
    <row r="89" spans="6:6" x14ac:dyDescent="0.25">
      <c r="F89" t="e" cm="1" vm="1">
        <f t="array" ref="F89">TRANSPOSE(_xlfn._xlws.FILTER(_xlfn.ANCHORARRAY($B$2),_xlfn.ANCHORARRAY($A$2)=$E89))</f>
        <v>#VALUE!</v>
      </c>
    </row>
    <row r="90" spans="6:6" x14ac:dyDescent="0.25">
      <c r="F90" t="e" cm="1" vm="1">
        <f t="array" ref="F90">TRANSPOSE(_xlfn._xlws.FILTER(_xlfn.ANCHORARRAY($B$2),_xlfn.ANCHORARRAY($A$2)=$E90))</f>
        <v>#VALUE!</v>
      </c>
    </row>
    <row r="91" spans="6:6" x14ac:dyDescent="0.25">
      <c r="F91" t="e" cm="1" vm="1">
        <f t="array" ref="F91">TRANSPOSE(_xlfn._xlws.FILTER(_xlfn.ANCHORARRAY($B$2),_xlfn.ANCHORARRAY($A$2)=$E91))</f>
        <v>#VALUE!</v>
      </c>
    </row>
    <row r="92" spans="6:6" x14ac:dyDescent="0.25">
      <c r="F92" t="e" cm="1" vm="1">
        <f t="array" ref="F92">TRANSPOSE(_xlfn._xlws.FILTER(_xlfn.ANCHORARRAY($B$2),_xlfn.ANCHORARRAY($A$2)=$E92))</f>
        <v>#VALUE!</v>
      </c>
    </row>
    <row r="93" spans="6:6" x14ac:dyDescent="0.25">
      <c r="F93" t="e" cm="1" vm="1">
        <f t="array" ref="F93">TRANSPOSE(_xlfn._xlws.FILTER(_xlfn.ANCHORARRAY($B$2),_xlfn.ANCHORARRAY($A$2)=$E93))</f>
        <v>#VALUE!</v>
      </c>
    </row>
    <row r="94" spans="6:6" x14ac:dyDescent="0.25">
      <c r="F94" t="e" cm="1" vm="1">
        <f t="array" ref="F94">TRANSPOSE(_xlfn._xlws.FILTER(_xlfn.ANCHORARRAY($B$2),_xlfn.ANCHORARRAY($A$2)=$E94))</f>
        <v>#VALUE!</v>
      </c>
    </row>
    <row r="95" spans="6:6" x14ac:dyDescent="0.25">
      <c r="F95" t="e" cm="1" vm="1">
        <f t="array" ref="F95">TRANSPOSE(_xlfn._xlws.FILTER(_xlfn.ANCHORARRAY($B$2),_xlfn.ANCHORARRAY($A$2)=$E95))</f>
        <v>#VALUE!</v>
      </c>
    </row>
    <row r="96" spans="6:6" x14ac:dyDescent="0.25">
      <c r="F96" t="e" cm="1" vm="1">
        <f t="array" ref="F96">TRANSPOSE(_xlfn._xlws.FILTER(_xlfn.ANCHORARRAY($B$2),_xlfn.ANCHORARRAY($A$2)=$E96))</f>
        <v>#VALUE!</v>
      </c>
    </row>
    <row r="97" spans="6:6" x14ac:dyDescent="0.25">
      <c r="F97" t="e" cm="1" vm="1">
        <f t="array" ref="F97">TRANSPOSE(_xlfn._xlws.FILTER(_xlfn.ANCHORARRAY($B$2),_xlfn.ANCHORARRAY($A$2)=$E97))</f>
        <v>#VALUE!</v>
      </c>
    </row>
    <row r="98" spans="6:6" x14ac:dyDescent="0.25">
      <c r="F98" t="e" cm="1" vm="1">
        <f t="array" ref="F98">TRANSPOSE(_xlfn._xlws.FILTER(_xlfn.ANCHORARRAY($B$2),_xlfn.ANCHORARRAY($A$2)=$E98))</f>
        <v>#VALUE!</v>
      </c>
    </row>
    <row r="99" spans="6:6" x14ac:dyDescent="0.25">
      <c r="F99" t="e" cm="1" vm="1">
        <f t="array" ref="F99">TRANSPOSE(_xlfn._xlws.FILTER(_xlfn.ANCHORARRAY($B$2),_xlfn.ANCHORARRAY($A$2)=$E99))</f>
        <v>#VALUE!</v>
      </c>
    </row>
    <row r="100" spans="6:6" x14ac:dyDescent="0.25">
      <c r="F100" t="e" cm="1" vm="1">
        <f t="array" ref="F100">TRANSPOSE(_xlfn._xlws.FILTER(_xlfn.ANCHORARRAY($B$2),_xlfn.ANCHORARRAY($A$2)=$E100))</f>
        <v>#VALUE!</v>
      </c>
    </row>
    <row r="101" spans="6:6" x14ac:dyDescent="0.25">
      <c r="F101" t="e" cm="1" vm="1">
        <f t="array" ref="F101">TRANSPOSE(_xlfn._xlws.FILTER(_xlfn.ANCHORARRAY($B$2),_xlfn.ANCHORARRAY($A$2)=$E101))</f>
        <v>#VALUE!</v>
      </c>
    </row>
    <row r="102" spans="6:6" x14ac:dyDescent="0.25">
      <c r="F102" t="e" cm="1" vm="1">
        <f t="array" ref="F102">TRANSPOSE(_xlfn._xlws.FILTER(_xlfn.ANCHORARRAY($B$2),_xlfn.ANCHORARRAY($A$2)=$E102))</f>
        <v>#VALUE!</v>
      </c>
    </row>
    <row r="103" spans="6:6" x14ac:dyDescent="0.25">
      <c r="F103" t="e" cm="1" vm="1">
        <f t="array" ref="F103">TRANSPOSE(_xlfn._xlws.FILTER(_xlfn.ANCHORARRAY($B$2),_xlfn.ANCHORARRAY($A$2)=$E103))</f>
        <v>#VALUE!</v>
      </c>
    </row>
    <row r="104" spans="6:6" x14ac:dyDescent="0.25">
      <c r="F104" t="e" cm="1" vm="1">
        <f t="array" ref="F104">TRANSPOSE(_xlfn._xlws.FILTER(_xlfn.ANCHORARRAY($B$2),_xlfn.ANCHORARRAY($A$2)=$E104))</f>
        <v>#VALUE!</v>
      </c>
    </row>
    <row r="105" spans="6:6" x14ac:dyDescent="0.25">
      <c r="F105" t="e" cm="1" vm="1">
        <f t="array" ref="F105">TRANSPOSE(_xlfn._xlws.FILTER(_xlfn.ANCHORARRAY($B$2),_xlfn.ANCHORARRAY($A$2)=$E105))</f>
        <v>#VALUE!</v>
      </c>
    </row>
    <row r="106" spans="6:6" x14ac:dyDescent="0.25">
      <c r="F106" t="e" cm="1" vm="1">
        <f t="array" ref="F106">TRANSPOSE(_xlfn._xlws.FILTER(_xlfn.ANCHORARRAY($B$2),_xlfn.ANCHORARRAY($A$2)=$E106))</f>
        <v>#VALUE!</v>
      </c>
    </row>
    <row r="107" spans="6:6" x14ac:dyDescent="0.25">
      <c r="F107" t="e" cm="1" vm="1">
        <f t="array" ref="F107">TRANSPOSE(_xlfn._xlws.FILTER(_xlfn.ANCHORARRAY($B$2),_xlfn.ANCHORARRAY($A$2)=$E107))</f>
        <v>#VALUE!</v>
      </c>
    </row>
    <row r="108" spans="6:6" x14ac:dyDescent="0.25">
      <c r="F108" t="e" cm="1" vm="1">
        <f t="array" ref="F108">TRANSPOSE(_xlfn._xlws.FILTER(_xlfn.ANCHORARRAY($B$2),_xlfn.ANCHORARRAY($A$2)=$E108))</f>
        <v>#VALUE!</v>
      </c>
    </row>
    <row r="109" spans="6:6" x14ac:dyDescent="0.25">
      <c r="F109" t="e" cm="1" vm="1">
        <f t="array" ref="F109">TRANSPOSE(_xlfn._xlws.FILTER(_xlfn.ANCHORARRAY($B$2),_xlfn.ANCHORARRAY($A$2)=$E109))</f>
        <v>#VALUE!</v>
      </c>
    </row>
    <row r="110" spans="6:6" x14ac:dyDescent="0.25">
      <c r="F110" t="e" cm="1" vm="1">
        <f t="array" ref="F110">TRANSPOSE(_xlfn._xlws.FILTER(_xlfn.ANCHORARRAY($B$2),_xlfn.ANCHORARRAY($A$2)=$E110))</f>
        <v>#VALUE!</v>
      </c>
    </row>
    <row r="111" spans="6:6" x14ac:dyDescent="0.25">
      <c r="F111" t="e" cm="1" vm="1">
        <f t="array" ref="F111">TRANSPOSE(_xlfn._xlws.FILTER(_xlfn.ANCHORARRAY($B$2),_xlfn.ANCHORARRAY($A$2)=$E111))</f>
        <v>#VALUE!</v>
      </c>
    </row>
    <row r="112" spans="6:6" x14ac:dyDescent="0.25">
      <c r="F112" t="e" cm="1" vm="1">
        <f t="array" ref="F112">TRANSPOSE(_xlfn._xlws.FILTER(_xlfn.ANCHORARRAY($B$2),_xlfn.ANCHORARRAY($A$2)=$E112))</f>
        <v>#VALUE!</v>
      </c>
    </row>
    <row r="113" spans="6:6" x14ac:dyDescent="0.25">
      <c r="F113" t="e" cm="1" vm="1">
        <f t="array" ref="F113">TRANSPOSE(_xlfn._xlws.FILTER(_xlfn.ANCHORARRAY($B$2),_xlfn.ANCHORARRAY($A$2)=$E113))</f>
        <v>#VALUE!</v>
      </c>
    </row>
    <row r="114" spans="6:6" x14ac:dyDescent="0.25">
      <c r="F114" t="e" cm="1" vm="1">
        <f t="array" ref="F114">TRANSPOSE(_xlfn._xlws.FILTER(_xlfn.ANCHORARRAY($B$2),_xlfn.ANCHORARRAY($A$2)=$E114))</f>
        <v>#VALUE!</v>
      </c>
    </row>
    <row r="115" spans="6:6" x14ac:dyDescent="0.25">
      <c r="F115" t="e" cm="1" vm="1">
        <f t="array" ref="F115">TRANSPOSE(_xlfn._xlws.FILTER(_xlfn.ANCHORARRAY($B$2),_xlfn.ANCHORARRAY($A$2)=$E115))</f>
        <v>#VALUE!</v>
      </c>
    </row>
    <row r="116" spans="6:6" x14ac:dyDescent="0.25">
      <c r="F116" t="e" cm="1" vm="1">
        <f t="array" ref="F116">TRANSPOSE(_xlfn._xlws.FILTER(_xlfn.ANCHORARRAY($B$2),_xlfn.ANCHORARRAY($A$2)=$E116))</f>
        <v>#VALUE!</v>
      </c>
    </row>
    <row r="117" spans="6:6" x14ac:dyDescent="0.25">
      <c r="F117" t="e" cm="1" vm="1">
        <f t="array" ref="F117">TRANSPOSE(_xlfn._xlws.FILTER(_xlfn.ANCHORARRAY($B$2),_xlfn.ANCHORARRAY($A$2)=$E117))</f>
        <v>#VALUE!</v>
      </c>
    </row>
    <row r="118" spans="6:6" x14ac:dyDescent="0.25">
      <c r="F118" t="e" cm="1" vm="1">
        <f t="array" ref="F118">TRANSPOSE(_xlfn._xlws.FILTER(_xlfn.ANCHORARRAY($B$2),_xlfn.ANCHORARRAY($A$2)=$E118))</f>
        <v>#VALUE!</v>
      </c>
    </row>
    <row r="119" spans="6:6" x14ac:dyDescent="0.25">
      <c r="F119" t="e" cm="1" vm="1">
        <f t="array" ref="F119">TRANSPOSE(_xlfn._xlws.FILTER(_xlfn.ANCHORARRAY($B$2),_xlfn.ANCHORARRAY($A$2)=$E119))</f>
        <v>#VALUE!</v>
      </c>
    </row>
    <row r="120" spans="6:6" x14ac:dyDescent="0.25">
      <c r="F120" t="e" cm="1" vm="1">
        <f t="array" ref="F120">TRANSPOSE(_xlfn._xlws.FILTER(_xlfn.ANCHORARRAY($B$2),_xlfn.ANCHORARRAY($A$2)=$E120))</f>
        <v>#VALUE!</v>
      </c>
    </row>
    <row r="121" spans="6:6" x14ac:dyDescent="0.25">
      <c r="F121" t="e" cm="1" vm="1">
        <f t="array" ref="F121">TRANSPOSE(_xlfn._xlws.FILTER(_xlfn.ANCHORARRAY($B$2),_xlfn.ANCHORARRAY($A$2)=$E121))</f>
        <v>#VALUE!</v>
      </c>
    </row>
    <row r="122" spans="6:6" x14ac:dyDescent="0.25">
      <c r="F122" t="e" cm="1" vm="1">
        <f t="array" ref="F122">TRANSPOSE(_xlfn._xlws.FILTER(_xlfn.ANCHORARRAY($B$2),_xlfn.ANCHORARRAY($A$2)=$E122))</f>
        <v>#VALUE!</v>
      </c>
    </row>
    <row r="123" spans="6:6" x14ac:dyDescent="0.25">
      <c r="F123" t="e" cm="1" vm="1">
        <f t="array" ref="F123">TRANSPOSE(_xlfn._xlws.FILTER(_xlfn.ANCHORARRAY($B$2),_xlfn.ANCHORARRAY($A$2)=$E123))</f>
        <v>#VALUE!</v>
      </c>
    </row>
    <row r="124" spans="6:6" x14ac:dyDescent="0.25">
      <c r="F124" t="e" cm="1" vm="1">
        <f t="array" ref="F124">TRANSPOSE(_xlfn._xlws.FILTER(_xlfn.ANCHORARRAY($B$2),_xlfn.ANCHORARRAY($A$2)=$E124))</f>
        <v>#VALUE!</v>
      </c>
    </row>
    <row r="125" spans="6:6" x14ac:dyDescent="0.25">
      <c r="F125" t="e" cm="1" vm="1">
        <f t="array" ref="F125">TRANSPOSE(_xlfn._xlws.FILTER(_xlfn.ANCHORARRAY($B$2),_xlfn.ANCHORARRAY($A$2)=$E125))</f>
        <v>#VALUE!</v>
      </c>
    </row>
    <row r="126" spans="6:6" x14ac:dyDescent="0.25">
      <c r="F126" t="e" cm="1" vm="1">
        <f t="array" ref="F126">TRANSPOSE(_xlfn._xlws.FILTER(_xlfn.ANCHORARRAY($B$2),_xlfn.ANCHORARRAY($A$2)=$E126))</f>
        <v>#VALUE!</v>
      </c>
    </row>
    <row r="127" spans="6:6" x14ac:dyDescent="0.25">
      <c r="F127" t="e" cm="1" vm="1">
        <f t="array" ref="F127">TRANSPOSE(_xlfn._xlws.FILTER(_xlfn.ANCHORARRAY($B$2),_xlfn.ANCHORARRAY($A$2)=$E127))</f>
        <v>#VALUE!</v>
      </c>
    </row>
    <row r="128" spans="6:6" x14ac:dyDescent="0.25">
      <c r="F128" t="e" cm="1" vm="1">
        <f t="array" ref="F128">TRANSPOSE(_xlfn._xlws.FILTER(_xlfn.ANCHORARRAY($B$2),_xlfn.ANCHORARRAY($A$2)=$E128))</f>
        <v>#VALUE!</v>
      </c>
    </row>
    <row r="129" spans="6:6" x14ac:dyDescent="0.25">
      <c r="F129" t="e" cm="1" vm="1">
        <f t="array" ref="F129">TRANSPOSE(_xlfn._xlws.FILTER(_xlfn.ANCHORARRAY($B$2),_xlfn.ANCHORARRAY($A$2)=$E129))</f>
        <v>#VALUE!</v>
      </c>
    </row>
    <row r="130" spans="6:6" x14ac:dyDescent="0.25">
      <c r="F130" t="e" cm="1" vm="1">
        <f t="array" ref="F130">TRANSPOSE(_xlfn._xlws.FILTER(_xlfn.ANCHORARRAY($B$2),_xlfn.ANCHORARRAY($A$2)=$E130))</f>
        <v>#VALUE!</v>
      </c>
    </row>
    <row r="131" spans="6:6" x14ac:dyDescent="0.25">
      <c r="F131" t="e" cm="1" vm="1">
        <f t="array" ref="F131">TRANSPOSE(_xlfn._xlws.FILTER(_xlfn.ANCHORARRAY($B$2),_xlfn.ANCHORARRAY($A$2)=$E131))</f>
        <v>#VALUE!</v>
      </c>
    </row>
    <row r="132" spans="6:6" x14ac:dyDescent="0.25">
      <c r="F132" t="e" cm="1" vm="1">
        <f t="array" ref="F132">TRANSPOSE(_xlfn._xlws.FILTER(_xlfn.ANCHORARRAY($B$2),_xlfn.ANCHORARRAY($A$2)=$E132))</f>
        <v>#VALUE!</v>
      </c>
    </row>
    <row r="133" spans="6:6" x14ac:dyDescent="0.25">
      <c r="F133" t="e" cm="1" vm="1">
        <f t="array" ref="F133">TRANSPOSE(_xlfn._xlws.FILTER(_xlfn.ANCHORARRAY($B$2),_xlfn.ANCHORARRAY($A$2)=$E133))</f>
        <v>#VALUE!</v>
      </c>
    </row>
    <row r="134" spans="6:6" x14ac:dyDescent="0.25">
      <c r="F134" t="e" cm="1" vm="1">
        <f t="array" ref="F134">TRANSPOSE(_xlfn._xlws.FILTER(_xlfn.ANCHORARRAY($B$2),_xlfn.ANCHORARRAY($A$2)=$E134))</f>
        <v>#VALUE!</v>
      </c>
    </row>
    <row r="135" spans="6:6" x14ac:dyDescent="0.25">
      <c r="F135" t="e" cm="1" vm="1">
        <f t="array" ref="F135">TRANSPOSE(_xlfn._xlws.FILTER(_xlfn.ANCHORARRAY($B$2),_xlfn.ANCHORARRAY($A$2)=$E135))</f>
        <v>#VALUE!</v>
      </c>
    </row>
    <row r="136" spans="6:6" x14ac:dyDescent="0.25">
      <c r="F136" t="e" cm="1" vm="1">
        <f t="array" ref="F136">TRANSPOSE(_xlfn._xlws.FILTER(_xlfn.ANCHORARRAY($B$2),_xlfn.ANCHORARRAY($A$2)=$E136))</f>
        <v>#VALUE!</v>
      </c>
    </row>
    <row r="137" spans="6:6" x14ac:dyDescent="0.25">
      <c r="F137" t="e" cm="1" vm="1">
        <f t="array" ref="F137">TRANSPOSE(_xlfn._xlws.FILTER(_xlfn.ANCHORARRAY($B$2),_xlfn.ANCHORARRAY($A$2)=$E137))</f>
        <v>#VALUE!</v>
      </c>
    </row>
    <row r="138" spans="6:6" x14ac:dyDescent="0.25">
      <c r="F138" t="e" cm="1" vm="1">
        <f t="array" ref="F138">TRANSPOSE(_xlfn._xlws.FILTER(_xlfn.ANCHORARRAY($B$2),_xlfn.ANCHORARRAY($A$2)=$E138))</f>
        <v>#VALUE!</v>
      </c>
    </row>
    <row r="139" spans="6:6" x14ac:dyDescent="0.25">
      <c r="F139" t="e" cm="1" vm="1">
        <f t="array" ref="F139">TRANSPOSE(_xlfn._xlws.FILTER(_xlfn.ANCHORARRAY($B$2),_xlfn.ANCHORARRAY($A$2)=$E139))</f>
        <v>#VALUE!</v>
      </c>
    </row>
    <row r="140" spans="6:6" x14ac:dyDescent="0.25">
      <c r="F140" t="e" cm="1" vm="1">
        <f t="array" ref="F140">TRANSPOSE(_xlfn._xlws.FILTER(_xlfn.ANCHORARRAY($B$2),_xlfn.ANCHORARRAY($A$2)=$E140))</f>
        <v>#VALUE!</v>
      </c>
    </row>
    <row r="141" spans="6:6" x14ac:dyDescent="0.25">
      <c r="F141" t="e" cm="1" vm="1">
        <f t="array" ref="F141">TRANSPOSE(_xlfn._xlws.FILTER(_xlfn.ANCHORARRAY($B$2),_xlfn.ANCHORARRAY($A$2)=$E141))</f>
        <v>#VALUE!</v>
      </c>
    </row>
    <row r="142" spans="6:6" x14ac:dyDescent="0.25">
      <c r="F142" t="e" cm="1" vm="1">
        <f t="array" ref="F142">TRANSPOSE(_xlfn._xlws.FILTER(_xlfn.ANCHORARRAY($B$2),_xlfn.ANCHORARRAY($A$2)=$E142))</f>
        <v>#VALUE!</v>
      </c>
    </row>
    <row r="143" spans="6:6" x14ac:dyDescent="0.25">
      <c r="F143" t="e" cm="1" vm="1">
        <f t="array" ref="F143">TRANSPOSE(_xlfn._xlws.FILTER(_xlfn.ANCHORARRAY($B$2),_xlfn.ANCHORARRAY($A$2)=$E143))</f>
        <v>#VALUE!</v>
      </c>
    </row>
    <row r="144" spans="6:6" x14ac:dyDescent="0.25">
      <c r="F144" t="e" cm="1" vm="1">
        <f t="array" ref="F144">TRANSPOSE(_xlfn._xlws.FILTER(_xlfn.ANCHORARRAY($B$2),_xlfn.ANCHORARRAY($A$2)=$E144))</f>
        <v>#VALUE!</v>
      </c>
    </row>
    <row r="145" spans="6:6" x14ac:dyDescent="0.25">
      <c r="F145" t="e" cm="1" vm="1">
        <f t="array" ref="F145">TRANSPOSE(_xlfn._xlws.FILTER(_xlfn.ANCHORARRAY($B$2),_xlfn.ANCHORARRAY($A$2)=$E145))</f>
        <v>#VALUE!</v>
      </c>
    </row>
    <row r="146" spans="6:6" x14ac:dyDescent="0.25">
      <c r="F146" t="e" cm="1" vm="1">
        <f t="array" ref="F146">TRANSPOSE(_xlfn._xlws.FILTER(_xlfn.ANCHORARRAY($B$2),_xlfn.ANCHORARRAY($A$2)=$E146))</f>
        <v>#VALUE!</v>
      </c>
    </row>
    <row r="147" spans="6:6" x14ac:dyDescent="0.25">
      <c r="F147" t="e" cm="1" vm="1">
        <f t="array" ref="F147">TRANSPOSE(_xlfn._xlws.FILTER(_xlfn.ANCHORARRAY($B$2),_xlfn.ANCHORARRAY($A$2)=$E147))</f>
        <v>#VALUE!</v>
      </c>
    </row>
    <row r="148" spans="6:6" x14ac:dyDescent="0.25">
      <c r="F148" t="e" cm="1" vm="1">
        <f t="array" ref="F148">TRANSPOSE(_xlfn._xlws.FILTER(_xlfn.ANCHORARRAY($B$2),_xlfn.ANCHORARRAY($A$2)=$E148))</f>
        <v>#VALUE!</v>
      </c>
    </row>
    <row r="149" spans="6:6" x14ac:dyDescent="0.25">
      <c r="F149" t="e" cm="1" vm="1">
        <f t="array" ref="F149">TRANSPOSE(_xlfn._xlws.FILTER(_xlfn.ANCHORARRAY($B$2),_xlfn.ANCHORARRAY($A$2)=$E149))</f>
        <v>#VALUE!</v>
      </c>
    </row>
    <row r="150" spans="6:6" x14ac:dyDescent="0.25">
      <c r="F150" t="e" cm="1" vm="1">
        <f t="array" ref="F150">TRANSPOSE(_xlfn._xlws.FILTER(_xlfn.ANCHORARRAY($B$2),_xlfn.ANCHORARRAY($A$2)=$E150))</f>
        <v>#VALUE!</v>
      </c>
    </row>
    <row r="151" spans="6:6" x14ac:dyDescent="0.25">
      <c r="F151" t="e" cm="1" vm="1">
        <f t="array" ref="F151">TRANSPOSE(_xlfn._xlws.FILTER(_xlfn.ANCHORARRAY($B$2),_xlfn.ANCHORARRAY($A$2)=$E151))</f>
        <v>#VALUE!</v>
      </c>
    </row>
    <row r="152" spans="6:6" x14ac:dyDescent="0.25">
      <c r="F152" t="e" cm="1" vm="1">
        <f t="array" ref="F152">TRANSPOSE(_xlfn._xlws.FILTER(_xlfn.ANCHORARRAY($B$2),_xlfn.ANCHORARRAY($A$2)=$E152))</f>
        <v>#VALUE!</v>
      </c>
    </row>
    <row r="153" spans="6:6" x14ac:dyDescent="0.25">
      <c r="F153" t="e" cm="1" vm="1">
        <f t="array" ref="F153">TRANSPOSE(_xlfn._xlws.FILTER(_xlfn.ANCHORARRAY($B$2),_xlfn.ANCHORARRAY($A$2)=$E153))</f>
        <v>#VALUE!</v>
      </c>
    </row>
    <row r="154" spans="6:6" x14ac:dyDescent="0.25">
      <c r="F154" t="e" cm="1" vm="1">
        <f t="array" ref="F154">TRANSPOSE(_xlfn._xlws.FILTER(_xlfn.ANCHORARRAY($B$2),_xlfn.ANCHORARRAY($A$2)=$E154))</f>
        <v>#VALUE!</v>
      </c>
    </row>
    <row r="155" spans="6:6" x14ac:dyDescent="0.25">
      <c r="F155" t="e" cm="1" vm="1">
        <f t="array" ref="F155">TRANSPOSE(_xlfn._xlws.FILTER(_xlfn.ANCHORARRAY($B$2),_xlfn.ANCHORARRAY($A$2)=$E155))</f>
        <v>#VALUE!</v>
      </c>
    </row>
    <row r="156" spans="6:6" x14ac:dyDescent="0.25">
      <c r="F156" t="e" cm="1" vm="1">
        <f t="array" ref="F156">TRANSPOSE(_xlfn._xlws.FILTER(_xlfn.ANCHORARRAY($B$2),_xlfn.ANCHORARRAY($A$2)=$E156))</f>
        <v>#VALUE!</v>
      </c>
    </row>
    <row r="157" spans="6:6" x14ac:dyDescent="0.25">
      <c r="F157" t="e" cm="1" vm="1">
        <f t="array" ref="F157">TRANSPOSE(_xlfn._xlws.FILTER(_xlfn.ANCHORARRAY($B$2),_xlfn.ANCHORARRAY($A$2)=$E157))</f>
        <v>#VALUE!</v>
      </c>
    </row>
    <row r="158" spans="6:6" x14ac:dyDescent="0.25">
      <c r="F158" t="e" cm="1" vm="1">
        <f t="array" ref="F158">TRANSPOSE(_xlfn._xlws.FILTER(_xlfn.ANCHORARRAY($B$2),_xlfn.ANCHORARRAY($A$2)=$E158))</f>
        <v>#VALUE!</v>
      </c>
    </row>
    <row r="159" spans="6:6" x14ac:dyDescent="0.25">
      <c r="F159" t="e" cm="1" vm="1">
        <f t="array" ref="F159">TRANSPOSE(_xlfn._xlws.FILTER(_xlfn.ANCHORARRAY($B$2),_xlfn.ANCHORARRAY($A$2)=$E159))</f>
        <v>#VALUE!</v>
      </c>
    </row>
    <row r="160" spans="6:6" x14ac:dyDescent="0.25">
      <c r="F160" t="e" cm="1" vm="1">
        <f t="array" ref="F160">TRANSPOSE(_xlfn._xlws.FILTER(_xlfn.ANCHORARRAY($B$2),_xlfn.ANCHORARRAY($A$2)=$E160))</f>
        <v>#VALUE!</v>
      </c>
    </row>
    <row r="161" spans="6:6" x14ac:dyDescent="0.25">
      <c r="F161" t="e" cm="1" vm="1">
        <f t="array" ref="F161">TRANSPOSE(_xlfn._xlws.FILTER(_xlfn.ANCHORARRAY($B$2),_xlfn.ANCHORARRAY($A$2)=$E161))</f>
        <v>#VALUE!</v>
      </c>
    </row>
    <row r="162" spans="6:6" x14ac:dyDescent="0.25">
      <c r="F162" t="e" cm="1" vm="1">
        <f t="array" ref="F162">TRANSPOSE(_xlfn._xlws.FILTER(_xlfn.ANCHORARRAY($B$2),_xlfn.ANCHORARRAY($A$2)=$E162))</f>
        <v>#VALUE!</v>
      </c>
    </row>
    <row r="163" spans="6:6" x14ac:dyDescent="0.25">
      <c r="F163" t="e" cm="1" vm="1">
        <f t="array" ref="F163">TRANSPOSE(_xlfn._xlws.FILTER(_xlfn.ANCHORARRAY($B$2),_xlfn.ANCHORARRAY($A$2)=$E163))</f>
        <v>#VALUE!</v>
      </c>
    </row>
    <row r="164" spans="6:6" x14ac:dyDescent="0.25">
      <c r="F164" t="e" cm="1" vm="1">
        <f t="array" ref="F164">TRANSPOSE(_xlfn._xlws.FILTER(_xlfn.ANCHORARRAY($B$2),_xlfn.ANCHORARRAY($A$2)=$E164))</f>
        <v>#VALUE!</v>
      </c>
    </row>
    <row r="165" spans="6:6" x14ac:dyDescent="0.25">
      <c r="F165" t="e" cm="1" vm="1">
        <f t="array" ref="F165">TRANSPOSE(_xlfn._xlws.FILTER(_xlfn.ANCHORARRAY($B$2),_xlfn.ANCHORARRAY($A$2)=$E165))</f>
        <v>#VALUE!</v>
      </c>
    </row>
    <row r="166" spans="6:6" x14ac:dyDescent="0.25">
      <c r="F166" t="e" cm="1" vm="1">
        <f t="array" ref="F166">TRANSPOSE(_xlfn._xlws.FILTER(_xlfn.ANCHORARRAY($B$2),_xlfn.ANCHORARRAY($A$2)=$E166))</f>
        <v>#VALUE!</v>
      </c>
    </row>
    <row r="167" spans="6:6" x14ac:dyDescent="0.25">
      <c r="F167" t="e" cm="1" vm="1">
        <f t="array" ref="F167">TRANSPOSE(_xlfn._xlws.FILTER(_xlfn.ANCHORARRAY($B$2),_xlfn.ANCHORARRAY($A$2)=$E167))</f>
        <v>#VALUE!</v>
      </c>
    </row>
    <row r="168" spans="6:6" x14ac:dyDescent="0.25">
      <c r="F168" t="e" cm="1" vm="1">
        <f t="array" ref="F168">TRANSPOSE(_xlfn._xlws.FILTER(_xlfn.ANCHORARRAY($B$2),_xlfn.ANCHORARRAY($A$2)=$E168))</f>
        <v>#VALUE!</v>
      </c>
    </row>
    <row r="169" spans="6:6" x14ac:dyDescent="0.25">
      <c r="F169" t="e" cm="1" vm="1">
        <f t="array" ref="F169">TRANSPOSE(_xlfn._xlws.FILTER(_xlfn.ANCHORARRAY($B$2),_xlfn.ANCHORARRAY($A$2)=$E169))</f>
        <v>#VALUE!</v>
      </c>
    </row>
    <row r="170" spans="6:6" x14ac:dyDescent="0.25">
      <c r="F170" t="e" cm="1" vm="1">
        <f t="array" ref="F170">TRANSPOSE(_xlfn._xlws.FILTER(_xlfn.ANCHORARRAY($B$2),_xlfn.ANCHORARRAY($A$2)=$E170))</f>
        <v>#VALUE!</v>
      </c>
    </row>
    <row r="171" spans="6:6" x14ac:dyDescent="0.25">
      <c r="F171" t="e" cm="1" vm="1">
        <f t="array" ref="F171">TRANSPOSE(_xlfn._xlws.FILTER(_xlfn.ANCHORARRAY($B$2),_xlfn.ANCHORARRAY($A$2)=$E171))</f>
        <v>#VALUE!</v>
      </c>
    </row>
    <row r="172" spans="6:6" x14ac:dyDescent="0.25">
      <c r="F172" t="e" cm="1" vm="1">
        <f t="array" ref="F172">TRANSPOSE(_xlfn._xlws.FILTER(_xlfn.ANCHORARRAY($B$2),_xlfn.ANCHORARRAY($A$2)=$E172))</f>
        <v>#VALUE!</v>
      </c>
    </row>
    <row r="173" spans="6:6" x14ac:dyDescent="0.25">
      <c r="F173" t="e" cm="1" vm="1">
        <f t="array" ref="F173">TRANSPOSE(_xlfn._xlws.FILTER(_xlfn.ANCHORARRAY($B$2),_xlfn.ANCHORARRAY($A$2)=$E173))</f>
        <v>#VALUE!</v>
      </c>
    </row>
    <row r="174" spans="6:6" x14ac:dyDescent="0.25">
      <c r="F174" t="e" cm="1" vm="1">
        <f t="array" ref="F174">TRANSPOSE(_xlfn._xlws.FILTER(_xlfn.ANCHORARRAY($B$2),_xlfn.ANCHORARRAY($A$2)=$E174))</f>
        <v>#VALUE!</v>
      </c>
    </row>
    <row r="175" spans="6:6" x14ac:dyDescent="0.25">
      <c r="F175" t="e" cm="1" vm="1">
        <f t="array" ref="F175">TRANSPOSE(_xlfn._xlws.FILTER(_xlfn.ANCHORARRAY($B$2),_xlfn.ANCHORARRAY($A$2)=$E175))</f>
        <v>#VALUE!</v>
      </c>
    </row>
    <row r="176" spans="6:6" x14ac:dyDescent="0.25">
      <c r="F176" t="e" cm="1" vm="1">
        <f t="array" ref="F176">TRANSPOSE(_xlfn._xlws.FILTER(_xlfn.ANCHORARRAY($B$2),_xlfn.ANCHORARRAY($A$2)=$E176))</f>
        <v>#VALUE!</v>
      </c>
    </row>
    <row r="177" spans="6:6" x14ac:dyDescent="0.25">
      <c r="F177" t="e" cm="1" vm="1">
        <f t="array" ref="F177">TRANSPOSE(_xlfn._xlws.FILTER(_xlfn.ANCHORARRAY($B$2),_xlfn.ANCHORARRAY($A$2)=$E177))</f>
        <v>#VALUE!</v>
      </c>
    </row>
    <row r="178" spans="6:6" x14ac:dyDescent="0.25">
      <c r="F178" t="e" cm="1" vm="1">
        <f t="array" ref="F178">TRANSPOSE(_xlfn._xlws.FILTER(_xlfn.ANCHORARRAY($B$2),_xlfn.ANCHORARRAY($A$2)=$E178))</f>
        <v>#VALUE!</v>
      </c>
    </row>
    <row r="179" spans="6:6" x14ac:dyDescent="0.25">
      <c r="F179" t="e" cm="1" vm="1">
        <f t="array" ref="F179">TRANSPOSE(_xlfn._xlws.FILTER(_xlfn.ANCHORARRAY($B$2),_xlfn.ANCHORARRAY($A$2)=$E179))</f>
        <v>#VALUE!</v>
      </c>
    </row>
    <row r="180" spans="6:6" x14ac:dyDescent="0.25">
      <c r="F180" t="e" cm="1" vm="1">
        <f t="array" ref="F180">TRANSPOSE(_xlfn._xlws.FILTER(_xlfn.ANCHORARRAY($B$2),_xlfn.ANCHORARRAY($A$2)=$E180))</f>
        <v>#VALUE!</v>
      </c>
    </row>
    <row r="181" spans="6:6" x14ac:dyDescent="0.25">
      <c r="F181" t="e" cm="1" vm="1">
        <f t="array" ref="F181">TRANSPOSE(_xlfn._xlws.FILTER(_xlfn.ANCHORARRAY($B$2),_xlfn.ANCHORARRAY($A$2)=$E181))</f>
        <v>#VALUE!</v>
      </c>
    </row>
    <row r="182" spans="6:6" x14ac:dyDescent="0.25">
      <c r="F182" t="e" cm="1" vm="1">
        <f t="array" ref="F182">TRANSPOSE(_xlfn._xlws.FILTER(_xlfn.ANCHORARRAY($B$2),_xlfn.ANCHORARRAY($A$2)=$E182))</f>
        <v>#VALUE!</v>
      </c>
    </row>
    <row r="183" spans="6:6" x14ac:dyDescent="0.25">
      <c r="F183" t="e" cm="1" vm="1">
        <f t="array" ref="F183">TRANSPOSE(_xlfn._xlws.FILTER(_xlfn.ANCHORARRAY($B$2),_xlfn.ANCHORARRAY($A$2)=$E183))</f>
        <v>#VALUE!</v>
      </c>
    </row>
    <row r="184" spans="6:6" x14ac:dyDescent="0.25">
      <c r="F184" t="e" cm="1" vm="1">
        <f t="array" ref="F184">TRANSPOSE(_xlfn._xlws.FILTER(_xlfn.ANCHORARRAY($B$2),_xlfn.ANCHORARRAY($A$2)=$E184))</f>
        <v>#VALUE!</v>
      </c>
    </row>
    <row r="185" spans="6:6" x14ac:dyDescent="0.25">
      <c r="F185" t="e" cm="1" vm="1">
        <f t="array" ref="F185">TRANSPOSE(_xlfn._xlws.FILTER(_xlfn.ANCHORARRAY($B$2),_xlfn.ANCHORARRAY($A$2)=$E185))</f>
        <v>#VALUE!</v>
      </c>
    </row>
    <row r="186" spans="6:6" x14ac:dyDescent="0.25">
      <c r="F186" t="e" cm="1" vm="1">
        <f t="array" ref="F186">TRANSPOSE(_xlfn._xlws.FILTER(_xlfn.ANCHORARRAY($B$2),_xlfn.ANCHORARRAY($A$2)=$E186))</f>
        <v>#VALUE!</v>
      </c>
    </row>
    <row r="187" spans="6:6" x14ac:dyDescent="0.25">
      <c r="F187" t="e" cm="1" vm="1">
        <f t="array" ref="F187">TRANSPOSE(_xlfn._xlws.FILTER(_xlfn.ANCHORARRAY($B$2),_xlfn.ANCHORARRAY($A$2)=$E187))</f>
        <v>#VALUE!</v>
      </c>
    </row>
    <row r="188" spans="6:6" x14ac:dyDescent="0.25">
      <c r="F188" t="e" cm="1" vm="1">
        <f t="array" ref="F188">TRANSPOSE(_xlfn._xlws.FILTER(_xlfn.ANCHORARRAY($B$2),_xlfn.ANCHORARRAY($A$2)=$E188))</f>
        <v>#VALUE!</v>
      </c>
    </row>
    <row r="189" spans="6:6" x14ac:dyDescent="0.25">
      <c r="F189" t="e" cm="1" vm="1">
        <f t="array" ref="F189">TRANSPOSE(_xlfn._xlws.FILTER(_xlfn.ANCHORARRAY($B$2),_xlfn.ANCHORARRAY($A$2)=$E189))</f>
        <v>#VALUE!</v>
      </c>
    </row>
    <row r="190" spans="6:6" x14ac:dyDescent="0.25">
      <c r="F190" t="e" cm="1" vm="1">
        <f t="array" ref="F190">TRANSPOSE(_xlfn._xlws.FILTER(_xlfn.ANCHORARRAY($B$2),_xlfn.ANCHORARRAY($A$2)=$E190))</f>
        <v>#VALUE!</v>
      </c>
    </row>
    <row r="191" spans="6:6" x14ac:dyDescent="0.25">
      <c r="F191" t="e" cm="1" vm="1">
        <f t="array" ref="F191">TRANSPOSE(_xlfn._xlws.FILTER(_xlfn.ANCHORARRAY($B$2),_xlfn.ANCHORARRAY($A$2)=$E191))</f>
        <v>#VALUE!</v>
      </c>
    </row>
    <row r="192" spans="6:6" x14ac:dyDescent="0.25">
      <c r="F192" t="e" cm="1" vm="1">
        <f t="array" ref="F192">TRANSPOSE(_xlfn._xlws.FILTER(_xlfn.ANCHORARRAY($B$2),_xlfn.ANCHORARRAY($A$2)=$E192))</f>
        <v>#VALUE!</v>
      </c>
    </row>
    <row r="193" spans="6:6" x14ac:dyDescent="0.25">
      <c r="F193" t="e" cm="1" vm="1">
        <f t="array" ref="F193">TRANSPOSE(_xlfn._xlws.FILTER(_xlfn.ANCHORARRAY($B$2),_xlfn.ANCHORARRAY($A$2)=$E193))</f>
        <v>#VALUE!</v>
      </c>
    </row>
    <row r="194" spans="6:6" x14ac:dyDescent="0.25">
      <c r="F194" t="e" cm="1" vm="1">
        <f t="array" ref="F194">TRANSPOSE(_xlfn._xlws.FILTER(_xlfn.ANCHORARRAY($B$2),_xlfn.ANCHORARRAY($A$2)=$E194))</f>
        <v>#VALUE!</v>
      </c>
    </row>
    <row r="195" spans="6:6" x14ac:dyDescent="0.25">
      <c r="F195" t="e" cm="1" vm="1">
        <f t="array" ref="F195">TRANSPOSE(_xlfn._xlws.FILTER(_xlfn.ANCHORARRAY($B$2),_xlfn.ANCHORARRAY($A$2)=$E195))</f>
        <v>#VALUE!</v>
      </c>
    </row>
    <row r="196" spans="6:6" x14ac:dyDescent="0.25">
      <c r="F196" t="e" cm="1" vm="1">
        <f t="array" ref="F196">TRANSPOSE(_xlfn._xlws.FILTER(_xlfn.ANCHORARRAY($B$2),_xlfn.ANCHORARRAY($A$2)=$E196))</f>
        <v>#VALUE!</v>
      </c>
    </row>
    <row r="197" spans="6:6" x14ac:dyDescent="0.25">
      <c r="F197" t="e" cm="1" vm="1">
        <f t="array" ref="F197">TRANSPOSE(_xlfn._xlws.FILTER(_xlfn.ANCHORARRAY($B$2),_xlfn.ANCHORARRAY($A$2)=$E197))</f>
        <v>#VALUE!</v>
      </c>
    </row>
    <row r="198" spans="6:6" x14ac:dyDescent="0.25">
      <c r="F198" t="e" cm="1" vm="1">
        <f t="array" ref="F198">TRANSPOSE(_xlfn._xlws.FILTER(_xlfn.ANCHORARRAY($B$2),_xlfn.ANCHORARRAY($A$2)=$E198))</f>
        <v>#VALUE!</v>
      </c>
    </row>
    <row r="199" spans="6:6" x14ac:dyDescent="0.25">
      <c r="F199" t="e" cm="1" vm="1">
        <f t="array" ref="F199">TRANSPOSE(_xlfn._xlws.FILTER(_xlfn.ANCHORARRAY($B$2),_xlfn.ANCHORARRAY($A$2)=$E199))</f>
        <v>#VALUE!</v>
      </c>
    </row>
    <row r="200" spans="6:6" x14ac:dyDescent="0.25">
      <c r="F200" t="e" cm="1" vm="1">
        <f t="array" ref="F200">TRANSPOSE(_xlfn._xlws.FILTER(_xlfn.ANCHORARRAY($B$2),_xlfn.ANCHORARRAY($A$2)=$E200))</f>
        <v>#VALUE!</v>
      </c>
    </row>
    <row r="201" spans="6:6" x14ac:dyDescent="0.25">
      <c r="F201" t="e" cm="1" vm="1">
        <f t="array" ref="F201">TRANSPOSE(_xlfn._xlws.FILTER(_xlfn.ANCHORARRAY($B$2),_xlfn.ANCHORARRAY($A$2)=$E201))</f>
        <v>#VALUE!</v>
      </c>
    </row>
    <row r="202" spans="6:6" x14ac:dyDescent="0.25">
      <c r="F202" t="e" cm="1" vm="1">
        <f t="array" ref="F202">TRANSPOSE(_xlfn._xlws.FILTER(_xlfn.ANCHORARRAY($B$2),_xlfn.ANCHORARRAY($A$2)=$E202))</f>
        <v>#VALUE!</v>
      </c>
    </row>
    <row r="203" spans="6:6" x14ac:dyDescent="0.25">
      <c r="F203" t="e" cm="1" vm="1">
        <f t="array" ref="F203">TRANSPOSE(_xlfn._xlws.FILTER(_xlfn.ANCHORARRAY($B$2),_xlfn.ANCHORARRAY($A$2)=$E203))</f>
        <v>#VALUE!</v>
      </c>
    </row>
    <row r="204" spans="6:6" x14ac:dyDescent="0.25">
      <c r="F204" t="e" cm="1" vm="1">
        <f t="array" ref="F204">TRANSPOSE(_xlfn._xlws.FILTER(_xlfn.ANCHORARRAY($B$2),_xlfn.ANCHORARRAY($A$2)=$E204))</f>
        <v>#VALUE!</v>
      </c>
    </row>
    <row r="205" spans="6:6" x14ac:dyDescent="0.25">
      <c r="F205" t="e" cm="1" vm="1">
        <f t="array" ref="F205">TRANSPOSE(_xlfn._xlws.FILTER(_xlfn.ANCHORARRAY($B$2),_xlfn.ANCHORARRAY($A$2)=$E205))</f>
        <v>#VALUE!</v>
      </c>
    </row>
    <row r="206" spans="6:6" x14ac:dyDescent="0.25">
      <c r="F206" t="e" cm="1" vm="1">
        <f t="array" ref="F206">TRANSPOSE(_xlfn._xlws.FILTER(_xlfn.ANCHORARRAY($B$2),_xlfn.ANCHORARRAY($A$2)=$E206))</f>
        <v>#VALUE!</v>
      </c>
    </row>
    <row r="207" spans="6:6" x14ac:dyDescent="0.25">
      <c r="F207" t="e" cm="1" vm="1">
        <f t="array" ref="F207">TRANSPOSE(_xlfn._xlws.FILTER(_xlfn.ANCHORARRAY($B$2),_xlfn.ANCHORARRAY($A$2)=$E207))</f>
        <v>#VALUE!</v>
      </c>
    </row>
    <row r="208" spans="6:6" x14ac:dyDescent="0.25">
      <c r="F208" t="e" cm="1" vm="1">
        <f t="array" ref="F208">TRANSPOSE(_xlfn._xlws.FILTER(_xlfn.ANCHORARRAY($B$2),_xlfn.ANCHORARRAY($A$2)=$E208))</f>
        <v>#VALUE!</v>
      </c>
    </row>
    <row r="209" spans="6:6" x14ac:dyDescent="0.25">
      <c r="F209" t="e" cm="1" vm="1">
        <f t="array" ref="F209">TRANSPOSE(_xlfn._xlws.FILTER(_xlfn.ANCHORARRAY($B$2),_xlfn.ANCHORARRAY($A$2)=$E209))</f>
        <v>#VALUE!</v>
      </c>
    </row>
    <row r="210" spans="6:6" x14ac:dyDescent="0.25">
      <c r="F210" t="e" cm="1" vm="1">
        <f t="array" ref="F210">TRANSPOSE(_xlfn._xlws.FILTER(_xlfn.ANCHORARRAY($B$2),_xlfn.ANCHORARRAY($A$2)=$E210))</f>
        <v>#VALUE!</v>
      </c>
    </row>
    <row r="211" spans="6:6" x14ac:dyDescent="0.25">
      <c r="F211" t="e" cm="1" vm="1">
        <f t="array" ref="F211">TRANSPOSE(_xlfn._xlws.FILTER(_xlfn.ANCHORARRAY($B$2),_xlfn.ANCHORARRAY($A$2)=$E211))</f>
        <v>#VALUE!</v>
      </c>
    </row>
    <row r="212" spans="6:6" x14ac:dyDescent="0.25">
      <c r="F212" t="e" cm="1" vm="1">
        <f t="array" ref="F212">TRANSPOSE(_xlfn._xlws.FILTER(_xlfn.ANCHORARRAY($B$2),_xlfn.ANCHORARRAY($A$2)=$E212))</f>
        <v>#VALUE!</v>
      </c>
    </row>
    <row r="213" spans="6:6" x14ac:dyDescent="0.25">
      <c r="F213" t="e" cm="1" vm="1">
        <f t="array" ref="F213">TRANSPOSE(_xlfn._xlws.FILTER(_xlfn.ANCHORARRAY($B$2),_xlfn.ANCHORARRAY($A$2)=$E213))</f>
        <v>#VALUE!</v>
      </c>
    </row>
    <row r="214" spans="6:6" x14ac:dyDescent="0.25">
      <c r="F214" t="e" cm="1" vm="1">
        <f t="array" ref="F214">TRANSPOSE(_xlfn._xlws.FILTER(_xlfn.ANCHORARRAY($B$2),_xlfn.ANCHORARRAY($A$2)=$E214))</f>
        <v>#VALUE!</v>
      </c>
    </row>
    <row r="215" spans="6:6" x14ac:dyDescent="0.25">
      <c r="F215" t="e" cm="1" vm="1">
        <f t="array" ref="F215">TRANSPOSE(_xlfn._xlws.FILTER(_xlfn.ANCHORARRAY($B$2),_xlfn.ANCHORARRAY($A$2)=$E215))</f>
        <v>#VALUE!</v>
      </c>
    </row>
    <row r="216" spans="6:6" x14ac:dyDescent="0.25">
      <c r="F216" t="e" cm="1" vm="1">
        <f t="array" ref="F216">TRANSPOSE(_xlfn._xlws.FILTER(_xlfn.ANCHORARRAY($B$2),_xlfn.ANCHORARRAY($A$2)=$E216))</f>
        <v>#VALUE!</v>
      </c>
    </row>
    <row r="217" spans="6:6" x14ac:dyDescent="0.25">
      <c r="F217" t="e" cm="1" vm="1">
        <f t="array" ref="F217">TRANSPOSE(_xlfn._xlws.FILTER(_xlfn.ANCHORARRAY($B$2),_xlfn.ANCHORARRAY($A$2)=$E217))</f>
        <v>#VALUE!</v>
      </c>
    </row>
    <row r="218" spans="6:6" x14ac:dyDescent="0.25">
      <c r="F218" t="e" cm="1" vm="1">
        <f t="array" ref="F218">TRANSPOSE(_xlfn._xlws.FILTER(_xlfn.ANCHORARRAY($B$2),_xlfn.ANCHORARRAY($A$2)=$E218))</f>
        <v>#VALUE!</v>
      </c>
    </row>
    <row r="219" spans="6:6" x14ac:dyDescent="0.25">
      <c r="F219" t="e" cm="1" vm="1">
        <f t="array" ref="F219">TRANSPOSE(_xlfn._xlws.FILTER(_xlfn.ANCHORARRAY($B$2),_xlfn.ANCHORARRAY($A$2)=$E219))</f>
        <v>#VALUE!</v>
      </c>
    </row>
    <row r="220" spans="6:6" x14ac:dyDescent="0.25">
      <c r="F220" t="e" cm="1" vm="1">
        <f t="array" ref="F220">TRANSPOSE(_xlfn._xlws.FILTER(_xlfn.ANCHORARRAY($B$2),_xlfn.ANCHORARRAY($A$2)=$E220))</f>
        <v>#VALUE!</v>
      </c>
    </row>
    <row r="221" spans="6:6" x14ac:dyDescent="0.25">
      <c r="F221" t="e" cm="1" vm="1">
        <f t="array" ref="F221">TRANSPOSE(_xlfn._xlws.FILTER(_xlfn.ANCHORARRAY($B$2),_xlfn.ANCHORARRAY($A$2)=$E221))</f>
        <v>#VALUE!</v>
      </c>
    </row>
    <row r="222" spans="6:6" x14ac:dyDescent="0.25">
      <c r="F222" t="e" cm="1" vm="1">
        <f t="array" ref="F222">TRANSPOSE(_xlfn._xlws.FILTER(_xlfn.ANCHORARRAY($B$2),_xlfn.ANCHORARRAY($A$2)=$E222))</f>
        <v>#VALUE!</v>
      </c>
    </row>
    <row r="223" spans="6:6" x14ac:dyDescent="0.25">
      <c r="F223" t="e" cm="1" vm="1">
        <f t="array" ref="F223">TRANSPOSE(_xlfn._xlws.FILTER(_xlfn.ANCHORARRAY($B$2),_xlfn.ANCHORARRAY($A$2)=$E223))</f>
        <v>#VALUE!</v>
      </c>
    </row>
    <row r="224" spans="6:6" x14ac:dyDescent="0.25">
      <c r="F224" t="e" cm="1" vm="1">
        <f t="array" ref="F224">TRANSPOSE(_xlfn._xlws.FILTER(_xlfn.ANCHORARRAY($B$2),_xlfn.ANCHORARRAY($A$2)=$E224))</f>
        <v>#VALUE!</v>
      </c>
    </row>
    <row r="225" spans="6:6" x14ac:dyDescent="0.25">
      <c r="F225" t="e" cm="1" vm="1">
        <f t="array" ref="F225">TRANSPOSE(_xlfn._xlws.FILTER(_xlfn.ANCHORARRAY($B$2),_xlfn.ANCHORARRAY($A$2)=$E225))</f>
        <v>#VALUE!</v>
      </c>
    </row>
    <row r="226" spans="6:6" x14ac:dyDescent="0.25">
      <c r="F226" t="e" cm="1" vm="1">
        <f t="array" ref="F226">TRANSPOSE(_xlfn._xlws.FILTER(_xlfn.ANCHORARRAY($B$2),_xlfn.ANCHORARRAY($A$2)=$E226))</f>
        <v>#VALUE!</v>
      </c>
    </row>
    <row r="227" spans="6:6" x14ac:dyDescent="0.25">
      <c r="F227" t="e" cm="1" vm="1">
        <f t="array" ref="F227">TRANSPOSE(_xlfn._xlws.FILTER(_xlfn.ANCHORARRAY($B$2),_xlfn.ANCHORARRAY($A$2)=$E227))</f>
        <v>#VALUE!</v>
      </c>
    </row>
    <row r="228" spans="6:6" x14ac:dyDescent="0.25">
      <c r="F228" t="e" cm="1" vm="1">
        <f t="array" ref="F228">TRANSPOSE(_xlfn._xlws.FILTER(_xlfn.ANCHORARRAY($B$2),_xlfn.ANCHORARRAY($A$2)=$E228))</f>
        <v>#VALUE!</v>
      </c>
    </row>
    <row r="229" spans="6:6" x14ac:dyDescent="0.25">
      <c r="F229" t="e" cm="1" vm="1">
        <f t="array" ref="F229">TRANSPOSE(_xlfn._xlws.FILTER(_xlfn.ANCHORARRAY($B$2),_xlfn.ANCHORARRAY($A$2)=$E229))</f>
        <v>#VALUE!</v>
      </c>
    </row>
    <row r="230" spans="6:6" x14ac:dyDescent="0.25">
      <c r="F230" t="e" cm="1" vm="1">
        <f t="array" ref="F230">TRANSPOSE(_xlfn._xlws.FILTER(_xlfn.ANCHORARRAY($B$2),_xlfn.ANCHORARRAY($A$2)=$E230))</f>
        <v>#VALUE!</v>
      </c>
    </row>
    <row r="231" spans="6:6" x14ac:dyDescent="0.25">
      <c r="F231" t="e" cm="1" vm="1">
        <f t="array" ref="F231">TRANSPOSE(_xlfn._xlws.FILTER(_xlfn.ANCHORARRAY($B$2),_xlfn.ANCHORARRAY($A$2)=$E231))</f>
        <v>#VALUE!</v>
      </c>
    </row>
    <row r="232" spans="6:6" x14ac:dyDescent="0.25">
      <c r="F232" t="e" cm="1" vm="1">
        <f t="array" ref="F232">TRANSPOSE(_xlfn._xlws.FILTER(_xlfn.ANCHORARRAY($B$2),_xlfn.ANCHORARRAY($A$2)=$E232))</f>
        <v>#VALUE!</v>
      </c>
    </row>
    <row r="233" spans="6:6" x14ac:dyDescent="0.25">
      <c r="F233" t="e" cm="1" vm="1">
        <f t="array" ref="F233">TRANSPOSE(_xlfn._xlws.FILTER(_xlfn.ANCHORARRAY($B$2),_xlfn.ANCHORARRAY($A$2)=$E233))</f>
        <v>#VALUE!</v>
      </c>
    </row>
    <row r="234" spans="6:6" x14ac:dyDescent="0.25">
      <c r="F234" t="e" cm="1" vm="1">
        <f t="array" ref="F234">TRANSPOSE(_xlfn._xlws.FILTER(_xlfn.ANCHORARRAY($B$2),_xlfn.ANCHORARRAY($A$2)=$E234))</f>
        <v>#VALUE!</v>
      </c>
    </row>
    <row r="235" spans="6:6" x14ac:dyDescent="0.25">
      <c r="F235" t="e" cm="1" vm="1">
        <f t="array" ref="F235">TRANSPOSE(_xlfn._xlws.FILTER(_xlfn.ANCHORARRAY($B$2),_xlfn.ANCHORARRAY($A$2)=$E235))</f>
        <v>#VALUE!</v>
      </c>
    </row>
    <row r="236" spans="6:6" x14ac:dyDescent="0.25">
      <c r="F236" t="e" cm="1" vm="1">
        <f t="array" ref="F236">TRANSPOSE(_xlfn._xlws.FILTER(_xlfn.ANCHORARRAY($B$2),_xlfn.ANCHORARRAY($A$2)=$E236))</f>
        <v>#VALUE!</v>
      </c>
    </row>
    <row r="237" spans="6:6" x14ac:dyDescent="0.25">
      <c r="F237" t="e" cm="1" vm="1">
        <f t="array" ref="F237">TRANSPOSE(_xlfn._xlws.FILTER(_xlfn.ANCHORARRAY($B$2),_xlfn.ANCHORARRAY($A$2)=$E237))</f>
        <v>#VALUE!</v>
      </c>
    </row>
    <row r="238" spans="6:6" x14ac:dyDescent="0.25">
      <c r="F238" t="e" cm="1" vm="1">
        <f t="array" ref="F238">TRANSPOSE(_xlfn._xlws.FILTER(_xlfn.ANCHORARRAY($B$2),_xlfn.ANCHORARRAY($A$2)=$E238))</f>
        <v>#VALUE!</v>
      </c>
    </row>
    <row r="239" spans="6:6" x14ac:dyDescent="0.25">
      <c r="F239" t="e" cm="1" vm="1">
        <f t="array" ref="F239">TRANSPOSE(_xlfn._xlws.FILTER(_xlfn.ANCHORARRAY($B$2),_xlfn.ANCHORARRAY($A$2)=$E239))</f>
        <v>#VALUE!</v>
      </c>
    </row>
    <row r="240" spans="6:6" x14ac:dyDescent="0.25">
      <c r="F240" t="e" cm="1" vm="1">
        <f t="array" ref="F240">TRANSPOSE(_xlfn._xlws.FILTER(_xlfn.ANCHORARRAY($B$2),_xlfn.ANCHORARRAY($A$2)=$E240))</f>
        <v>#VALUE!</v>
      </c>
    </row>
    <row r="241" spans="6:6" x14ac:dyDescent="0.25">
      <c r="F241" t="e" cm="1" vm="1">
        <f t="array" ref="F241">TRANSPOSE(_xlfn._xlws.FILTER(_xlfn.ANCHORARRAY($B$2),_xlfn.ANCHORARRAY($A$2)=$E241))</f>
        <v>#VALUE!</v>
      </c>
    </row>
    <row r="242" spans="6:6" x14ac:dyDescent="0.25">
      <c r="F242" t="e" cm="1" vm="1">
        <f t="array" ref="F242">TRANSPOSE(_xlfn._xlws.FILTER(_xlfn.ANCHORARRAY($B$2),_xlfn.ANCHORARRAY($A$2)=$E242))</f>
        <v>#VALUE!</v>
      </c>
    </row>
    <row r="243" spans="6:6" x14ac:dyDescent="0.25">
      <c r="F243" t="e" cm="1" vm="1">
        <f t="array" ref="F243">TRANSPOSE(_xlfn._xlws.FILTER(_xlfn.ANCHORARRAY($B$2),_xlfn.ANCHORARRAY($A$2)=$E243))</f>
        <v>#VALUE!</v>
      </c>
    </row>
    <row r="244" spans="6:6" x14ac:dyDescent="0.25">
      <c r="F244" t="e" cm="1" vm="1">
        <f t="array" ref="F244">TRANSPOSE(_xlfn._xlws.FILTER(_xlfn.ANCHORARRAY($B$2),_xlfn.ANCHORARRAY($A$2)=$E244))</f>
        <v>#VALUE!</v>
      </c>
    </row>
    <row r="245" spans="6:6" x14ac:dyDescent="0.25">
      <c r="F245" t="e" cm="1" vm="1">
        <f t="array" ref="F245">TRANSPOSE(_xlfn._xlws.FILTER(_xlfn.ANCHORARRAY($B$2),_xlfn.ANCHORARRAY($A$2)=$E245))</f>
        <v>#VALUE!</v>
      </c>
    </row>
    <row r="246" spans="6:6" x14ac:dyDescent="0.25">
      <c r="F246" t="e" cm="1" vm="1">
        <f t="array" ref="F246">TRANSPOSE(_xlfn._xlws.FILTER(_xlfn.ANCHORARRAY($B$2),_xlfn.ANCHORARRAY($A$2)=$E246))</f>
        <v>#VALUE!</v>
      </c>
    </row>
    <row r="247" spans="6:6" x14ac:dyDescent="0.25">
      <c r="F247" t="e" cm="1" vm="1">
        <f t="array" ref="F247">TRANSPOSE(_xlfn._xlws.FILTER(_xlfn.ANCHORARRAY($B$2),_xlfn.ANCHORARRAY($A$2)=$E247))</f>
        <v>#VALUE!</v>
      </c>
    </row>
    <row r="248" spans="6:6" x14ac:dyDescent="0.25">
      <c r="F248" t="e" cm="1" vm="1">
        <f t="array" ref="F248">TRANSPOSE(_xlfn._xlws.FILTER(_xlfn.ANCHORARRAY($B$2),_xlfn.ANCHORARRAY($A$2)=$E248))</f>
        <v>#VALUE!</v>
      </c>
    </row>
    <row r="249" spans="6:6" x14ac:dyDescent="0.25">
      <c r="F249" t="e" cm="1" vm="1">
        <f t="array" ref="F249">TRANSPOSE(_xlfn._xlws.FILTER(_xlfn.ANCHORARRAY($B$2),_xlfn.ANCHORARRAY($A$2)=$E249))</f>
        <v>#VALUE!</v>
      </c>
    </row>
    <row r="250" spans="6:6" x14ac:dyDescent="0.25">
      <c r="F250" t="e" cm="1" vm="1">
        <f t="array" ref="F250">TRANSPOSE(_xlfn._xlws.FILTER(_xlfn.ANCHORARRAY($B$2),_xlfn.ANCHORARRAY($A$2)=$E250))</f>
        <v>#VALUE!</v>
      </c>
    </row>
    <row r="251" spans="6:6" x14ac:dyDescent="0.25">
      <c r="F251" t="e" cm="1" vm="1">
        <f t="array" ref="F251">TRANSPOSE(_xlfn._xlws.FILTER(_xlfn.ANCHORARRAY($B$2),_xlfn.ANCHORARRAY($A$2)=$E251))</f>
        <v>#VALUE!</v>
      </c>
    </row>
    <row r="252" spans="6:6" x14ac:dyDescent="0.25">
      <c r="F252" t="e" cm="1" vm="1">
        <f t="array" ref="F252">TRANSPOSE(_xlfn._xlws.FILTER(_xlfn.ANCHORARRAY($B$2),_xlfn.ANCHORARRAY($A$2)=$E252))</f>
        <v>#VALUE!</v>
      </c>
    </row>
    <row r="253" spans="6:6" x14ac:dyDescent="0.25">
      <c r="F253" t="e" cm="1" vm="1">
        <f t="array" ref="F253">TRANSPOSE(_xlfn._xlws.FILTER(_xlfn.ANCHORARRAY($B$2),_xlfn.ANCHORARRAY($A$2)=$E253))</f>
        <v>#VALUE!</v>
      </c>
    </row>
    <row r="254" spans="6:6" x14ac:dyDescent="0.25">
      <c r="F254" t="e" cm="1" vm="1">
        <f t="array" ref="F254">TRANSPOSE(_xlfn._xlws.FILTER(_xlfn.ANCHORARRAY($B$2),_xlfn.ANCHORARRAY($A$2)=$E254))</f>
        <v>#VALUE!</v>
      </c>
    </row>
    <row r="255" spans="6:6" x14ac:dyDescent="0.25">
      <c r="F255" t="e" cm="1" vm="1">
        <f t="array" ref="F255">TRANSPOSE(_xlfn._xlws.FILTER(_xlfn.ANCHORARRAY($B$2),_xlfn.ANCHORARRAY($A$2)=$E255))</f>
        <v>#VALUE!</v>
      </c>
    </row>
    <row r="256" spans="6:6" x14ac:dyDescent="0.25">
      <c r="F256" t="e" cm="1" vm="1">
        <f t="array" ref="F256">TRANSPOSE(_xlfn._xlws.FILTER(_xlfn.ANCHORARRAY($B$2),_xlfn.ANCHORARRAY($A$2)=$E256))</f>
        <v>#VALUE!</v>
      </c>
    </row>
    <row r="257" spans="6:6" x14ac:dyDescent="0.25">
      <c r="F257" t="e" cm="1" vm="1">
        <f t="array" ref="F257">TRANSPOSE(_xlfn._xlws.FILTER(_xlfn.ANCHORARRAY($B$2),_xlfn.ANCHORARRAY($A$2)=$E257))</f>
        <v>#VALUE!</v>
      </c>
    </row>
    <row r="258" spans="6:6" x14ac:dyDescent="0.25">
      <c r="F258" t="e" cm="1" vm="1">
        <f t="array" ref="F258">TRANSPOSE(_xlfn._xlws.FILTER(_xlfn.ANCHORARRAY($B$2),_xlfn.ANCHORARRAY($A$2)=$E258))</f>
        <v>#VALUE!</v>
      </c>
    </row>
    <row r="259" spans="6:6" x14ac:dyDescent="0.25">
      <c r="F259" t="e" cm="1" vm="1">
        <f t="array" ref="F259">TRANSPOSE(_xlfn._xlws.FILTER(_xlfn.ANCHORARRAY($B$2),_xlfn.ANCHORARRAY($A$2)=$E259))</f>
        <v>#VALUE!</v>
      </c>
    </row>
    <row r="260" spans="6:6" x14ac:dyDescent="0.25">
      <c r="F260" t="e" cm="1" vm="1">
        <f t="array" ref="F260">TRANSPOSE(_xlfn._xlws.FILTER(_xlfn.ANCHORARRAY($B$2),_xlfn.ANCHORARRAY($A$2)=$E260))</f>
        <v>#VALUE!</v>
      </c>
    </row>
    <row r="261" spans="6:6" x14ac:dyDescent="0.25">
      <c r="F261" t="e" cm="1" vm="1">
        <f t="array" ref="F261">TRANSPOSE(_xlfn._xlws.FILTER(_xlfn.ANCHORARRAY($B$2),_xlfn.ANCHORARRAY($A$2)=$E261))</f>
        <v>#VALUE!</v>
      </c>
    </row>
    <row r="262" spans="6:6" x14ac:dyDescent="0.25">
      <c r="F262" t="e" cm="1" vm="1">
        <f t="array" ref="F262">TRANSPOSE(_xlfn._xlws.FILTER(_xlfn.ANCHORARRAY($B$2),_xlfn.ANCHORARRAY($A$2)=$E262))</f>
        <v>#VALUE!</v>
      </c>
    </row>
    <row r="263" spans="6:6" x14ac:dyDescent="0.25">
      <c r="F263" t="e" cm="1" vm="1">
        <f t="array" ref="F263">TRANSPOSE(_xlfn._xlws.FILTER(_xlfn.ANCHORARRAY($B$2),_xlfn.ANCHORARRAY($A$2)=$E263))</f>
        <v>#VALUE!</v>
      </c>
    </row>
    <row r="264" spans="6:6" x14ac:dyDescent="0.25">
      <c r="F264" t="e" cm="1" vm="1">
        <f t="array" ref="F264">TRANSPOSE(_xlfn._xlws.FILTER(_xlfn.ANCHORARRAY($B$2),_xlfn.ANCHORARRAY($A$2)=$E264))</f>
        <v>#VALUE!</v>
      </c>
    </row>
    <row r="265" spans="6:6" x14ac:dyDescent="0.25">
      <c r="F265" t="e" cm="1" vm="1">
        <f t="array" ref="F265">TRANSPOSE(_xlfn._xlws.FILTER(_xlfn.ANCHORARRAY($B$2),_xlfn.ANCHORARRAY($A$2)=$E265))</f>
        <v>#VALUE!</v>
      </c>
    </row>
    <row r="266" spans="6:6" x14ac:dyDescent="0.25">
      <c r="F266" t="e" cm="1" vm="1">
        <f t="array" ref="F266">TRANSPOSE(_xlfn._xlws.FILTER(_xlfn.ANCHORARRAY($B$2),_xlfn.ANCHORARRAY($A$2)=$E266))</f>
        <v>#VALUE!</v>
      </c>
    </row>
    <row r="267" spans="6:6" x14ac:dyDescent="0.25">
      <c r="F267" t="e" cm="1" vm="1">
        <f t="array" ref="F267">TRANSPOSE(_xlfn._xlws.FILTER(_xlfn.ANCHORARRAY($B$2),_xlfn.ANCHORARRAY($A$2)=$E267))</f>
        <v>#VALUE!</v>
      </c>
    </row>
    <row r="268" spans="6:6" x14ac:dyDescent="0.25">
      <c r="F268" t="e" cm="1" vm="1">
        <f t="array" ref="F268">TRANSPOSE(_xlfn._xlws.FILTER(_xlfn.ANCHORARRAY($B$2),_xlfn.ANCHORARRAY($A$2)=$E268))</f>
        <v>#VALUE!</v>
      </c>
    </row>
    <row r="269" spans="6:6" x14ac:dyDescent="0.25">
      <c r="F269" t="e" cm="1" vm="1">
        <f t="array" ref="F269">TRANSPOSE(_xlfn._xlws.FILTER(_xlfn.ANCHORARRAY($B$2),_xlfn.ANCHORARRAY($A$2)=$E269))</f>
        <v>#VALUE!</v>
      </c>
    </row>
    <row r="270" spans="6:6" x14ac:dyDescent="0.25">
      <c r="F270" t="e" cm="1" vm="1">
        <f t="array" ref="F270">TRANSPOSE(_xlfn._xlws.FILTER(_xlfn.ANCHORARRAY($B$2),_xlfn.ANCHORARRAY($A$2)=$E270))</f>
        <v>#VALUE!</v>
      </c>
    </row>
    <row r="271" spans="6:6" x14ac:dyDescent="0.25">
      <c r="F271" t="e" cm="1" vm="1">
        <f t="array" ref="F271">TRANSPOSE(_xlfn._xlws.FILTER(_xlfn.ANCHORARRAY($B$2),_xlfn.ANCHORARRAY($A$2)=$E271))</f>
        <v>#VALUE!</v>
      </c>
    </row>
    <row r="272" spans="6:6" x14ac:dyDescent="0.25">
      <c r="F272" t="e" cm="1" vm="1">
        <f t="array" ref="F272">TRANSPOSE(_xlfn._xlws.FILTER(_xlfn.ANCHORARRAY($B$2),_xlfn.ANCHORARRAY($A$2)=$E272))</f>
        <v>#VALUE!</v>
      </c>
    </row>
    <row r="273" spans="6:6" x14ac:dyDescent="0.25">
      <c r="F273" t="e" cm="1" vm="1">
        <f t="array" ref="F273">TRANSPOSE(_xlfn._xlws.FILTER(_xlfn.ANCHORARRAY($B$2),_xlfn.ANCHORARRAY($A$2)=$E273))</f>
        <v>#VALUE!</v>
      </c>
    </row>
    <row r="274" spans="6:6" x14ac:dyDescent="0.25">
      <c r="F274" t="e" cm="1" vm="1">
        <f t="array" ref="F274">TRANSPOSE(_xlfn._xlws.FILTER(_xlfn.ANCHORARRAY($B$2),_xlfn.ANCHORARRAY($A$2)=$E274))</f>
        <v>#VALUE!</v>
      </c>
    </row>
    <row r="275" spans="6:6" x14ac:dyDescent="0.25">
      <c r="F275" t="e" cm="1" vm="1">
        <f t="array" ref="F275">TRANSPOSE(_xlfn._xlws.FILTER(_xlfn.ANCHORARRAY($B$2),_xlfn.ANCHORARRAY($A$2)=$E275))</f>
        <v>#VALUE!</v>
      </c>
    </row>
    <row r="276" spans="6:6" x14ac:dyDescent="0.25">
      <c r="F276" t="e" cm="1" vm="1">
        <f t="array" ref="F276">TRANSPOSE(_xlfn._xlws.FILTER(_xlfn.ANCHORARRAY($B$2),_xlfn.ANCHORARRAY($A$2)=$E276))</f>
        <v>#VALUE!</v>
      </c>
    </row>
    <row r="277" spans="6:6" x14ac:dyDescent="0.25">
      <c r="F277" t="e" cm="1" vm="1">
        <f t="array" ref="F277">TRANSPOSE(_xlfn._xlws.FILTER(_xlfn.ANCHORARRAY($B$2),_xlfn.ANCHORARRAY($A$2)=$E277))</f>
        <v>#VALUE!</v>
      </c>
    </row>
    <row r="278" spans="6:6" x14ac:dyDescent="0.25">
      <c r="F278" t="e" cm="1" vm="1">
        <f t="array" ref="F278">TRANSPOSE(_xlfn._xlws.FILTER(_xlfn.ANCHORARRAY($B$2),_xlfn.ANCHORARRAY($A$2)=$E278))</f>
        <v>#VALUE!</v>
      </c>
    </row>
    <row r="279" spans="6:6" x14ac:dyDescent="0.25">
      <c r="F279" t="e" cm="1" vm="1">
        <f t="array" ref="F279">TRANSPOSE(_xlfn._xlws.FILTER(_xlfn.ANCHORARRAY($B$2),_xlfn.ANCHORARRAY($A$2)=$E279))</f>
        <v>#VALUE!</v>
      </c>
    </row>
    <row r="280" spans="6:6" x14ac:dyDescent="0.25">
      <c r="F280" t="e" cm="1" vm="1">
        <f t="array" ref="F280">TRANSPOSE(_xlfn._xlws.FILTER(_xlfn.ANCHORARRAY($B$2),_xlfn.ANCHORARRAY($A$2)=$E280))</f>
        <v>#VALUE!</v>
      </c>
    </row>
    <row r="281" spans="6:6" x14ac:dyDescent="0.25">
      <c r="F281" t="e" cm="1" vm="1">
        <f t="array" ref="F281">TRANSPOSE(_xlfn._xlws.FILTER(_xlfn.ANCHORARRAY($B$2),_xlfn.ANCHORARRAY($A$2)=$E281))</f>
        <v>#VALUE!</v>
      </c>
    </row>
    <row r="282" spans="6:6" x14ac:dyDescent="0.25">
      <c r="F282" t="e" cm="1" vm="1">
        <f t="array" ref="F282">TRANSPOSE(_xlfn._xlws.FILTER(_xlfn.ANCHORARRAY($B$2),_xlfn.ANCHORARRAY($A$2)=$E282))</f>
        <v>#VALUE!</v>
      </c>
    </row>
    <row r="283" spans="6:6" x14ac:dyDescent="0.25">
      <c r="F283" t="e" cm="1" vm="1">
        <f t="array" ref="F283">TRANSPOSE(_xlfn._xlws.FILTER(_xlfn.ANCHORARRAY($B$2),_xlfn.ANCHORARRAY($A$2)=$E283))</f>
        <v>#VALUE!</v>
      </c>
    </row>
    <row r="284" spans="6:6" x14ac:dyDescent="0.25">
      <c r="F284" t="e" cm="1" vm="1">
        <f t="array" ref="F284">TRANSPOSE(_xlfn._xlws.FILTER(_xlfn.ANCHORARRAY($B$2),_xlfn.ANCHORARRAY($A$2)=$E284))</f>
        <v>#VALUE!</v>
      </c>
    </row>
    <row r="285" spans="6:6" x14ac:dyDescent="0.25">
      <c r="F285" t="e" cm="1" vm="1">
        <f t="array" ref="F285">TRANSPOSE(_xlfn._xlws.FILTER(_xlfn.ANCHORARRAY($B$2),_xlfn.ANCHORARRAY($A$2)=$E285))</f>
        <v>#VALUE!</v>
      </c>
    </row>
    <row r="286" spans="6:6" x14ac:dyDescent="0.25">
      <c r="F286" t="e" cm="1" vm="1">
        <f t="array" ref="F286">TRANSPOSE(_xlfn._xlws.FILTER(_xlfn.ANCHORARRAY($B$2),_xlfn.ANCHORARRAY($A$2)=$E286))</f>
        <v>#VALUE!</v>
      </c>
    </row>
    <row r="287" spans="6:6" x14ac:dyDescent="0.25">
      <c r="F287" t="e" cm="1" vm="1">
        <f t="array" ref="F287">TRANSPOSE(_xlfn._xlws.FILTER(_xlfn.ANCHORARRAY($B$2),_xlfn.ANCHORARRAY($A$2)=$E287))</f>
        <v>#VALUE!</v>
      </c>
    </row>
    <row r="288" spans="6:6" x14ac:dyDescent="0.25">
      <c r="F288" t="e" cm="1" vm="1">
        <f t="array" ref="F288">TRANSPOSE(_xlfn._xlws.FILTER(_xlfn.ANCHORARRAY($B$2),_xlfn.ANCHORARRAY($A$2)=$E288))</f>
        <v>#VALUE!</v>
      </c>
    </row>
    <row r="289" spans="6:6" x14ac:dyDescent="0.25">
      <c r="F289" t="e" cm="1" vm="1">
        <f t="array" ref="F289">TRANSPOSE(_xlfn._xlws.FILTER(_xlfn.ANCHORARRAY($B$2),_xlfn.ANCHORARRAY($A$2)=$E289))</f>
        <v>#VALUE!</v>
      </c>
    </row>
    <row r="290" spans="6:6" x14ac:dyDescent="0.25">
      <c r="F290" t="e" cm="1" vm="1">
        <f t="array" ref="F290">TRANSPOSE(_xlfn._xlws.FILTER(_xlfn.ANCHORARRAY($B$2),_xlfn.ANCHORARRAY($A$2)=$E290))</f>
        <v>#VALUE!</v>
      </c>
    </row>
    <row r="291" spans="6:6" x14ac:dyDescent="0.25">
      <c r="F291" t="e" cm="1" vm="1">
        <f t="array" ref="F291">TRANSPOSE(_xlfn._xlws.FILTER(_xlfn.ANCHORARRAY($B$2),_xlfn.ANCHORARRAY($A$2)=$E291))</f>
        <v>#VALUE!</v>
      </c>
    </row>
    <row r="292" spans="6:6" x14ac:dyDescent="0.25">
      <c r="F292" t="e" cm="1" vm="1">
        <f t="array" ref="F292">TRANSPOSE(_xlfn._xlws.FILTER(_xlfn.ANCHORARRAY($B$2),_xlfn.ANCHORARRAY($A$2)=$E292))</f>
        <v>#VALUE!</v>
      </c>
    </row>
    <row r="293" spans="6:6" x14ac:dyDescent="0.25">
      <c r="F293" t="e" cm="1" vm="1">
        <f t="array" ref="F293">TRANSPOSE(_xlfn._xlws.FILTER(_xlfn.ANCHORARRAY($B$2),_xlfn.ANCHORARRAY($A$2)=$E293))</f>
        <v>#VALUE!</v>
      </c>
    </row>
    <row r="294" spans="6:6" x14ac:dyDescent="0.25">
      <c r="F294" t="e" cm="1" vm="1">
        <f t="array" ref="F294">TRANSPOSE(_xlfn._xlws.FILTER(_xlfn.ANCHORARRAY($B$2),_xlfn.ANCHORARRAY($A$2)=$E294))</f>
        <v>#VALUE!</v>
      </c>
    </row>
    <row r="295" spans="6:6" x14ac:dyDescent="0.25">
      <c r="F295" t="e" cm="1" vm="1">
        <f t="array" ref="F295">TRANSPOSE(_xlfn._xlws.FILTER(_xlfn.ANCHORARRAY($B$2),_xlfn.ANCHORARRAY($A$2)=$E295))</f>
        <v>#VALUE!</v>
      </c>
    </row>
    <row r="296" spans="6:6" x14ac:dyDescent="0.25">
      <c r="F296" t="e" cm="1" vm="1">
        <f t="array" ref="F296">TRANSPOSE(_xlfn._xlws.FILTER(_xlfn.ANCHORARRAY($B$2),_xlfn.ANCHORARRAY($A$2)=$E296))</f>
        <v>#VALUE!</v>
      </c>
    </row>
    <row r="297" spans="6:6" x14ac:dyDescent="0.25">
      <c r="F297" t="e" cm="1" vm="1">
        <f t="array" ref="F297">TRANSPOSE(_xlfn._xlws.FILTER(_xlfn.ANCHORARRAY($B$2),_xlfn.ANCHORARRAY($A$2)=$E297))</f>
        <v>#VALUE!</v>
      </c>
    </row>
    <row r="298" spans="6:6" x14ac:dyDescent="0.25">
      <c r="F298" t="e" cm="1" vm="1">
        <f t="array" ref="F298">TRANSPOSE(_xlfn._xlws.FILTER(_xlfn.ANCHORARRAY($B$2),_xlfn.ANCHORARRAY($A$2)=$E298))</f>
        <v>#VALUE!</v>
      </c>
    </row>
    <row r="299" spans="6:6" x14ac:dyDescent="0.25">
      <c r="F299" t="e" cm="1" vm="1">
        <f t="array" ref="F299">TRANSPOSE(_xlfn._xlws.FILTER(_xlfn.ANCHORARRAY($B$2),_xlfn.ANCHORARRAY($A$2)=$E299))</f>
        <v>#VALUE!</v>
      </c>
    </row>
    <row r="300" spans="6:6" x14ac:dyDescent="0.25">
      <c r="F300" t="e" cm="1" vm="1">
        <f t="array" ref="F300">TRANSPOSE(_xlfn._xlws.FILTER(_xlfn.ANCHORARRAY($B$2),_xlfn.ANCHORARRAY($A$2)=$E300))</f>
        <v>#VALUE!</v>
      </c>
    </row>
    <row r="301" spans="6:6" x14ac:dyDescent="0.25">
      <c r="F301" t="e" cm="1" vm="1">
        <f t="array" ref="F301">TRANSPOSE(_xlfn._xlws.FILTER(_xlfn.ANCHORARRAY($B$2),_xlfn.ANCHORARRAY($A$2)=$E301))</f>
        <v>#VALUE!</v>
      </c>
    </row>
    <row r="302" spans="6:6" x14ac:dyDescent="0.25">
      <c r="F302" t="e" cm="1" vm="1">
        <f t="array" ref="F302">TRANSPOSE(_xlfn._xlws.FILTER(_xlfn.ANCHORARRAY($B$2),_xlfn.ANCHORARRAY($A$2)=$E302))</f>
        <v>#VALUE!</v>
      </c>
    </row>
    <row r="303" spans="6:6" x14ac:dyDescent="0.25">
      <c r="F303" t="e" cm="1" vm="1">
        <f t="array" ref="F303">TRANSPOSE(_xlfn._xlws.FILTER(_xlfn.ANCHORARRAY($B$2),_xlfn.ANCHORARRAY($A$2)=$E303))</f>
        <v>#VALUE!</v>
      </c>
    </row>
    <row r="304" spans="6:6" x14ac:dyDescent="0.25">
      <c r="F304" t="e" cm="1" vm="1">
        <f t="array" ref="F304">TRANSPOSE(_xlfn._xlws.FILTER(_xlfn.ANCHORARRAY($B$2),_xlfn.ANCHORARRAY($A$2)=$E304))</f>
        <v>#VALUE!</v>
      </c>
    </row>
    <row r="305" spans="6:6" x14ac:dyDescent="0.25">
      <c r="F305" t="e" cm="1" vm="1">
        <f t="array" ref="F305">TRANSPOSE(_xlfn._xlws.FILTER(_xlfn.ANCHORARRAY($B$2),_xlfn.ANCHORARRAY($A$2)=$E305))</f>
        <v>#VALUE!</v>
      </c>
    </row>
    <row r="306" spans="6:6" x14ac:dyDescent="0.25">
      <c r="F306" t="e" cm="1" vm="1">
        <f t="array" ref="F306">TRANSPOSE(_xlfn._xlws.FILTER(_xlfn.ANCHORARRAY($B$2),_xlfn.ANCHORARRAY($A$2)=$E306))</f>
        <v>#VALUE!</v>
      </c>
    </row>
    <row r="307" spans="6:6" x14ac:dyDescent="0.25">
      <c r="F307" t="e" cm="1" vm="1">
        <f t="array" ref="F307">TRANSPOSE(_xlfn._xlws.FILTER(_xlfn.ANCHORARRAY($B$2),_xlfn.ANCHORARRAY($A$2)=$E307))</f>
        <v>#VALUE!</v>
      </c>
    </row>
    <row r="308" spans="6:6" x14ac:dyDescent="0.25">
      <c r="F308" t="e" cm="1" vm="1">
        <f t="array" ref="F308">TRANSPOSE(_xlfn._xlws.FILTER(_xlfn.ANCHORARRAY($B$2),_xlfn.ANCHORARRAY($A$2)=$E308))</f>
        <v>#VALUE!</v>
      </c>
    </row>
    <row r="309" spans="6:6" x14ac:dyDescent="0.25">
      <c r="F309" t="e" cm="1" vm="1">
        <f t="array" ref="F309">TRANSPOSE(_xlfn._xlws.FILTER(_xlfn.ANCHORARRAY($B$2),_xlfn.ANCHORARRAY($A$2)=$E309))</f>
        <v>#VALUE!</v>
      </c>
    </row>
    <row r="310" spans="6:6" x14ac:dyDescent="0.25">
      <c r="F310" t="e" cm="1" vm="1">
        <f t="array" ref="F310">TRANSPOSE(_xlfn._xlws.FILTER(_xlfn.ANCHORARRAY($B$2),_xlfn.ANCHORARRAY($A$2)=$E310))</f>
        <v>#VALUE!</v>
      </c>
    </row>
    <row r="311" spans="6:6" x14ac:dyDescent="0.25">
      <c r="F311" t="e" cm="1" vm="1">
        <f t="array" ref="F311">TRANSPOSE(_xlfn._xlws.FILTER(_xlfn.ANCHORARRAY($B$2),_xlfn.ANCHORARRAY($A$2)=$E311))</f>
        <v>#VALUE!</v>
      </c>
    </row>
    <row r="312" spans="6:6" x14ac:dyDescent="0.25">
      <c r="F312" t="e" cm="1" vm="1">
        <f t="array" ref="F312">TRANSPOSE(_xlfn._xlws.FILTER(_xlfn.ANCHORARRAY($B$2),_xlfn.ANCHORARRAY($A$2)=$E312))</f>
        <v>#VALUE!</v>
      </c>
    </row>
    <row r="313" spans="6:6" x14ac:dyDescent="0.25">
      <c r="F313" t="e" cm="1" vm="1">
        <f t="array" ref="F313">TRANSPOSE(_xlfn._xlws.FILTER(_xlfn.ANCHORARRAY($B$2),_xlfn.ANCHORARRAY($A$2)=$E313))</f>
        <v>#VALUE!</v>
      </c>
    </row>
    <row r="314" spans="6:6" x14ac:dyDescent="0.25">
      <c r="F314" t="e" cm="1" vm="1">
        <f t="array" ref="F314">TRANSPOSE(_xlfn._xlws.FILTER(_xlfn.ANCHORARRAY($B$2),_xlfn.ANCHORARRAY($A$2)=$E314))</f>
        <v>#VALUE!</v>
      </c>
    </row>
    <row r="315" spans="6:6" x14ac:dyDescent="0.25">
      <c r="F315" t="e" cm="1" vm="1">
        <f t="array" ref="F315">TRANSPOSE(_xlfn._xlws.FILTER(_xlfn.ANCHORARRAY($B$2),_xlfn.ANCHORARRAY($A$2)=$E315))</f>
        <v>#VALUE!</v>
      </c>
    </row>
    <row r="316" spans="6:6" x14ac:dyDescent="0.25">
      <c r="F316" t="e" cm="1" vm="1">
        <f t="array" ref="F316">TRANSPOSE(_xlfn._xlws.FILTER(_xlfn.ANCHORARRAY($B$2),_xlfn.ANCHORARRAY($A$2)=$E316))</f>
        <v>#VALUE!</v>
      </c>
    </row>
    <row r="317" spans="6:6" x14ac:dyDescent="0.25">
      <c r="F317" t="e" cm="1" vm="1">
        <f t="array" ref="F317">TRANSPOSE(_xlfn._xlws.FILTER(_xlfn.ANCHORARRAY($B$2),_xlfn.ANCHORARRAY($A$2)=$E317))</f>
        <v>#VALUE!</v>
      </c>
    </row>
    <row r="318" spans="6:6" x14ac:dyDescent="0.25">
      <c r="F318" t="e" cm="1" vm="1">
        <f t="array" ref="F318">TRANSPOSE(_xlfn._xlws.FILTER(_xlfn.ANCHORARRAY($B$2),_xlfn.ANCHORARRAY($A$2)=$E318))</f>
        <v>#VALUE!</v>
      </c>
    </row>
    <row r="319" spans="6:6" x14ac:dyDescent="0.25">
      <c r="F319" t="e" cm="1" vm="1">
        <f t="array" ref="F319">TRANSPOSE(_xlfn._xlws.FILTER(_xlfn.ANCHORARRAY($B$2),_xlfn.ANCHORARRAY($A$2)=$E319))</f>
        <v>#VALUE!</v>
      </c>
    </row>
    <row r="320" spans="6:6" x14ac:dyDescent="0.25">
      <c r="F320" t="e" cm="1" vm="1">
        <f t="array" ref="F320">TRANSPOSE(_xlfn._xlws.FILTER(_xlfn.ANCHORARRAY($B$2),_xlfn.ANCHORARRAY($A$2)=$E320))</f>
        <v>#VALUE!</v>
      </c>
    </row>
    <row r="321" spans="6:6" x14ac:dyDescent="0.25">
      <c r="F321" t="e" cm="1" vm="1">
        <f t="array" ref="F321">TRANSPOSE(_xlfn._xlws.FILTER(_xlfn.ANCHORARRAY($B$2),_xlfn.ANCHORARRAY($A$2)=$E321))</f>
        <v>#VALUE!</v>
      </c>
    </row>
    <row r="322" spans="6:6" x14ac:dyDescent="0.25">
      <c r="F322" t="e" cm="1" vm="1">
        <f t="array" ref="F322">TRANSPOSE(_xlfn._xlws.FILTER(_xlfn.ANCHORARRAY($B$2),_xlfn.ANCHORARRAY($A$2)=$E322))</f>
        <v>#VALUE!</v>
      </c>
    </row>
    <row r="323" spans="6:6" x14ac:dyDescent="0.25">
      <c r="F323" t="e" cm="1" vm="1">
        <f t="array" ref="F323">TRANSPOSE(_xlfn._xlws.FILTER(_xlfn.ANCHORARRAY($B$2),_xlfn.ANCHORARRAY($A$2)=$E323))</f>
        <v>#VALUE!</v>
      </c>
    </row>
    <row r="324" spans="6:6" x14ac:dyDescent="0.25">
      <c r="F324" t="e" cm="1" vm="1">
        <f t="array" ref="F324">TRANSPOSE(_xlfn._xlws.FILTER(_xlfn.ANCHORARRAY($B$2),_xlfn.ANCHORARRAY($A$2)=$E324))</f>
        <v>#VALUE!</v>
      </c>
    </row>
    <row r="325" spans="6:6" x14ac:dyDescent="0.25">
      <c r="F325" t="e" cm="1" vm="1">
        <f t="array" ref="F325">TRANSPOSE(_xlfn._xlws.FILTER(_xlfn.ANCHORARRAY($B$2),_xlfn.ANCHORARRAY($A$2)=$E325))</f>
        <v>#VALUE!</v>
      </c>
    </row>
    <row r="326" spans="6:6" x14ac:dyDescent="0.25">
      <c r="F326" t="e" cm="1" vm="1">
        <f t="array" ref="F326">TRANSPOSE(_xlfn._xlws.FILTER(_xlfn.ANCHORARRAY($B$2),_xlfn.ANCHORARRAY($A$2)=$E326))</f>
        <v>#VALUE!</v>
      </c>
    </row>
    <row r="327" spans="6:6" x14ac:dyDescent="0.25">
      <c r="F327" t="e" cm="1" vm="1">
        <f t="array" ref="F327">TRANSPOSE(_xlfn._xlws.FILTER(_xlfn.ANCHORARRAY($B$2),_xlfn.ANCHORARRAY($A$2)=$E327))</f>
        <v>#VALUE!</v>
      </c>
    </row>
    <row r="328" spans="6:6" x14ac:dyDescent="0.25">
      <c r="F328" t="e" cm="1" vm="1">
        <f t="array" ref="F328">TRANSPOSE(_xlfn._xlws.FILTER(_xlfn.ANCHORARRAY($B$2),_xlfn.ANCHORARRAY($A$2)=$E328))</f>
        <v>#VALUE!</v>
      </c>
    </row>
    <row r="329" spans="6:6" x14ac:dyDescent="0.25">
      <c r="F329" t="e" cm="1" vm="1">
        <f t="array" ref="F329">TRANSPOSE(_xlfn._xlws.FILTER(_xlfn.ANCHORARRAY($B$2),_xlfn.ANCHORARRAY($A$2)=$E329))</f>
        <v>#VALUE!</v>
      </c>
    </row>
    <row r="330" spans="6:6" x14ac:dyDescent="0.25">
      <c r="F330" t="e" cm="1" vm="1">
        <f t="array" ref="F330">TRANSPOSE(_xlfn._xlws.FILTER(_xlfn.ANCHORARRAY($B$2),_xlfn.ANCHORARRAY($A$2)=$E330))</f>
        <v>#VALUE!</v>
      </c>
    </row>
    <row r="331" spans="6:6" x14ac:dyDescent="0.25">
      <c r="F331" t="e" cm="1" vm="1">
        <f t="array" ref="F331">TRANSPOSE(_xlfn._xlws.FILTER(_xlfn.ANCHORARRAY($B$2),_xlfn.ANCHORARRAY($A$2)=$E331))</f>
        <v>#VALUE!</v>
      </c>
    </row>
    <row r="332" spans="6:6" x14ac:dyDescent="0.25">
      <c r="F332" t="e" cm="1" vm="1">
        <f t="array" ref="F332">TRANSPOSE(_xlfn._xlws.FILTER(_xlfn.ANCHORARRAY($B$2),_xlfn.ANCHORARRAY($A$2)=$E332))</f>
        <v>#VALUE!</v>
      </c>
    </row>
    <row r="333" spans="6:6" x14ac:dyDescent="0.25">
      <c r="F333" t="e" cm="1" vm="1">
        <f t="array" ref="F333">TRANSPOSE(_xlfn._xlws.FILTER(_xlfn.ANCHORARRAY($B$2),_xlfn.ANCHORARRAY($A$2)=$E333))</f>
        <v>#VALUE!</v>
      </c>
    </row>
    <row r="334" spans="6:6" x14ac:dyDescent="0.25">
      <c r="F334" t="e" cm="1" vm="1">
        <f t="array" ref="F334">TRANSPOSE(_xlfn._xlws.FILTER(_xlfn.ANCHORARRAY($B$2),_xlfn.ANCHORARRAY($A$2)=$E334))</f>
        <v>#VALUE!</v>
      </c>
    </row>
    <row r="335" spans="6:6" x14ac:dyDescent="0.25">
      <c r="F335" t="e" cm="1" vm="1">
        <f t="array" ref="F335">TRANSPOSE(_xlfn._xlws.FILTER(_xlfn.ANCHORARRAY($B$2),_xlfn.ANCHORARRAY($A$2)=$E335))</f>
        <v>#VALUE!</v>
      </c>
    </row>
    <row r="336" spans="6:6" x14ac:dyDescent="0.25">
      <c r="F336" t="e" cm="1" vm="1">
        <f t="array" ref="F336">TRANSPOSE(_xlfn._xlws.FILTER(_xlfn.ANCHORARRAY($B$2),_xlfn.ANCHORARRAY($A$2)=$E336))</f>
        <v>#VALUE!</v>
      </c>
    </row>
    <row r="337" spans="6:6" x14ac:dyDescent="0.25">
      <c r="F337" t="e" cm="1" vm="1">
        <f t="array" ref="F337">TRANSPOSE(_xlfn._xlws.FILTER(_xlfn.ANCHORARRAY($B$2),_xlfn.ANCHORARRAY($A$2)=$E337))</f>
        <v>#VALUE!</v>
      </c>
    </row>
    <row r="338" spans="6:6" x14ac:dyDescent="0.25">
      <c r="F338" t="e" cm="1" vm="1">
        <f t="array" ref="F338">TRANSPOSE(_xlfn._xlws.FILTER(_xlfn.ANCHORARRAY($B$2),_xlfn.ANCHORARRAY($A$2)=$E338))</f>
        <v>#VALUE!</v>
      </c>
    </row>
    <row r="339" spans="6:6" x14ac:dyDescent="0.25">
      <c r="F339" t="e" cm="1" vm="1">
        <f t="array" ref="F339">TRANSPOSE(_xlfn._xlws.FILTER(_xlfn.ANCHORARRAY($B$2),_xlfn.ANCHORARRAY($A$2)=$E339))</f>
        <v>#VALUE!</v>
      </c>
    </row>
    <row r="340" spans="6:6" x14ac:dyDescent="0.25">
      <c r="F340" t="e" cm="1" vm="1">
        <f t="array" ref="F340">TRANSPOSE(_xlfn._xlws.FILTER(_xlfn.ANCHORARRAY($B$2),_xlfn.ANCHORARRAY($A$2)=$E340))</f>
        <v>#VALUE!</v>
      </c>
    </row>
    <row r="341" spans="6:6" x14ac:dyDescent="0.25">
      <c r="F341" t="e" cm="1" vm="1">
        <f t="array" ref="F341">TRANSPOSE(_xlfn._xlws.FILTER(_xlfn.ANCHORARRAY($B$2),_xlfn.ANCHORARRAY($A$2)=$E341))</f>
        <v>#VALUE!</v>
      </c>
    </row>
    <row r="342" spans="6:6" x14ac:dyDescent="0.25">
      <c r="F342" t="e" cm="1" vm="1">
        <f t="array" ref="F342">TRANSPOSE(_xlfn._xlws.FILTER(_xlfn.ANCHORARRAY($B$2),_xlfn.ANCHORARRAY($A$2)=$E342))</f>
        <v>#VALUE!</v>
      </c>
    </row>
    <row r="343" spans="6:6" x14ac:dyDescent="0.25">
      <c r="F343" t="e" cm="1" vm="1">
        <f t="array" ref="F343">TRANSPOSE(_xlfn._xlws.FILTER(_xlfn.ANCHORARRAY($B$2),_xlfn.ANCHORARRAY($A$2)=$E343))</f>
        <v>#VALUE!</v>
      </c>
    </row>
    <row r="344" spans="6:6" x14ac:dyDescent="0.25">
      <c r="F344" t="e" cm="1" vm="1">
        <f t="array" ref="F344">TRANSPOSE(_xlfn._xlws.FILTER(_xlfn.ANCHORARRAY($B$2),_xlfn.ANCHORARRAY($A$2)=$E344))</f>
        <v>#VALUE!</v>
      </c>
    </row>
    <row r="345" spans="6:6" x14ac:dyDescent="0.25">
      <c r="F345" t="e" cm="1" vm="1">
        <f t="array" ref="F345">TRANSPOSE(_xlfn._xlws.FILTER(_xlfn.ANCHORARRAY($B$2),_xlfn.ANCHORARRAY($A$2)=$E345))</f>
        <v>#VALUE!</v>
      </c>
    </row>
    <row r="346" spans="6:6" x14ac:dyDescent="0.25">
      <c r="F346" t="e" cm="1" vm="1">
        <f t="array" ref="F346">TRANSPOSE(_xlfn._xlws.FILTER(_xlfn.ANCHORARRAY($B$2),_xlfn.ANCHORARRAY($A$2)=$E346))</f>
        <v>#VALUE!</v>
      </c>
    </row>
    <row r="347" spans="6:6" x14ac:dyDescent="0.25">
      <c r="F347" t="e" cm="1" vm="1">
        <f t="array" ref="F347">TRANSPOSE(_xlfn._xlws.FILTER(_xlfn.ANCHORARRAY($B$2),_xlfn.ANCHORARRAY($A$2)=$E347))</f>
        <v>#VALUE!</v>
      </c>
    </row>
    <row r="348" spans="6:6" x14ac:dyDescent="0.25">
      <c r="F348" t="e" cm="1" vm="1">
        <f t="array" ref="F348">TRANSPOSE(_xlfn._xlws.FILTER(_xlfn.ANCHORARRAY($B$2),_xlfn.ANCHORARRAY($A$2)=$E348))</f>
        <v>#VALUE!</v>
      </c>
    </row>
    <row r="349" spans="6:6" x14ac:dyDescent="0.25">
      <c r="F349" t="e" cm="1" vm="1">
        <f t="array" ref="F349">TRANSPOSE(_xlfn._xlws.FILTER(_xlfn.ANCHORARRAY($B$2),_xlfn.ANCHORARRAY($A$2)=$E349))</f>
        <v>#VALUE!</v>
      </c>
    </row>
    <row r="350" spans="6:6" x14ac:dyDescent="0.25">
      <c r="F350" t="e" cm="1" vm="1">
        <f t="array" ref="F350">TRANSPOSE(_xlfn._xlws.FILTER(_xlfn.ANCHORARRAY($B$2),_xlfn.ANCHORARRAY($A$2)=$E350))</f>
        <v>#VALUE!</v>
      </c>
    </row>
    <row r="351" spans="6:6" x14ac:dyDescent="0.25">
      <c r="F351" t="e" cm="1" vm="1">
        <f t="array" ref="F351">TRANSPOSE(_xlfn._xlws.FILTER(_xlfn.ANCHORARRAY($B$2),_xlfn.ANCHORARRAY($A$2)=$E351))</f>
        <v>#VALUE!</v>
      </c>
    </row>
    <row r="352" spans="6:6" x14ac:dyDescent="0.25">
      <c r="F352" t="e" cm="1" vm="1">
        <f t="array" ref="F352">TRANSPOSE(_xlfn._xlws.FILTER(_xlfn.ANCHORARRAY($B$2),_xlfn.ANCHORARRAY($A$2)=$E352))</f>
        <v>#VALUE!</v>
      </c>
    </row>
    <row r="353" spans="6:6" x14ac:dyDescent="0.25">
      <c r="F353" t="e" cm="1" vm="1">
        <f t="array" ref="F353">TRANSPOSE(_xlfn._xlws.FILTER(_xlfn.ANCHORARRAY($B$2),_xlfn.ANCHORARRAY($A$2)=$E353))</f>
        <v>#VALUE!</v>
      </c>
    </row>
    <row r="354" spans="6:6" x14ac:dyDescent="0.25">
      <c r="F354" t="e" cm="1" vm="1">
        <f t="array" ref="F354">TRANSPOSE(_xlfn._xlws.FILTER(_xlfn.ANCHORARRAY($B$2),_xlfn.ANCHORARRAY($A$2)=$E354))</f>
        <v>#VALUE!</v>
      </c>
    </row>
    <row r="355" spans="6:6" x14ac:dyDescent="0.25">
      <c r="F355" t="e" cm="1" vm="1">
        <f t="array" ref="F355">TRANSPOSE(_xlfn._xlws.FILTER(_xlfn.ANCHORARRAY($B$2),_xlfn.ANCHORARRAY($A$2)=$E355))</f>
        <v>#VALUE!</v>
      </c>
    </row>
    <row r="356" spans="6:6" x14ac:dyDescent="0.25">
      <c r="F356" t="e" cm="1" vm="1">
        <f t="array" ref="F356">TRANSPOSE(_xlfn._xlws.FILTER(_xlfn.ANCHORARRAY($B$2),_xlfn.ANCHORARRAY($A$2)=$E356))</f>
        <v>#VALUE!</v>
      </c>
    </row>
    <row r="357" spans="6:6" x14ac:dyDescent="0.25">
      <c r="F357" t="e" cm="1" vm="1">
        <f t="array" ref="F357">TRANSPOSE(_xlfn._xlws.FILTER(_xlfn.ANCHORARRAY($B$2),_xlfn.ANCHORARRAY($A$2)=$E357))</f>
        <v>#VALUE!</v>
      </c>
    </row>
    <row r="358" spans="6:6" x14ac:dyDescent="0.25">
      <c r="F358" t="e" cm="1" vm="1">
        <f t="array" ref="F358">TRANSPOSE(_xlfn._xlws.FILTER(_xlfn.ANCHORARRAY($B$2),_xlfn.ANCHORARRAY($A$2)=$E358))</f>
        <v>#VALUE!</v>
      </c>
    </row>
    <row r="359" spans="6:6" x14ac:dyDescent="0.25">
      <c r="F359" t="e" cm="1" vm="1">
        <f t="array" ref="F359">TRANSPOSE(_xlfn._xlws.FILTER(_xlfn.ANCHORARRAY($B$2),_xlfn.ANCHORARRAY($A$2)=$E359))</f>
        <v>#VALUE!</v>
      </c>
    </row>
    <row r="360" spans="6:6" x14ac:dyDescent="0.25">
      <c r="F360" t="e" cm="1" vm="1">
        <f t="array" ref="F360">TRANSPOSE(_xlfn._xlws.FILTER(_xlfn.ANCHORARRAY($B$2),_xlfn.ANCHORARRAY($A$2)=$E360))</f>
        <v>#VALUE!</v>
      </c>
    </row>
    <row r="361" spans="6:6" x14ac:dyDescent="0.25">
      <c r="F361" t="e" cm="1" vm="1">
        <f t="array" ref="F361">TRANSPOSE(_xlfn._xlws.FILTER(_xlfn.ANCHORARRAY($B$2),_xlfn.ANCHORARRAY($A$2)=$E361))</f>
        <v>#VALUE!</v>
      </c>
    </row>
    <row r="362" spans="6:6" x14ac:dyDescent="0.25">
      <c r="F362" t="e" cm="1" vm="1">
        <f t="array" ref="F362">TRANSPOSE(_xlfn._xlws.FILTER(_xlfn.ANCHORARRAY($B$2),_xlfn.ANCHORARRAY($A$2)=$E362))</f>
        <v>#VALUE!</v>
      </c>
    </row>
    <row r="363" spans="6:6" x14ac:dyDescent="0.25">
      <c r="F363" t="e" cm="1" vm="1">
        <f t="array" ref="F363">TRANSPOSE(_xlfn._xlws.FILTER(_xlfn.ANCHORARRAY($B$2),_xlfn.ANCHORARRAY($A$2)=$E363))</f>
        <v>#VALUE!</v>
      </c>
    </row>
    <row r="364" spans="6:6" x14ac:dyDescent="0.25">
      <c r="F364" t="e" cm="1" vm="1">
        <f t="array" ref="F364">TRANSPOSE(_xlfn._xlws.FILTER(_xlfn.ANCHORARRAY($B$2),_xlfn.ANCHORARRAY($A$2)=$E364))</f>
        <v>#VALUE!</v>
      </c>
    </row>
    <row r="365" spans="6:6" x14ac:dyDescent="0.25">
      <c r="F365" t="e" cm="1" vm="1">
        <f t="array" ref="F365">TRANSPOSE(_xlfn._xlws.FILTER(_xlfn.ANCHORARRAY($B$2),_xlfn.ANCHORARRAY($A$2)=$E365))</f>
        <v>#VALUE!</v>
      </c>
    </row>
    <row r="366" spans="6:6" x14ac:dyDescent="0.25">
      <c r="F366" t="e" cm="1" vm="1">
        <f t="array" ref="F366">TRANSPOSE(_xlfn._xlws.FILTER(_xlfn.ANCHORARRAY($B$2),_xlfn.ANCHORARRAY($A$2)=$E366))</f>
        <v>#VALUE!</v>
      </c>
    </row>
    <row r="367" spans="6:6" x14ac:dyDescent="0.25">
      <c r="F367" t="e" cm="1" vm="1">
        <f t="array" ref="F367">TRANSPOSE(_xlfn._xlws.FILTER(_xlfn.ANCHORARRAY($B$2),_xlfn.ANCHORARRAY($A$2)=$E367))</f>
        <v>#VALUE!</v>
      </c>
    </row>
    <row r="368" spans="6:6" x14ac:dyDescent="0.25">
      <c r="F368" t="e" cm="1" vm="1">
        <f t="array" ref="F368">TRANSPOSE(_xlfn._xlws.FILTER(_xlfn.ANCHORARRAY($B$2),_xlfn.ANCHORARRAY($A$2)=$E368))</f>
        <v>#VALUE!</v>
      </c>
    </row>
    <row r="369" spans="6:6" x14ac:dyDescent="0.25">
      <c r="F369" t="e" cm="1" vm="1">
        <f t="array" ref="F369">TRANSPOSE(_xlfn._xlws.FILTER(_xlfn.ANCHORARRAY($B$2),_xlfn.ANCHORARRAY($A$2)=$E369))</f>
        <v>#VALUE!</v>
      </c>
    </row>
    <row r="370" spans="6:6" x14ac:dyDescent="0.25">
      <c r="F370" t="e" cm="1" vm="1">
        <f t="array" ref="F370">TRANSPOSE(_xlfn._xlws.FILTER(_xlfn.ANCHORARRAY($B$2),_xlfn.ANCHORARRAY($A$2)=$E370))</f>
        <v>#VALUE!</v>
      </c>
    </row>
    <row r="371" spans="6:6" x14ac:dyDescent="0.25">
      <c r="F371" t="e" cm="1" vm="1">
        <f t="array" ref="F371">TRANSPOSE(_xlfn._xlws.FILTER(_xlfn.ANCHORARRAY($B$2),_xlfn.ANCHORARRAY($A$2)=$E371))</f>
        <v>#VALUE!</v>
      </c>
    </row>
    <row r="372" spans="6:6" x14ac:dyDescent="0.25">
      <c r="F372" t="e" cm="1" vm="1">
        <f t="array" ref="F372">TRANSPOSE(_xlfn._xlws.FILTER(_xlfn.ANCHORARRAY($B$2),_xlfn.ANCHORARRAY($A$2)=$E372))</f>
        <v>#VALUE!</v>
      </c>
    </row>
    <row r="373" spans="6:6" x14ac:dyDescent="0.25">
      <c r="F373" t="e" cm="1" vm="1">
        <f t="array" ref="F373">TRANSPOSE(_xlfn._xlws.FILTER(_xlfn.ANCHORARRAY($B$2),_xlfn.ANCHORARRAY($A$2)=$E373))</f>
        <v>#VALUE!</v>
      </c>
    </row>
    <row r="374" spans="6:6" x14ac:dyDescent="0.25">
      <c r="F374" t="e" cm="1" vm="1">
        <f t="array" ref="F374">TRANSPOSE(_xlfn._xlws.FILTER(_xlfn.ANCHORARRAY($B$2),_xlfn.ANCHORARRAY($A$2)=$E374))</f>
        <v>#VALUE!</v>
      </c>
    </row>
    <row r="375" spans="6:6" x14ac:dyDescent="0.25">
      <c r="F375" t="e" cm="1" vm="1">
        <f t="array" ref="F375">TRANSPOSE(_xlfn._xlws.FILTER(_xlfn.ANCHORARRAY($B$2),_xlfn.ANCHORARRAY($A$2)=$E375))</f>
        <v>#VALUE!</v>
      </c>
    </row>
    <row r="376" spans="6:6" x14ac:dyDescent="0.25">
      <c r="F376" t="e" cm="1" vm="1">
        <f t="array" ref="F376">TRANSPOSE(_xlfn._xlws.FILTER(_xlfn.ANCHORARRAY($B$2),_xlfn.ANCHORARRAY($A$2)=$E376))</f>
        <v>#VALUE!</v>
      </c>
    </row>
    <row r="377" spans="6:6" x14ac:dyDescent="0.25">
      <c r="F377" t="e" cm="1" vm="1">
        <f t="array" ref="F377">TRANSPOSE(_xlfn._xlws.FILTER(_xlfn.ANCHORARRAY($B$2),_xlfn.ANCHORARRAY($A$2)=$E377))</f>
        <v>#VALUE!</v>
      </c>
    </row>
    <row r="378" spans="6:6" x14ac:dyDescent="0.25">
      <c r="F378" t="e" cm="1" vm="1">
        <f t="array" ref="F378">TRANSPOSE(_xlfn._xlws.FILTER(_xlfn.ANCHORARRAY($B$2),_xlfn.ANCHORARRAY($A$2)=$E378))</f>
        <v>#VALUE!</v>
      </c>
    </row>
    <row r="379" spans="6:6" x14ac:dyDescent="0.25">
      <c r="F379" t="e" cm="1" vm="1">
        <f t="array" ref="F379">TRANSPOSE(_xlfn._xlws.FILTER(_xlfn.ANCHORARRAY($B$2),_xlfn.ANCHORARRAY($A$2)=$E379))</f>
        <v>#VALUE!</v>
      </c>
    </row>
    <row r="380" spans="6:6" x14ac:dyDescent="0.25">
      <c r="F380" t="e" cm="1" vm="1">
        <f t="array" ref="F380">TRANSPOSE(_xlfn._xlws.FILTER(_xlfn.ANCHORARRAY($B$2),_xlfn.ANCHORARRAY($A$2)=$E380))</f>
        <v>#VALUE!</v>
      </c>
    </row>
    <row r="381" spans="6:6" x14ac:dyDescent="0.25">
      <c r="F381" t="e" cm="1" vm="1">
        <f t="array" ref="F381">TRANSPOSE(_xlfn._xlws.FILTER(_xlfn.ANCHORARRAY($B$2),_xlfn.ANCHORARRAY($A$2)=$E381))</f>
        <v>#VALUE!</v>
      </c>
    </row>
    <row r="382" spans="6:6" x14ac:dyDescent="0.25">
      <c r="F382" t="e" cm="1" vm="1">
        <f t="array" ref="F382">TRANSPOSE(_xlfn._xlws.FILTER(_xlfn.ANCHORARRAY($B$2),_xlfn.ANCHORARRAY($A$2)=$E382))</f>
        <v>#VALUE!</v>
      </c>
    </row>
    <row r="383" spans="6:6" x14ac:dyDescent="0.25">
      <c r="F383" t="e" cm="1" vm="1">
        <f t="array" ref="F383">TRANSPOSE(_xlfn._xlws.FILTER(_xlfn.ANCHORARRAY($B$2),_xlfn.ANCHORARRAY($A$2)=$E383))</f>
        <v>#VALUE!</v>
      </c>
    </row>
    <row r="384" spans="6:6" x14ac:dyDescent="0.25">
      <c r="F384" t="e" cm="1" vm="1">
        <f t="array" ref="F384">TRANSPOSE(_xlfn._xlws.FILTER(_xlfn.ANCHORARRAY($B$2),_xlfn.ANCHORARRAY($A$2)=$E384))</f>
        <v>#VALUE!</v>
      </c>
    </row>
    <row r="385" spans="6:6" x14ac:dyDescent="0.25">
      <c r="F385" t="e" cm="1" vm="1">
        <f t="array" ref="F385">TRANSPOSE(_xlfn._xlws.FILTER(_xlfn.ANCHORARRAY($B$2),_xlfn.ANCHORARRAY($A$2)=$E385))</f>
        <v>#VALUE!</v>
      </c>
    </row>
    <row r="386" spans="6:6" x14ac:dyDescent="0.25">
      <c r="F386" t="e" cm="1" vm="1">
        <f t="array" ref="F386">TRANSPOSE(_xlfn._xlws.FILTER(_xlfn.ANCHORARRAY($B$2),_xlfn.ANCHORARRAY($A$2)=$E386))</f>
        <v>#VALUE!</v>
      </c>
    </row>
    <row r="387" spans="6:6" x14ac:dyDescent="0.25">
      <c r="F387" t="e" cm="1" vm="1">
        <f t="array" ref="F387">TRANSPOSE(_xlfn._xlws.FILTER(_xlfn.ANCHORARRAY($B$2),_xlfn.ANCHORARRAY($A$2)=$E387))</f>
        <v>#VALUE!</v>
      </c>
    </row>
    <row r="388" spans="6:6" x14ac:dyDescent="0.25">
      <c r="F388" t="e" cm="1" vm="1">
        <f t="array" ref="F388">TRANSPOSE(_xlfn._xlws.FILTER(_xlfn.ANCHORARRAY($B$2),_xlfn.ANCHORARRAY($A$2)=$E388))</f>
        <v>#VALUE!</v>
      </c>
    </row>
    <row r="389" spans="6:6" x14ac:dyDescent="0.25">
      <c r="F389" t="e" cm="1" vm="1">
        <f t="array" ref="F389">TRANSPOSE(_xlfn._xlws.FILTER(_xlfn.ANCHORARRAY($B$2),_xlfn.ANCHORARRAY($A$2)=$E389))</f>
        <v>#VALUE!</v>
      </c>
    </row>
    <row r="390" spans="6:6" x14ac:dyDescent="0.25">
      <c r="F390" t="e" cm="1" vm="1">
        <f t="array" ref="F390">TRANSPOSE(_xlfn._xlws.FILTER(_xlfn.ANCHORARRAY($B$2),_xlfn.ANCHORARRAY($A$2)=$E390))</f>
        <v>#VALUE!</v>
      </c>
    </row>
    <row r="391" spans="6:6" x14ac:dyDescent="0.25">
      <c r="F391" t="e" cm="1" vm="1">
        <f t="array" ref="F391">TRANSPOSE(_xlfn._xlws.FILTER(_xlfn.ANCHORARRAY($B$2),_xlfn.ANCHORARRAY($A$2)=$E391))</f>
        <v>#VALUE!</v>
      </c>
    </row>
    <row r="392" spans="6:6" x14ac:dyDescent="0.25">
      <c r="F392" t="e" cm="1" vm="1">
        <f t="array" ref="F392">TRANSPOSE(_xlfn._xlws.FILTER(_xlfn.ANCHORARRAY($B$2),_xlfn.ANCHORARRAY($A$2)=$E392))</f>
        <v>#VALUE!</v>
      </c>
    </row>
    <row r="393" spans="6:6" x14ac:dyDescent="0.25">
      <c r="F393" t="e" cm="1" vm="1">
        <f t="array" ref="F393">TRANSPOSE(_xlfn._xlws.FILTER(_xlfn.ANCHORARRAY($B$2),_xlfn.ANCHORARRAY($A$2)=$E393))</f>
        <v>#VALUE!</v>
      </c>
    </row>
    <row r="394" spans="6:6" x14ac:dyDescent="0.25">
      <c r="F394" t="e" cm="1" vm="1">
        <f t="array" ref="F394">TRANSPOSE(_xlfn._xlws.FILTER(_xlfn.ANCHORARRAY($B$2),_xlfn.ANCHORARRAY($A$2)=$E394))</f>
        <v>#VALUE!</v>
      </c>
    </row>
    <row r="395" spans="6:6" x14ac:dyDescent="0.25">
      <c r="F395" t="e" cm="1" vm="1">
        <f t="array" ref="F395">TRANSPOSE(_xlfn._xlws.FILTER(_xlfn.ANCHORARRAY($B$2),_xlfn.ANCHORARRAY($A$2)=$E395))</f>
        <v>#VALUE!</v>
      </c>
    </row>
    <row r="396" spans="6:6" x14ac:dyDescent="0.25">
      <c r="F396" t="e" cm="1" vm="1">
        <f t="array" ref="F396">TRANSPOSE(_xlfn._xlws.FILTER(_xlfn.ANCHORARRAY($B$2),_xlfn.ANCHORARRAY($A$2)=$E396))</f>
        <v>#VALUE!</v>
      </c>
    </row>
    <row r="397" spans="6:6" x14ac:dyDescent="0.25">
      <c r="F397" t="e" cm="1" vm="1">
        <f t="array" ref="F397">TRANSPOSE(_xlfn._xlws.FILTER(_xlfn.ANCHORARRAY($B$2),_xlfn.ANCHORARRAY($A$2)=$E397))</f>
        <v>#VALUE!</v>
      </c>
    </row>
    <row r="398" spans="6:6" x14ac:dyDescent="0.25">
      <c r="F398" t="e" cm="1" vm="1">
        <f t="array" ref="F398">TRANSPOSE(_xlfn._xlws.FILTER(_xlfn.ANCHORARRAY($B$2),_xlfn.ANCHORARRAY($A$2)=$E398))</f>
        <v>#VALUE!</v>
      </c>
    </row>
    <row r="399" spans="6:6" x14ac:dyDescent="0.25">
      <c r="F399" t="e" cm="1" vm="1">
        <f t="array" ref="F399">TRANSPOSE(_xlfn._xlws.FILTER(_xlfn.ANCHORARRAY($B$2),_xlfn.ANCHORARRAY($A$2)=$E399))</f>
        <v>#VALUE!</v>
      </c>
    </row>
    <row r="400" spans="6:6" x14ac:dyDescent="0.25">
      <c r="F400" t="e" cm="1" vm="1">
        <f t="array" ref="F400">TRANSPOSE(_xlfn._xlws.FILTER(_xlfn.ANCHORARRAY($B$2),_xlfn.ANCHORARRAY($A$2)=$E400))</f>
        <v>#VALUE!</v>
      </c>
    </row>
    <row r="401" spans="6:6" x14ac:dyDescent="0.25">
      <c r="F401" t="e" cm="1" vm="1">
        <f t="array" ref="F401">TRANSPOSE(_xlfn._xlws.FILTER(_xlfn.ANCHORARRAY($B$2),_xlfn.ANCHORARRAY($A$2)=$E401))</f>
        <v>#VALUE!</v>
      </c>
    </row>
    <row r="402" spans="6:6" x14ac:dyDescent="0.25">
      <c r="F402" t="e" cm="1" vm="1">
        <f t="array" ref="F402">TRANSPOSE(_xlfn._xlws.FILTER(_xlfn.ANCHORARRAY($B$2),_xlfn.ANCHORARRAY($A$2)=$E402))</f>
        <v>#VALUE!</v>
      </c>
    </row>
    <row r="403" spans="6:6" x14ac:dyDescent="0.25">
      <c r="F403" t="e" cm="1" vm="1">
        <f t="array" ref="F403">TRANSPOSE(_xlfn._xlws.FILTER(_xlfn.ANCHORARRAY($B$2),_xlfn.ANCHORARRAY($A$2)=$E403))</f>
        <v>#VALUE!</v>
      </c>
    </row>
    <row r="404" spans="6:6" x14ac:dyDescent="0.25">
      <c r="F404" t="e" cm="1" vm="1">
        <f t="array" ref="F404">TRANSPOSE(_xlfn._xlws.FILTER(_xlfn.ANCHORARRAY($B$2),_xlfn.ANCHORARRAY($A$2)=$E404))</f>
        <v>#VALUE!</v>
      </c>
    </row>
    <row r="405" spans="6:6" x14ac:dyDescent="0.25">
      <c r="F405" t="e" cm="1" vm="1">
        <f t="array" ref="F405">TRANSPOSE(_xlfn._xlws.FILTER(_xlfn.ANCHORARRAY($B$2),_xlfn.ANCHORARRAY($A$2)=$E405))</f>
        <v>#VALUE!</v>
      </c>
    </row>
    <row r="406" spans="6:6" x14ac:dyDescent="0.25">
      <c r="F406" t="e" cm="1" vm="1">
        <f t="array" ref="F406">TRANSPOSE(_xlfn._xlws.FILTER(_xlfn.ANCHORARRAY($B$2),_xlfn.ANCHORARRAY($A$2)=$E406))</f>
        <v>#VALUE!</v>
      </c>
    </row>
    <row r="407" spans="6:6" x14ac:dyDescent="0.25">
      <c r="F407" t="e" cm="1" vm="1">
        <f t="array" ref="F407">TRANSPOSE(_xlfn._xlws.FILTER(_xlfn.ANCHORARRAY($B$2),_xlfn.ANCHORARRAY($A$2)=$E407))</f>
        <v>#VALUE!</v>
      </c>
    </row>
    <row r="408" spans="6:6" x14ac:dyDescent="0.25">
      <c r="F408" t="e" cm="1" vm="1">
        <f t="array" ref="F408">TRANSPOSE(_xlfn._xlws.FILTER(_xlfn.ANCHORARRAY($B$2),_xlfn.ANCHORARRAY($A$2)=$E408))</f>
        <v>#VALUE!</v>
      </c>
    </row>
    <row r="409" spans="6:6" x14ac:dyDescent="0.25">
      <c r="F409" t="e" cm="1" vm="1">
        <f t="array" ref="F409">TRANSPOSE(_xlfn._xlws.FILTER(_xlfn.ANCHORARRAY($B$2),_xlfn.ANCHORARRAY($A$2)=$E409))</f>
        <v>#VALUE!</v>
      </c>
    </row>
    <row r="410" spans="6:6" x14ac:dyDescent="0.25">
      <c r="F410" t="e" cm="1" vm="1">
        <f t="array" ref="F410">TRANSPOSE(_xlfn._xlws.FILTER(_xlfn.ANCHORARRAY($B$2),_xlfn.ANCHORARRAY($A$2)=$E410))</f>
        <v>#VALUE!</v>
      </c>
    </row>
    <row r="411" spans="6:6" x14ac:dyDescent="0.25">
      <c r="F411" t="e" cm="1" vm="1">
        <f t="array" ref="F411">TRANSPOSE(_xlfn._xlws.FILTER(_xlfn.ANCHORARRAY($B$2),_xlfn.ANCHORARRAY($A$2)=$E411))</f>
        <v>#VALUE!</v>
      </c>
    </row>
    <row r="412" spans="6:6" x14ac:dyDescent="0.25">
      <c r="F412" t="e" cm="1" vm="1">
        <f t="array" ref="F412">TRANSPOSE(_xlfn._xlws.FILTER(_xlfn.ANCHORARRAY($B$2),_xlfn.ANCHORARRAY($A$2)=$E412))</f>
        <v>#VALUE!</v>
      </c>
    </row>
    <row r="413" spans="6:6" x14ac:dyDescent="0.25">
      <c r="F413" t="e" cm="1" vm="1">
        <f t="array" ref="F413">TRANSPOSE(_xlfn._xlws.FILTER(_xlfn.ANCHORARRAY($B$2),_xlfn.ANCHORARRAY($A$2)=$E413))</f>
        <v>#VALUE!</v>
      </c>
    </row>
    <row r="414" spans="6:6" x14ac:dyDescent="0.25">
      <c r="F414" t="e" cm="1" vm="1">
        <f t="array" ref="F414">TRANSPOSE(_xlfn._xlws.FILTER(_xlfn.ANCHORARRAY($B$2),_xlfn.ANCHORARRAY($A$2)=$E414))</f>
        <v>#VALUE!</v>
      </c>
    </row>
    <row r="415" spans="6:6" x14ac:dyDescent="0.25">
      <c r="F415" t="e" cm="1" vm="1">
        <f t="array" ref="F415">TRANSPOSE(_xlfn._xlws.FILTER(_xlfn.ANCHORARRAY($B$2),_xlfn.ANCHORARRAY($A$2)=$E415))</f>
        <v>#VALUE!</v>
      </c>
    </row>
    <row r="416" spans="6:6" x14ac:dyDescent="0.25">
      <c r="F416" t="e" cm="1" vm="1">
        <f t="array" ref="F416">TRANSPOSE(_xlfn._xlws.FILTER(_xlfn.ANCHORARRAY($B$2),_xlfn.ANCHORARRAY($A$2)=$E416))</f>
        <v>#VALUE!</v>
      </c>
    </row>
    <row r="417" spans="6:6" x14ac:dyDescent="0.25">
      <c r="F417" t="e" cm="1" vm="1">
        <f t="array" ref="F417">TRANSPOSE(_xlfn._xlws.FILTER(_xlfn.ANCHORARRAY($B$2),_xlfn.ANCHORARRAY($A$2)=$E417))</f>
        <v>#VALUE!</v>
      </c>
    </row>
    <row r="418" spans="6:6" x14ac:dyDescent="0.25">
      <c r="F418" t="e" cm="1" vm="1">
        <f t="array" ref="F418">TRANSPOSE(_xlfn._xlws.FILTER(_xlfn.ANCHORARRAY($B$2),_xlfn.ANCHORARRAY($A$2)=$E418))</f>
        <v>#VALUE!</v>
      </c>
    </row>
    <row r="419" spans="6:6" x14ac:dyDescent="0.25">
      <c r="F419" t="e" cm="1" vm="1">
        <f t="array" ref="F419">TRANSPOSE(_xlfn._xlws.FILTER(_xlfn.ANCHORARRAY($B$2),_xlfn.ANCHORARRAY($A$2)=$E419))</f>
        <v>#VALUE!</v>
      </c>
    </row>
    <row r="420" spans="6:6" x14ac:dyDescent="0.25">
      <c r="F420" t="e" cm="1" vm="1">
        <f t="array" ref="F420">TRANSPOSE(_xlfn._xlws.FILTER(_xlfn.ANCHORARRAY($B$2),_xlfn.ANCHORARRAY($A$2)=$E420))</f>
        <v>#VALUE!</v>
      </c>
    </row>
    <row r="421" spans="6:6" x14ac:dyDescent="0.25">
      <c r="F421" t="e" cm="1" vm="1">
        <f t="array" ref="F421">TRANSPOSE(_xlfn._xlws.FILTER(_xlfn.ANCHORARRAY($B$2),_xlfn.ANCHORARRAY($A$2)=$E421))</f>
        <v>#VALUE!</v>
      </c>
    </row>
    <row r="422" spans="6:6" x14ac:dyDescent="0.25">
      <c r="F422" t="e" cm="1" vm="1">
        <f t="array" ref="F422">TRANSPOSE(_xlfn._xlws.FILTER(_xlfn.ANCHORARRAY($B$2),_xlfn.ANCHORARRAY($A$2)=$E422))</f>
        <v>#VALUE!</v>
      </c>
    </row>
    <row r="423" spans="6:6" x14ac:dyDescent="0.25">
      <c r="F423" t="e" cm="1" vm="1">
        <f t="array" ref="F423">TRANSPOSE(_xlfn._xlws.FILTER(_xlfn.ANCHORARRAY($B$2),_xlfn.ANCHORARRAY($A$2)=$E423))</f>
        <v>#VALUE!</v>
      </c>
    </row>
    <row r="424" spans="6:6" x14ac:dyDescent="0.25">
      <c r="F424" t="e" cm="1" vm="1">
        <f t="array" ref="F424">TRANSPOSE(_xlfn._xlws.FILTER(_xlfn.ANCHORARRAY($B$2),_xlfn.ANCHORARRAY($A$2)=$E424))</f>
        <v>#VALUE!</v>
      </c>
    </row>
    <row r="425" spans="6:6" x14ac:dyDescent="0.25">
      <c r="F425" t="e" cm="1" vm="1">
        <f t="array" ref="F425">TRANSPOSE(_xlfn._xlws.FILTER(_xlfn.ANCHORARRAY($B$2),_xlfn.ANCHORARRAY($A$2)=$E425))</f>
        <v>#VALUE!</v>
      </c>
    </row>
    <row r="426" spans="6:6" x14ac:dyDescent="0.25">
      <c r="F426" t="e" cm="1" vm="1">
        <f t="array" ref="F426">TRANSPOSE(_xlfn._xlws.FILTER(_xlfn.ANCHORARRAY($B$2),_xlfn.ANCHORARRAY($A$2)=$E426))</f>
        <v>#VALUE!</v>
      </c>
    </row>
    <row r="427" spans="6:6" x14ac:dyDescent="0.25">
      <c r="F427" t="e" cm="1" vm="1">
        <f t="array" ref="F427">TRANSPOSE(_xlfn._xlws.FILTER(_xlfn.ANCHORARRAY($B$2),_xlfn.ANCHORARRAY($A$2)=$E427))</f>
        <v>#VALUE!</v>
      </c>
    </row>
    <row r="428" spans="6:6" x14ac:dyDescent="0.25">
      <c r="F428" t="e" cm="1" vm="1">
        <f t="array" ref="F428">TRANSPOSE(_xlfn._xlws.FILTER(_xlfn.ANCHORARRAY($B$2),_xlfn.ANCHORARRAY($A$2)=$E428))</f>
        <v>#VALUE!</v>
      </c>
    </row>
    <row r="429" spans="6:6" x14ac:dyDescent="0.25">
      <c r="F429" t="e" cm="1" vm="1">
        <f t="array" ref="F429">TRANSPOSE(_xlfn._xlws.FILTER(_xlfn.ANCHORARRAY($B$2),_xlfn.ANCHORARRAY($A$2)=$E429))</f>
        <v>#VALUE!</v>
      </c>
    </row>
    <row r="430" spans="6:6" x14ac:dyDescent="0.25">
      <c r="F430" t="e" cm="1" vm="1">
        <f t="array" ref="F430">TRANSPOSE(_xlfn._xlws.FILTER(_xlfn.ANCHORARRAY($B$2),_xlfn.ANCHORARRAY($A$2)=$E430))</f>
        <v>#VALUE!</v>
      </c>
    </row>
    <row r="431" spans="6:6" x14ac:dyDescent="0.25">
      <c r="F431" t="e" cm="1" vm="1">
        <f t="array" ref="F431">TRANSPOSE(_xlfn._xlws.FILTER(_xlfn.ANCHORARRAY($B$2),_xlfn.ANCHORARRAY($A$2)=$E431))</f>
        <v>#VALUE!</v>
      </c>
    </row>
    <row r="432" spans="6:6" x14ac:dyDescent="0.25">
      <c r="F432" t="e" cm="1" vm="1">
        <f t="array" ref="F432">TRANSPOSE(_xlfn._xlws.FILTER(_xlfn.ANCHORARRAY($B$2),_xlfn.ANCHORARRAY($A$2)=$E432))</f>
        <v>#VALUE!</v>
      </c>
    </row>
    <row r="433" spans="6:6" x14ac:dyDescent="0.25">
      <c r="F433" t="e" cm="1" vm="1">
        <f t="array" ref="F433">TRANSPOSE(_xlfn._xlws.FILTER(_xlfn.ANCHORARRAY($B$2),_xlfn.ANCHORARRAY($A$2)=$E433))</f>
        <v>#VALUE!</v>
      </c>
    </row>
    <row r="434" spans="6:6" x14ac:dyDescent="0.25">
      <c r="F434" t="e" cm="1" vm="1">
        <f t="array" ref="F434">TRANSPOSE(_xlfn._xlws.FILTER(_xlfn.ANCHORARRAY($B$2),_xlfn.ANCHORARRAY($A$2)=$E434))</f>
        <v>#VALUE!</v>
      </c>
    </row>
    <row r="435" spans="6:6" x14ac:dyDescent="0.25">
      <c r="F435" t="e" cm="1" vm="1">
        <f t="array" ref="F435">TRANSPOSE(_xlfn._xlws.FILTER(_xlfn.ANCHORARRAY($B$2),_xlfn.ANCHORARRAY($A$2)=$E435))</f>
        <v>#VALUE!</v>
      </c>
    </row>
    <row r="436" spans="6:6" x14ac:dyDescent="0.25">
      <c r="F436" t="e" cm="1" vm="1">
        <f t="array" ref="F436">TRANSPOSE(_xlfn._xlws.FILTER(_xlfn.ANCHORARRAY($B$2),_xlfn.ANCHORARRAY($A$2)=$E436))</f>
        <v>#VALUE!</v>
      </c>
    </row>
    <row r="437" spans="6:6" x14ac:dyDescent="0.25">
      <c r="F437" t="e" cm="1" vm="1">
        <f t="array" ref="F437">TRANSPOSE(_xlfn._xlws.FILTER(_xlfn.ANCHORARRAY($B$2),_xlfn.ANCHORARRAY($A$2)=$E437))</f>
        <v>#VALUE!</v>
      </c>
    </row>
    <row r="438" spans="6:6" x14ac:dyDescent="0.25">
      <c r="F438" t="e" cm="1" vm="1">
        <f t="array" ref="F438">TRANSPOSE(_xlfn._xlws.FILTER(_xlfn.ANCHORARRAY($B$2),_xlfn.ANCHORARRAY($A$2)=$E438))</f>
        <v>#VALUE!</v>
      </c>
    </row>
    <row r="439" spans="6:6" x14ac:dyDescent="0.25">
      <c r="F439" t="e" cm="1" vm="1">
        <f t="array" ref="F439">TRANSPOSE(_xlfn._xlws.FILTER(_xlfn.ANCHORARRAY($B$2),_xlfn.ANCHORARRAY($A$2)=$E439))</f>
        <v>#VALUE!</v>
      </c>
    </row>
    <row r="440" spans="6:6" x14ac:dyDescent="0.25">
      <c r="F440" t="e" cm="1" vm="1">
        <f t="array" ref="F440">TRANSPOSE(_xlfn._xlws.FILTER(_xlfn.ANCHORARRAY($B$2),_xlfn.ANCHORARRAY($A$2)=$E440))</f>
        <v>#VALUE!</v>
      </c>
    </row>
    <row r="441" spans="6:6" x14ac:dyDescent="0.25">
      <c r="F441" t="e" cm="1" vm="1">
        <f t="array" ref="F441">TRANSPOSE(_xlfn._xlws.FILTER(_xlfn.ANCHORARRAY($B$2),_xlfn.ANCHORARRAY($A$2)=$E441))</f>
        <v>#VALUE!</v>
      </c>
    </row>
    <row r="442" spans="6:6" x14ac:dyDescent="0.25">
      <c r="F442" t="e" cm="1" vm="1">
        <f t="array" ref="F442">TRANSPOSE(_xlfn._xlws.FILTER(_xlfn.ANCHORARRAY($B$2),_xlfn.ANCHORARRAY($A$2)=$E442))</f>
        <v>#VALUE!</v>
      </c>
    </row>
    <row r="443" spans="6:6" x14ac:dyDescent="0.25">
      <c r="F443" t="e" cm="1" vm="1">
        <f t="array" ref="F443">TRANSPOSE(_xlfn._xlws.FILTER(_xlfn.ANCHORARRAY($B$2),_xlfn.ANCHORARRAY($A$2)=$E443))</f>
        <v>#VALUE!</v>
      </c>
    </row>
    <row r="444" spans="6:6" x14ac:dyDescent="0.25">
      <c r="F444" t="e" cm="1" vm="1">
        <f t="array" ref="F444">TRANSPOSE(_xlfn._xlws.FILTER(_xlfn.ANCHORARRAY($B$2),_xlfn.ANCHORARRAY($A$2)=$E444))</f>
        <v>#VALUE!</v>
      </c>
    </row>
    <row r="445" spans="6:6" x14ac:dyDescent="0.25">
      <c r="F445" t="e" cm="1" vm="1">
        <f t="array" ref="F445">TRANSPOSE(_xlfn._xlws.FILTER(_xlfn.ANCHORARRAY($B$2),_xlfn.ANCHORARRAY($A$2)=$E445))</f>
        <v>#VALUE!</v>
      </c>
    </row>
    <row r="446" spans="6:6" x14ac:dyDescent="0.25">
      <c r="F446" t="e" cm="1" vm="1">
        <f t="array" ref="F446">TRANSPOSE(_xlfn._xlws.FILTER(_xlfn.ANCHORARRAY($B$2),_xlfn.ANCHORARRAY($A$2)=$E446))</f>
        <v>#VALUE!</v>
      </c>
    </row>
    <row r="447" spans="6:6" x14ac:dyDescent="0.25">
      <c r="F447" t="e" cm="1" vm="1">
        <f t="array" ref="F447">TRANSPOSE(_xlfn._xlws.FILTER(_xlfn.ANCHORARRAY($B$2),_xlfn.ANCHORARRAY($A$2)=$E447))</f>
        <v>#VALUE!</v>
      </c>
    </row>
    <row r="448" spans="6:6" x14ac:dyDescent="0.25">
      <c r="F448" t="e" cm="1" vm="1">
        <f t="array" ref="F448">TRANSPOSE(_xlfn._xlws.FILTER(_xlfn.ANCHORARRAY($B$2),_xlfn.ANCHORARRAY($A$2)=$E448))</f>
        <v>#VALUE!</v>
      </c>
    </row>
    <row r="449" spans="6:6" x14ac:dyDescent="0.25">
      <c r="F449" t="e" cm="1" vm="1">
        <f t="array" ref="F449">TRANSPOSE(_xlfn._xlws.FILTER(_xlfn.ANCHORARRAY($B$2),_xlfn.ANCHORARRAY($A$2)=$E449))</f>
        <v>#VALUE!</v>
      </c>
    </row>
    <row r="450" spans="6:6" x14ac:dyDescent="0.25">
      <c r="F450" t="e" cm="1" vm="1">
        <f t="array" ref="F450">TRANSPOSE(_xlfn._xlws.FILTER(_xlfn.ANCHORARRAY($B$2),_xlfn.ANCHORARRAY($A$2)=$E450))</f>
        <v>#VALUE!</v>
      </c>
    </row>
    <row r="451" spans="6:6" x14ac:dyDescent="0.25">
      <c r="F451" t="e" cm="1" vm="1">
        <f t="array" ref="F451">TRANSPOSE(_xlfn._xlws.FILTER(_xlfn.ANCHORARRAY($B$2),_xlfn.ANCHORARRAY($A$2)=$E451))</f>
        <v>#VALUE!</v>
      </c>
    </row>
    <row r="452" spans="6:6" x14ac:dyDescent="0.25">
      <c r="F452" t="e" cm="1" vm="1">
        <f t="array" ref="F452">TRANSPOSE(_xlfn._xlws.FILTER(_xlfn.ANCHORARRAY($B$2),_xlfn.ANCHORARRAY($A$2)=$E452))</f>
        <v>#VALUE!</v>
      </c>
    </row>
    <row r="453" spans="6:6" x14ac:dyDescent="0.25">
      <c r="F453" t="e" cm="1" vm="1">
        <f t="array" ref="F453">TRANSPOSE(_xlfn._xlws.FILTER(_xlfn.ANCHORARRAY($B$2),_xlfn.ANCHORARRAY($A$2)=$E453))</f>
        <v>#VALUE!</v>
      </c>
    </row>
    <row r="454" spans="6:6" x14ac:dyDescent="0.25">
      <c r="F454" t="e" cm="1" vm="1">
        <f t="array" ref="F454">TRANSPOSE(_xlfn._xlws.FILTER(_xlfn.ANCHORARRAY($B$2),_xlfn.ANCHORARRAY($A$2)=$E454))</f>
        <v>#VALUE!</v>
      </c>
    </row>
    <row r="455" spans="6:6" x14ac:dyDescent="0.25">
      <c r="F455" t="e" cm="1" vm="1">
        <f t="array" ref="F455">TRANSPOSE(_xlfn._xlws.FILTER(_xlfn.ANCHORARRAY($B$2),_xlfn.ANCHORARRAY($A$2)=$E455))</f>
        <v>#VALUE!</v>
      </c>
    </row>
    <row r="456" spans="6:6" x14ac:dyDescent="0.25">
      <c r="F456" t="e" cm="1" vm="1">
        <f t="array" ref="F456">TRANSPOSE(_xlfn._xlws.FILTER(_xlfn.ANCHORARRAY($B$2),_xlfn.ANCHORARRAY($A$2)=$E456))</f>
        <v>#VALUE!</v>
      </c>
    </row>
    <row r="457" spans="6:6" x14ac:dyDescent="0.25">
      <c r="F457" t="e" cm="1" vm="1">
        <f t="array" ref="F457">TRANSPOSE(_xlfn._xlws.FILTER(_xlfn.ANCHORARRAY($B$2),_xlfn.ANCHORARRAY($A$2)=$E457))</f>
        <v>#VALUE!</v>
      </c>
    </row>
    <row r="458" spans="6:6" x14ac:dyDescent="0.25">
      <c r="F458" t="e" cm="1" vm="1">
        <f t="array" ref="F458">TRANSPOSE(_xlfn._xlws.FILTER(_xlfn.ANCHORARRAY($B$2),_xlfn.ANCHORARRAY($A$2)=$E458))</f>
        <v>#VALUE!</v>
      </c>
    </row>
    <row r="459" spans="6:6" x14ac:dyDescent="0.25">
      <c r="F459" t="e" cm="1" vm="1">
        <f t="array" ref="F459">TRANSPOSE(_xlfn._xlws.FILTER(_xlfn.ANCHORARRAY($B$2),_xlfn.ANCHORARRAY($A$2)=$E459))</f>
        <v>#VALUE!</v>
      </c>
    </row>
    <row r="460" spans="6:6" x14ac:dyDescent="0.25">
      <c r="F460" t="e" cm="1" vm="1">
        <f t="array" ref="F460">TRANSPOSE(_xlfn._xlws.FILTER(_xlfn.ANCHORARRAY($B$2),_xlfn.ANCHORARRAY($A$2)=$E460))</f>
        <v>#VALUE!</v>
      </c>
    </row>
    <row r="461" spans="6:6" x14ac:dyDescent="0.25">
      <c r="F461" t="e" cm="1" vm="1">
        <f t="array" ref="F461">TRANSPOSE(_xlfn._xlws.FILTER(_xlfn.ANCHORARRAY($B$2),_xlfn.ANCHORARRAY($A$2)=$E461))</f>
        <v>#VALUE!</v>
      </c>
    </row>
    <row r="462" spans="6:6" x14ac:dyDescent="0.25">
      <c r="F462" t="e" cm="1" vm="1">
        <f t="array" ref="F462">TRANSPOSE(_xlfn._xlws.FILTER(_xlfn.ANCHORARRAY($B$2),_xlfn.ANCHORARRAY($A$2)=$E462))</f>
        <v>#VALUE!</v>
      </c>
    </row>
    <row r="463" spans="6:6" x14ac:dyDescent="0.25">
      <c r="F463" t="e" cm="1" vm="1">
        <f t="array" ref="F463">TRANSPOSE(_xlfn._xlws.FILTER(_xlfn.ANCHORARRAY($B$2),_xlfn.ANCHORARRAY($A$2)=$E463))</f>
        <v>#VALUE!</v>
      </c>
    </row>
    <row r="464" spans="6:6" x14ac:dyDescent="0.25">
      <c r="F464" t="e" cm="1" vm="1">
        <f t="array" ref="F464">TRANSPOSE(_xlfn._xlws.FILTER(_xlfn.ANCHORARRAY($B$2),_xlfn.ANCHORARRAY($A$2)=$E464))</f>
        <v>#VALUE!</v>
      </c>
    </row>
    <row r="465" spans="6:6" x14ac:dyDescent="0.25">
      <c r="F465" t="e" cm="1" vm="1">
        <f t="array" ref="F465">TRANSPOSE(_xlfn._xlws.FILTER(_xlfn.ANCHORARRAY($B$2),_xlfn.ANCHORARRAY($A$2)=$E465))</f>
        <v>#VALUE!</v>
      </c>
    </row>
    <row r="466" spans="6:6" x14ac:dyDescent="0.25">
      <c r="F466" t="e" cm="1" vm="1">
        <f t="array" ref="F466">TRANSPOSE(_xlfn._xlws.FILTER(_xlfn.ANCHORARRAY($B$2),_xlfn.ANCHORARRAY($A$2)=$E466))</f>
        <v>#VALUE!</v>
      </c>
    </row>
    <row r="467" spans="6:6" x14ac:dyDescent="0.25">
      <c r="F467" t="e" cm="1" vm="1">
        <f t="array" ref="F467">TRANSPOSE(_xlfn._xlws.FILTER(_xlfn.ANCHORARRAY($B$2),_xlfn.ANCHORARRAY($A$2)=$E467))</f>
        <v>#VALUE!</v>
      </c>
    </row>
    <row r="468" spans="6:6" x14ac:dyDescent="0.25">
      <c r="F468" t="e" cm="1" vm="1">
        <f t="array" ref="F468">TRANSPOSE(_xlfn._xlws.FILTER(_xlfn.ANCHORARRAY($B$2),_xlfn.ANCHORARRAY($A$2)=$E468))</f>
        <v>#VALUE!</v>
      </c>
    </row>
    <row r="469" spans="6:6" x14ac:dyDescent="0.25">
      <c r="F469" t="e" cm="1" vm="1">
        <f t="array" ref="F469">TRANSPOSE(_xlfn._xlws.FILTER(_xlfn.ANCHORARRAY($B$2),_xlfn.ANCHORARRAY($A$2)=$E469))</f>
        <v>#VALUE!</v>
      </c>
    </row>
    <row r="470" spans="6:6" x14ac:dyDescent="0.25">
      <c r="F470" t="e" cm="1" vm="1">
        <f t="array" ref="F470">TRANSPOSE(_xlfn._xlws.FILTER(_xlfn.ANCHORARRAY($B$2),_xlfn.ANCHORARRAY($A$2)=$E470))</f>
        <v>#VALUE!</v>
      </c>
    </row>
    <row r="471" spans="6:6" x14ac:dyDescent="0.25">
      <c r="F471" t="e" cm="1" vm="1">
        <f t="array" ref="F471">TRANSPOSE(_xlfn._xlws.FILTER(_xlfn.ANCHORARRAY($B$2),_xlfn.ANCHORARRAY($A$2)=$E471))</f>
        <v>#VALUE!</v>
      </c>
    </row>
    <row r="472" spans="6:6" x14ac:dyDescent="0.25">
      <c r="F472" t="e" cm="1" vm="1">
        <f t="array" ref="F472">TRANSPOSE(_xlfn._xlws.FILTER(_xlfn.ANCHORARRAY($B$2),_xlfn.ANCHORARRAY($A$2)=$E472))</f>
        <v>#VALUE!</v>
      </c>
    </row>
    <row r="473" spans="6:6" x14ac:dyDescent="0.25">
      <c r="F473" t="e" cm="1" vm="1">
        <f t="array" ref="F473">TRANSPOSE(_xlfn._xlws.FILTER(_xlfn.ANCHORARRAY($B$2),_xlfn.ANCHORARRAY($A$2)=$E473))</f>
        <v>#VALUE!</v>
      </c>
    </row>
    <row r="474" spans="6:6" x14ac:dyDescent="0.25">
      <c r="F474" t="e" cm="1" vm="1">
        <f t="array" ref="F474">TRANSPOSE(_xlfn._xlws.FILTER(_xlfn.ANCHORARRAY($B$2),_xlfn.ANCHORARRAY($A$2)=$E474))</f>
        <v>#VALUE!</v>
      </c>
    </row>
    <row r="475" spans="6:6" x14ac:dyDescent="0.25">
      <c r="F475" t="e" cm="1" vm="1">
        <f t="array" ref="F475">TRANSPOSE(_xlfn._xlws.FILTER(_xlfn.ANCHORARRAY($B$2),_xlfn.ANCHORARRAY($A$2)=$E475))</f>
        <v>#VALUE!</v>
      </c>
    </row>
    <row r="476" spans="6:6" x14ac:dyDescent="0.25">
      <c r="F476" t="e" cm="1" vm="1">
        <f t="array" ref="F476">TRANSPOSE(_xlfn._xlws.FILTER(_xlfn.ANCHORARRAY($B$2),_xlfn.ANCHORARRAY($A$2)=$E476))</f>
        <v>#VALUE!</v>
      </c>
    </row>
    <row r="477" spans="6:6" x14ac:dyDescent="0.25">
      <c r="F477" t="e" cm="1" vm="1">
        <f t="array" ref="F477">TRANSPOSE(_xlfn._xlws.FILTER(_xlfn.ANCHORARRAY($B$2),_xlfn.ANCHORARRAY($A$2)=$E477))</f>
        <v>#VALUE!</v>
      </c>
    </row>
    <row r="478" spans="6:6" x14ac:dyDescent="0.25">
      <c r="F478" t="e" cm="1" vm="1">
        <f t="array" ref="F478">TRANSPOSE(_xlfn._xlws.FILTER(_xlfn.ANCHORARRAY($B$2),_xlfn.ANCHORARRAY($A$2)=$E478))</f>
        <v>#VALUE!</v>
      </c>
    </row>
    <row r="479" spans="6:6" x14ac:dyDescent="0.25">
      <c r="F479" t="e" cm="1" vm="1">
        <f t="array" ref="F479">TRANSPOSE(_xlfn._xlws.FILTER(_xlfn.ANCHORARRAY($B$2),_xlfn.ANCHORARRAY($A$2)=$E479))</f>
        <v>#VALUE!</v>
      </c>
    </row>
    <row r="480" spans="6:6" x14ac:dyDescent="0.25">
      <c r="F480" t="e" cm="1" vm="1">
        <f t="array" ref="F480">TRANSPOSE(_xlfn._xlws.FILTER(_xlfn.ANCHORARRAY($B$2),_xlfn.ANCHORARRAY($A$2)=$E480))</f>
        <v>#VALUE!</v>
      </c>
    </row>
    <row r="481" spans="6:6" x14ac:dyDescent="0.25">
      <c r="F481" t="e" cm="1" vm="1">
        <f t="array" ref="F481">TRANSPOSE(_xlfn._xlws.FILTER(_xlfn.ANCHORARRAY($B$2),_xlfn.ANCHORARRAY($A$2)=$E481))</f>
        <v>#VALUE!</v>
      </c>
    </row>
    <row r="482" spans="6:6" x14ac:dyDescent="0.25">
      <c r="F482" t="e" cm="1" vm="1">
        <f t="array" ref="F482">TRANSPOSE(_xlfn._xlws.FILTER(_xlfn.ANCHORARRAY($B$2),_xlfn.ANCHORARRAY($A$2)=$E482))</f>
        <v>#VALUE!</v>
      </c>
    </row>
    <row r="483" spans="6:6" x14ac:dyDescent="0.25">
      <c r="F483" t="e" cm="1" vm="1">
        <f t="array" ref="F483">TRANSPOSE(_xlfn._xlws.FILTER(_xlfn.ANCHORARRAY($B$2),_xlfn.ANCHORARRAY($A$2)=$E483))</f>
        <v>#VALUE!</v>
      </c>
    </row>
    <row r="484" spans="6:6" x14ac:dyDescent="0.25">
      <c r="F484" t="e" cm="1" vm="1">
        <f t="array" ref="F484">TRANSPOSE(_xlfn._xlws.FILTER(_xlfn.ANCHORARRAY($B$2),_xlfn.ANCHORARRAY($A$2)=$E484))</f>
        <v>#VALUE!</v>
      </c>
    </row>
    <row r="485" spans="6:6" x14ac:dyDescent="0.25">
      <c r="F485" t="e" cm="1" vm="1">
        <f t="array" ref="F485">TRANSPOSE(_xlfn._xlws.FILTER(_xlfn.ANCHORARRAY($B$2),_xlfn.ANCHORARRAY($A$2)=$E485))</f>
        <v>#VALUE!</v>
      </c>
    </row>
    <row r="486" spans="6:6" x14ac:dyDescent="0.25">
      <c r="F486" t="e" cm="1" vm="1">
        <f t="array" ref="F486">TRANSPOSE(_xlfn._xlws.FILTER(_xlfn.ANCHORARRAY($B$2),_xlfn.ANCHORARRAY($A$2)=$E486))</f>
        <v>#VALUE!</v>
      </c>
    </row>
    <row r="487" spans="6:6" x14ac:dyDescent="0.25">
      <c r="F487" t="e" cm="1" vm="1">
        <f t="array" ref="F487">TRANSPOSE(_xlfn._xlws.FILTER(_xlfn.ANCHORARRAY($B$2),_xlfn.ANCHORARRAY($A$2)=$E487))</f>
        <v>#VALUE!</v>
      </c>
    </row>
    <row r="488" spans="6:6" x14ac:dyDescent="0.25">
      <c r="F488" t="e" cm="1" vm="1">
        <f t="array" ref="F488">TRANSPOSE(_xlfn._xlws.FILTER(_xlfn.ANCHORARRAY($B$2),_xlfn.ANCHORARRAY($A$2)=$E488))</f>
        <v>#VALUE!</v>
      </c>
    </row>
    <row r="489" spans="6:6" x14ac:dyDescent="0.25">
      <c r="F489" t="e" cm="1" vm="1">
        <f t="array" ref="F489">TRANSPOSE(_xlfn._xlws.FILTER(_xlfn.ANCHORARRAY($B$2),_xlfn.ANCHORARRAY($A$2)=$E489))</f>
        <v>#VALUE!</v>
      </c>
    </row>
    <row r="490" spans="6:6" x14ac:dyDescent="0.25">
      <c r="F490" t="e" cm="1" vm="1">
        <f t="array" ref="F490">TRANSPOSE(_xlfn._xlws.FILTER(_xlfn.ANCHORARRAY($B$2),_xlfn.ANCHORARRAY($A$2)=$E490))</f>
        <v>#VALUE!</v>
      </c>
    </row>
    <row r="491" spans="6:6" x14ac:dyDescent="0.25">
      <c r="F491" t="e" cm="1" vm="1">
        <f t="array" ref="F491">TRANSPOSE(_xlfn._xlws.FILTER(_xlfn.ANCHORARRAY($B$2),_xlfn.ANCHORARRAY($A$2)=$E491))</f>
        <v>#VALUE!</v>
      </c>
    </row>
    <row r="492" spans="6:6" x14ac:dyDescent="0.25">
      <c r="F492" t="e" cm="1" vm="1">
        <f t="array" ref="F492">TRANSPOSE(_xlfn._xlws.FILTER(_xlfn.ANCHORARRAY($B$2),_xlfn.ANCHORARRAY($A$2)=$E492))</f>
        <v>#VALUE!</v>
      </c>
    </row>
    <row r="493" spans="6:6" x14ac:dyDescent="0.25">
      <c r="F493" t="e" cm="1" vm="1">
        <f t="array" ref="F493">TRANSPOSE(_xlfn._xlws.FILTER(_xlfn.ANCHORARRAY($B$2),_xlfn.ANCHORARRAY($A$2)=$E493))</f>
        <v>#VALUE!</v>
      </c>
    </row>
    <row r="494" spans="6:6" x14ac:dyDescent="0.25">
      <c r="F494" t="e" cm="1" vm="1">
        <f t="array" ref="F494">TRANSPOSE(_xlfn._xlws.FILTER(_xlfn.ANCHORARRAY($B$2),_xlfn.ANCHORARRAY($A$2)=$E494))</f>
        <v>#VALUE!</v>
      </c>
    </row>
    <row r="495" spans="6:6" x14ac:dyDescent="0.25">
      <c r="F495" t="e" cm="1" vm="1">
        <f t="array" ref="F495">TRANSPOSE(_xlfn._xlws.FILTER(_xlfn.ANCHORARRAY($B$2),_xlfn.ANCHORARRAY($A$2)=$E495))</f>
        <v>#VALUE!</v>
      </c>
    </row>
    <row r="496" spans="6:6" x14ac:dyDescent="0.25">
      <c r="F496" t="e" cm="1" vm="1">
        <f t="array" ref="F496">TRANSPOSE(_xlfn._xlws.FILTER(_xlfn.ANCHORARRAY($B$2),_xlfn.ANCHORARRAY($A$2)=$E496))</f>
        <v>#VALUE!</v>
      </c>
    </row>
    <row r="497" spans="6:6" x14ac:dyDescent="0.25">
      <c r="F497" t="e" cm="1" vm="1">
        <f t="array" ref="F497">TRANSPOSE(_xlfn._xlws.FILTER(_xlfn.ANCHORARRAY($B$2),_xlfn.ANCHORARRAY($A$2)=$E497))</f>
        <v>#VALUE!</v>
      </c>
    </row>
    <row r="498" spans="6:6" x14ac:dyDescent="0.25">
      <c r="F498" t="e" cm="1" vm="1">
        <f t="array" ref="F498">TRANSPOSE(_xlfn._xlws.FILTER(_xlfn.ANCHORARRAY($B$2),_xlfn.ANCHORARRAY($A$2)=$E498))</f>
        <v>#VALUE!</v>
      </c>
    </row>
    <row r="499" spans="6:6" x14ac:dyDescent="0.25">
      <c r="F499" t="e" cm="1" vm="1">
        <f t="array" ref="F499">TRANSPOSE(_xlfn._xlws.FILTER(_xlfn.ANCHORARRAY($B$2),_xlfn.ANCHORARRAY($A$2)=$E499))</f>
        <v>#VALUE!</v>
      </c>
    </row>
    <row r="500" spans="6:6" x14ac:dyDescent="0.25">
      <c r="F500" t="e" cm="1" vm="1">
        <f t="array" ref="F500">TRANSPOSE(_xlfn._xlws.FILTER(_xlfn.ANCHORARRAY($B$2),_xlfn.ANCHORARRAY($A$2)=$E500))</f>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478B-BF02-419F-85F3-68A9A2F7BB44}">
  <sheetPr codeName="Sheet7"/>
  <dimension ref="A1:H500"/>
  <sheetViews>
    <sheetView topLeftCell="A489" workbookViewId="0">
      <selection activeCell="F200" sqref="F200:F500"/>
    </sheetView>
  </sheetViews>
  <sheetFormatPr defaultRowHeight="15" x14ac:dyDescent="0.25"/>
  <cols>
    <col min="1" max="1" width="14.7109375" customWidth="1"/>
    <col min="5" max="5" width="34.28515625" bestFit="1" customWidth="1"/>
    <col min="6" max="6" width="17.5703125" bestFit="1" customWidth="1"/>
  </cols>
  <sheetData>
    <row r="1" spans="1:8" x14ac:dyDescent="0.25">
      <c r="A1" t="s">
        <v>1</v>
      </c>
      <c r="B1" t="s">
        <v>241</v>
      </c>
      <c r="D1" cm="1">
        <f t="array" ref="D1:D64">tbl_Extraction[No.]</f>
        <v>1</v>
      </c>
      <c r="E1" t="str" cm="1">
        <f t="array" ref="E1:E64">tbl_Extraction[Model]</f>
        <v>CR113_N_Case1,4_SLS_0.7EI_Hyd_a03BP1.0m</v>
      </c>
      <c r="F1" t="str" cm="1">
        <f t="array" ref="F1:H1">TRANSPOSE(_xlfn._xlws.FILTER(_xlfn.ANCHORARRAY($B$2),_xlfn.ANCHORARRAY($A$2)=$E1))</f>
        <v>FixedEndAnchor_4</v>
      </c>
      <c r="G1" t="str">
        <v>FixedEndAnchor_5</v>
      </c>
      <c r="H1" t="str">
        <v>FixedEndAnchor_6</v>
      </c>
    </row>
    <row r="2" spans="1:8" x14ac:dyDescent="0.25">
      <c r="A2" t="str" cm="1">
        <f t="array" ref="A2:A19">_xlfn._xlws.FILTER(tbl_AllElements[Model],tbl_AllElements[Element Type]=$B$1)</f>
        <v>CR113_N_Case1,4_SLS_0.7EI_Hyd_a03BP1.0m</v>
      </c>
      <c r="B2" t="str" cm="1">
        <f t="array" ref="B2:B19">_xlfn._xlws.FILTER(tbl_AllElements[Element Name],tbl_AllElements[Element Type]=$B$1)</f>
        <v>FixedEndAnchor_4</v>
      </c>
      <c r="D2">
        <v>2</v>
      </c>
      <c r="E2" t="str">
        <v>CR113_N_Case1,4_SLS_0.7EI_Hyd_a03BP1.0m</v>
      </c>
      <c r="F2" t="str" cm="1">
        <f t="array" ref="F2:H2">TRANSPOSE(_xlfn._xlws.FILTER(_xlfn.ANCHORARRAY($B$2),_xlfn.ANCHORARRAY($A$2)=$E2))</f>
        <v>FixedEndAnchor_4</v>
      </c>
      <c r="G2" t="str">
        <v>FixedEndAnchor_5</v>
      </c>
      <c r="H2" t="str">
        <v>FixedEndAnchor_6</v>
      </c>
    </row>
    <row r="3" spans="1:8" x14ac:dyDescent="0.25">
      <c r="A3" t="str">
        <v>CR113_N_Case1,4_SLS_0.7EI_Hyd_a03BP1.0m</v>
      </c>
      <c r="B3" t="str">
        <v>FixedEndAnchor_5</v>
      </c>
      <c r="D3">
        <v>3</v>
      </c>
      <c r="E3" t="str">
        <v>CR113_N_Case1,4_SLS_0.7EI_Hyd_a03BP1.0m</v>
      </c>
      <c r="F3" t="str" cm="1">
        <f t="array" ref="F3:H3">TRANSPOSE(_xlfn._xlws.FILTER(_xlfn.ANCHORARRAY($B$2),_xlfn.ANCHORARRAY($A$2)=$E3))</f>
        <v>FixedEndAnchor_4</v>
      </c>
      <c r="G3" t="str">
        <v>FixedEndAnchor_5</v>
      </c>
      <c r="H3" t="str">
        <v>FixedEndAnchor_6</v>
      </c>
    </row>
    <row r="4" spans="1:8" x14ac:dyDescent="0.25">
      <c r="A4" t="str">
        <v>CR113_N_Case1,4_SLS_0.7EI_Hyd_a03BP1.0m</v>
      </c>
      <c r="B4" t="str">
        <v>FixedEndAnchor_6</v>
      </c>
      <c r="D4">
        <v>4</v>
      </c>
      <c r="E4" t="str">
        <v>CR113_N_Case1,4_SLS_0.7EI_Hyd_a03BP1.0m</v>
      </c>
      <c r="F4" t="str" cm="1">
        <f t="array" ref="F4:H4">TRANSPOSE(_xlfn._xlws.FILTER(_xlfn.ANCHORARRAY($B$2),_xlfn.ANCHORARRAY($A$2)=$E4))</f>
        <v>FixedEndAnchor_4</v>
      </c>
      <c r="G4" t="str">
        <v>FixedEndAnchor_5</v>
      </c>
      <c r="H4" t="str">
        <v>FixedEndAnchor_6</v>
      </c>
    </row>
    <row r="5" spans="1:8" x14ac:dyDescent="0.25">
      <c r="A5" t="str">
        <v>CR113_N_Case2_ULS1_1.0EI_Hyd_a03BP1.0m</v>
      </c>
      <c r="B5" t="str">
        <v>FixedEndAnchor_4</v>
      </c>
      <c r="D5">
        <v>5</v>
      </c>
      <c r="E5" t="str">
        <v>CR113_N_Case1,4_SLS_0.7EI_Hyd_a03BP1.0m</v>
      </c>
      <c r="F5" t="str" cm="1">
        <f t="array" ref="F5:H5">TRANSPOSE(_xlfn._xlws.FILTER(_xlfn.ANCHORARRAY($B$2),_xlfn.ANCHORARRAY($A$2)=$E5))</f>
        <v>FixedEndAnchor_4</v>
      </c>
      <c r="G5" t="str">
        <v>FixedEndAnchor_5</v>
      </c>
      <c r="H5" t="str">
        <v>FixedEndAnchor_6</v>
      </c>
    </row>
    <row r="6" spans="1:8" x14ac:dyDescent="0.25">
      <c r="A6" t="str">
        <v>CR113_N_Case2_ULS1_1.0EI_Hyd_a03BP1.0m</v>
      </c>
      <c r="B6" t="str">
        <v>FixedEndAnchor_5</v>
      </c>
      <c r="D6">
        <v>6</v>
      </c>
      <c r="E6" t="str">
        <v>CR113_N_Case1,4_SLS_0.7EI_Hyd_a03BP1.0m</v>
      </c>
      <c r="F6" t="str" cm="1">
        <f t="array" ref="F6:H6">TRANSPOSE(_xlfn._xlws.FILTER(_xlfn.ANCHORARRAY($B$2),_xlfn.ANCHORARRAY($A$2)=$E6))</f>
        <v>FixedEndAnchor_4</v>
      </c>
      <c r="G6" t="str">
        <v>FixedEndAnchor_5</v>
      </c>
      <c r="H6" t="str">
        <v>FixedEndAnchor_6</v>
      </c>
    </row>
    <row r="7" spans="1:8" x14ac:dyDescent="0.25">
      <c r="A7" t="str">
        <v>CR113_N_Case2_ULS1_1.0EI_Hyd_a03BP1.0m</v>
      </c>
      <c r="B7" t="str">
        <v>FixedEndAnchor_6</v>
      </c>
      <c r="D7">
        <v>7</v>
      </c>
      <c r="E7" t="str">
        <v>CR113_N_Case1,4_SLS_0.7EI_Hyd_a03BP1.0m</v>
      </c>
      <c r="F7" t="str" cm="1">
        <f t="array" ref="F7:H7">TRANSPOSE(_xlfn._xlws.FILTER(_xlfn.ANCHORARRAY($B$2),_xlfn.ANCHORARRAY($A$2)=$E7))</f>
        <v>FixedEndAnchor_4</v>
      </c>
      <c r="G7" t="str">
        <v>FixedEndAnchor_5</v>
      </c>
      <c r="H7" t="str">
        <v>FixedEndAnchor_6</v>
      </c>
    </row>
    <row r="8" spans="1:8" x14ac:dyDescent="0.25">
      <c r="A8" t="str">
        <v>CR113_N_Case3_ULS2_1.0EI_Hyd_a03BP1.0m</v>
      </c>
      <c r="B8" t="str">
        <v>FixedEndAnchor_4</v>
      </c>
      <c r="D8">
        <v>8</v>
      </c>
      <c r="E8" t="str">
        <v>CR113_N_Case1,4_SLS_0.7EI_Hyd_a03BP1.0m</v>
      </c>
      <c r="F8" t="str" cm="1">
        <f t="array" ref="F8:H8">TRANSPOSE(_xlfn._xlws.FILTER(_xlfn.ANCHORARRAY($B$2),_xlfn.ANCHORARRAY($A$2)=$E8))</f>
        <v>FixedEndAnchor_4</v>
      </c>
      <c r="G8" t="str">
        <v>FixedEndAnchor_5</v>
      </c>
      <c r="H8" t="str">
        <v>FixedEndAnchor_6</v>
      </c>
    </row>
    <row r="9" spans="1:8" x14ac:dyDescent="0.25">
      <c r="A9" t="str">
        <v>CR113_N_Case3_ULS2_1.0EI_Hyd_a03BP1.0m</v>
      </c>
      <c r="B9" t="str">
        <v>FixedEndAnchor_5</v>
      </c>
      <c r="D9">
        <v>9</v>
      </c>
      <c r="E9" t="str">
        <v>CR113_N_Case1,4_SLS_0.7EI_Hyd_a03BP1.0m</v>
      </c>
      <c r="F9" t="str" cm="1">
        <f t="array" ref="F9:H9">TRANSPOSE(_xlfn._xlws.FILTER(_xlfn.ANCHORARRAY($B$2),_xlfn.ANCHORARRAY($A$2)=$E9))</f>
        <v>FixedEndAnchor_4</v>
      </c>
      <c r="G9" t="str">
        <v>FixedEndAnchor_5</v>
      </c>
      <c r="H9" t="str">
        <v>FixedEndAnchor_6</v>
      </c>
    </row>
    <row r="10" spans="1:8" x14ac:dyDescent="0.25">
      <c r="A10" t="str">
        <v>CR113_N_Case3_ULS2_1.0EI_Hyd_a03BP1.0m</v>
      </c>
      <c r="B10" t="str">
        <v>FixedEndAnchor_6</v>
      </c>
      <c r="D10">
        <v>10</v>
      </c>
      <c r="E10" t="str">
        <v>CR113_N_Case1,4_SLS_0.7EI_Hyd_a03BP1.0m</v>
      </c>
      <c r="F10" t="str" cm="1">
        <f t="array" ref="F10:H10">TRANSPOSE(_xlfn._xlws.FILTER(_xlfn.ANCHORARRAY($B$2),_xlfn.ANCHORARRAY($A$2)=$E10))</f>
        <v>FixedEndAnchor_4</v>
      </c>
      <c r="G10" t="str">
        <v>FixedEndAnchor_5</v>
      </c>
      <c r="H10" t="str">
        <v>FixedEndAnchor_6</v>
      </c>
    </row>
    <row r="11" spans="1:8" x14ac:dyDescent="0.25">
      <c r="A11" t="str">
        <v>CR113_N_Case5,8_SLS_0.7EI_SpG_a03BP1.0m</v>
      </c>
      <c r="B11" t="str">
        <v>FixedEndAnchor_4</v>
      </c>
      <c r="D11">
        <v>11</v>
      </c>
      <c r="E11" t="str">
        <v>CR113_N_Case1,4_SLS_0.7EI_Hyd_a03BP1.0m</v>
      </c>
      <c r="F11" t="str" cm="1">
        <f t="array" ref="F11:H11">TRANSPOSE(_xlfn._xlws.FILTER(_xlfn.ANCHORARRAY($B$2),_xlfn.ANCHORARRAY($A$2)=$E11))</f>
        <v>FixedEndAnchor_4</v>
      </c>
      <c r="G11" t="str">
        <v>FixedEndAnchor_5</v>
      </c>
      <c r="H11" t="str">
        <v>FixedEndAnchor_6</v>
      </c>
    </row>
    <row r="12" spans="1:8" x14ac:dyDescent="0.25">
      <c r="A12" t="str">
        <v>CR113_N_Case5,8_SLS_0.7EI_SpG_a03BP1.0m</v>
      </c>
      <c r="B12" t="str">
        <v>FixedEndAnchor_5</v>
      </c>
      <c r="D12">
        <v>12</v>
      </c>
      <c r="E12" t="str">
        <v>CR113_N_Case1,4_SLS_0.7EI_Hyd_a03BP1.0m</v>
      </c>
      <c r="F12" t="str" cm="1">
        <f t="array" ref="F12:H12">TRANSPOSE(_xlfn._xlws.FILTER(_xlfn.ANCHORARRAY($B$2),_xlfn.ANCHORARRAY($A$2)=$E12))</f>
        <v>FixedEndAnchor_4</v>
      </c>
      <c r="G12" t="str">
        <v>FixedEndAnchor_5</v>
      </c>
      <c r="H12" t="str">
        <v>FixedEndAnchor_6</v>
      </c>
    </row>
    <row r="13" spans="1:8" x14ac:dyDescent="0.25">
      <c r="A13" t="str">
        <v>CR113_N_Case5,8_SLS_0.7EI_SpG_a03BP1.0m</v>
      </c>
      <c r="B13" t="str">
        <v>FixedEndAnchor_6</v>
      </c>
      <c r="D13">
        <v>13</v>
      </c>
      <c r="E13" t="str">
        <v>CR113_N_Case1,4_SLS_0.7EI_Hyd_a03BP1.0m</v>
      </c>
      <c r="F13" t="str" cm="1">
        <f t="array" ref="F13:H13">TRANSPOSE(_xlfn._xlws.FILTER(_xlfn.ANCHORARRAY($B$2),_xlfn.ANCHORARRAY($A$2)=$E13))</f>
        <v>FixedEndAnchor_4</v>
      </c>
      <c r="G13" t="str">
        <v>FixedEndAnchor_5</v>
      </c>
      <c r="H13" t="str">
        <v>FixedEndAnchor_6</v>
      </c>
    </row>
    <row r="14" spans="1:8" x14ac:dyDescent="0.25">
      <c r="A14" t="str">
        <v>CR113_N_Case6,7_ULS1_1.0EI_SpG_a03BP1.0m</v>
      </c>
      <c r="B14" t="str">
        <v>FixedEndAnchor_4</v>
      </c>
      <c r="D14">
        <v>14</v>
      </c>
      <c r="E14" t="str">
        <v>CR113_N_Case1,4_SLS_0.7EI_Hyd_a03BP1.0m</v>
      </c>
      <c r="F14" t="str" cm="1">
        <f t="array" ref="F14:H14">TRANSPOSE(_xlfn._xlws.FILTER(_xlfn.ANCHORARRAY($B$2),_xlfn.ANCHORARRAY($A$2)=$E14))</f>
        <v>FixedEndAnchor_4</v>
      </c>
      <c r="G14" t="str">
        <v>FixedEndAnchor_5</v>
      </c>
      <c r="H14" t="str">
        <v>FixedEndAnchor_6</v>
      </c>
    </row>
    <row r="15" spans="1:8" x14ac:dyDescent="0.25">
      <c r="A15" t="str">
        <v>CR113_N_Case6,7_ULS1_1.0EI_SpG_a03BP1.0m</v>
      </c>
      <c r="B15" t="str">
        <v>FixedEndAnchor_5</v>
      </c>
      <c r="D15">
        <v>15</v>
      </c>
      <c r="E15" t="str">
        <v>CR113_N_Case1,4_SLS_0.7EI_Hyd_a03BP1.0m</v>
      </c>
      <c r="F15" t="str" cm="1">
        <f t="array" ref="F15:H15">TRANSPOSE(_xlfn._xlws.FILTER(_xlfn.ANCHORARRAY($B$2),_xlfn.ANCHORARRAY($A$2)=$E15))</f>
        <v>FixedEndAnchor_4</v>
      </c>
      <c r="G15" t="str">
        <v>FixedEndAnchor_5</v>
      </c>
      <c r="H15" t="str">
        <v>FixedEndAnchor_6</v>
      </c>
    </row>
    <row r="16" spans="1:8" x14ac:dyDescent="0.25">
      <c r="A16" t="str">
        <v>CR113_N_Case6,7_ULS1_1.0EI_SpG_a03BP1.0m</v>
      </c>
      <c r="B16" t="str">
        <v>FixedEndAnchor_6</v>
      </c>
      <c r="D16">
        <v>16</v>
      </c>
      <c r="E16" t="str">
        <v>CR113_N_Case1,4_SLS_0.7EI_Hyd_a03BP1.0m</v>
      </c>
      <c r="F16" t="str" cm="1">
        <f t="array" ref="F16:H16">TRANSPOSE(_xlfn._xlws.FILTER(_xlfn.ANCHORARRAY($B$2),_xlfn.ANCHORARRAY($A$2)=$E16))</f>
        <v>FixedEndAnchor_4</v>
      </c>
      <c r="G16" t="str">
        <v>FixedEndAnchor_5</v>
      </c>
      <c r="H16" t="str">
        <v>FixedEndAnchor_6</v>
      </c>
    </row>
    <row r="17" spans="1:8" x14ac:dyDescent="0.25">
      <c r="A17" t="str">
        <v>CR113_N_CaseA_SLS_0.7EI_SpD_a03BP1.0m</v>
      </c>
      <c r="B17" t="str">
        <v>FixedEndAnchor_4</v>
      </c>
      <c r="D17">
        <v>17</v>
      </c>
      <c r="E17" t="str">
        <v>CR113_N_Case1,4_SLS_0.7EI_Hyd_a03BP1.0m</v>
      </c>
      <c r="F17" t="str" cm="1">
        <f t="array" ref="F17:H17">TRANSPOSE(_xlfn._xlws.FILTER(_xlfn.ANCHORARRAY($B$2),_xlfn.ANCHORARRAY($A$2)=$E17))</f>
        <v>FixedEndAnchor_4</v>
      </c>
      <c r="G17" t="str">
        <v>FixedEndAnchor_5</v>
      </c>
      <c r="H17" t="str">
        <v>FixedEndAnchor_6</v>
      </c>
    </row>
    <row r="18" spans="1:8" x14ac:dyDescent="0.25">
      <c r="A18" t="str">
        <v>CR113_N_CaseA_SLS_0.7EI_SpD_a03BP1.0m</v>
      </c>
      <c r="B18" t="str">
        <v>FixedEndAnchor_5</v>
      </c>
      <c r="D18">
        <v>18</v>
      </c>
      <c r="E18" t="str">
        <v>CR113_N_Case1,4_SLS_0.7EI_Hyd_a03BP1.0m</v>
      </c>
      <c r="F18" t="str" cm="1">
        <f t="array" ref="F18:H18">TRANSPOSE(_xlfn._xlws.FILTER(_xlfn.ANCHORARRAY($B$2),_xlfn.ANCHORARRAY($A$2)=$E18))</f>
        <v>FixedEndAnchor_4</v>
      </c>
      <c r="G18" t="str">
        <v>FixedEndAnchor_5</v>
      </c>
      <c r="H18" t="str">
        <v>FixedEndAnchor_6</v>
      </c>
    </row>
    <row r="19" spans="1:8" x14ac:dyDescent="0.25">
      <c r="A19" t="str">
        <v>CR113_N_CaseA_SLS_0.7EI_SpD_a03BP1.0m</v>
      </c>
      <c r="B19" t="str">
        <v>FixedEndAnchor_6</v>
      </c>
      <c r="D19">
        <v>19</v>
      </c>
      <c r="E19" t="str">
        <v>CR113_N_Case1,4_SLS_0.7EI_Hyd_a03BP1.0m</v>
      </c>
      <c r="F19" t="str" cm="1">
        <f t="array" ref="F19:H19">TRANSPOSE(_xlfn._xlws.FILTER(_xlfn.ANCHORARRAY($B$2),_xlfn.ANCHORARRAY($A$2)=$E19))</f>
        <v>FixedEndAnchor_4</v>
      </c>
      <c r="G19" t="str">
        <v>FixedEndAnchor_5</v>
      </c>
      <c r="H19" t="str">
        <v>FixedEndAnchor_6</v>
      </c>
    </row>
    <row r="20" spans="1:8" x14ac:dyDescent="0.25">
      <c r="D20">
        <v>20</v>
      </c>
      <c r="E20" t="str">
        <v>CR113_N_Case1,4_SLS_0.7EI_Hyd_a03BP1.0m</v>
      </c>
      <c r="F20" t="str" cm="1">
        <f t="array" ref="F20:H20">TRANSPOSE(_xlfn._xlws.FILTER(_xlfn.ANCHORARRAY($B$2),_xlfn.ANCHORARRAY($A$2)=$E20))</f>
        <v>FixedEndAnchor_4</v>
      </c>
      <c r="G20" t="str">
        <v>FixedEndAnchor_5</v>
      </c>
      <c r="H20" t="str">
        <v>FixedEndAnchor_6</v>
      </c>
    </row>
    <row r="21" spans="1:8" x14ac:dyDescent="0.25">
      <c r="D21">
        <v>21</v>
      </c>
      <c r="E21" t="str">
        <v>CR113_N_Case1,4_SLS_0.7EI_Hyd_a03BP1.0m</v>
      </c>
      <c r="F21" t="str" cm="1">
        <f t="array" ref="F21:H21">TRANSPOSE(_xlfn._xlws.FILTER(_xlfn.ANCHORARRAY($B$2),_xlfn.ANCHORARRAY($A$2)=$E21))</f>
        <v>FixedEndAnchor_4</v>
      </c>
      <c r="G21" t="str">
        <v>FixedEndAnchor_5</v>
      </c>
      <c r="H21" t="str">
        <v>FixedEndAnchor_6</v>
      </c>
    </row>
    <row r="22" spans="1:8" x14ac:dyDescent="0.25">
      <c r="D22">
        <v>22</v>
      </c>
      <c r="E22" t="str">
        <v>CR113_N_Case1,4_SLS_0.7EI_Hyd_a03BP1.0m</v>
      </c>
      <c r="F22" t="str" cm="1">
        <f t="array" ref="F22:H22">TRANSPOSE(_xlfn._xlws.FILTER(_xlfn.ANCHORARRAY($B$2),_xlfn.ANCHORARRAY($A$2)=$E22))</f>
        <v>FixedEndAnchor_4</v>
      </c>
      <c r="G22" t="str">
        <v>FixedEndAnchor_5</v>
      </c>
      <c r="H22" t="str">
        <v>FixedEndAnchor_6</v>
      </c>
    </row>
    <row r="23" spans="1:8" x14ac:dyDescent="0.25">
      <c r="D23">
        <v>23</v>
      </c>
      <c r="E23" t="str">
        <v>CR113_N_Case1,4_SLS_0.7EI_Hyd_a03BP1.0m</v>
      </c>
      <c r="F23" t="str" cm="1">
        <f t="array" ref="F23:H23">TRANSPOSE(_xlfn._xlws.FILTER(_xlfn.ANCHORARRAY($B$2),_xlfn.ANCHORARRAY($A$2)=$E23))</f>
        <v>FixedEndAnchor_4</v>
      </c>
      <c r="G23" t="str">
        <v>FixedEndAnchor_5</v>
      </c>
      <c r="H23" t="str">
        <v>FixedEndAnchor_6</v>
      </c>
    </row>
    <row r="24" spans="1:8" x14ac:dyDescent="0.25">
      <c r="D24">
        <v>24</v>
      </c>
      <c r="E24" t="str">
        <v>CR113_N_Case1,4_SLS_0.7EI_Hyd_a03BP1.0m</v>
      </c>
      <c r="F24" t="str" cm="1">
        <f t="array" ref="F24:H24">TRANSPOSE(_xlfn._xlws.FILTER(_xlfn.ANCHORARRAY($B$2),_xlfn.ANCHORARRAY($A$2)=$E24))</f>
        <v>FixedEndAnchor_4</v>
      </c>
      <c r="G24" t="str">
        <v>FixedEndAnchor_5</v>
      </c>
      <c r="H24" t="str">
        <v>FixedEndAnchor_6</v>
      </c>
    </row>
    <row r="25" spans="1:8" x14ac:dyDescent="0.25">
      <c r="D25">
        <v>25</v>
      </c>
      <c r="E25" t="str">
        <v>CR113_N_Case1,4_SLS_0.7EI_Hyd_a03BP1.0m</v>
      </c>
      <c r="F25" t="str" cm="1">
        <f t="array" ref="F25:H25">TRANSPOSE(_xlfn._xlws.FILTER(_xlfn.ANCHORARRAY($B$2),_xlfn.ANCHORARRAY($A$2)=$E25))</f>
        <v>FixedEndAnchor_4</v>
      </c>
      <c r="G25" t="str">
        <v>FixedEndAnchor_5</v>
      </c>
      <c r="H25" t="str">
        <v>FixedEndAnchor_6</v>
      </c>
    </row>
    <row r="26" spans="1:8" x14ac:dyDescent="0.25">
      <c r="D26">
        <v>26</v>
      </c>
      <c r="E26" t="str">
        <v>CR113_N_Case2_ULS1_1.0EI_Hyd_a03BP1.0m</v>
      </c>
      <c r="F26" t="str" cm="1">
        <f t="array" ref="F26:H26">TRANSPOSE(_xlfn._xlws.FILTER(_xlfn.ANCHORARRAY($B$2),_xlfn.ANCHORARRAY($A$2)=$E26))</f>
        <v>FixedEndAnchor_4</v>
      </c>
      <c r="G26" t="str">
        <v>FixedEndAnchor_5</v>
      </c>
      <c r="H26" t="str">
        <v>FixedEndAnchor_6</v>
      </c>
    </row>
    <row r="27" spans="1:8" x14ac:dyDescent="0.25">
      <c r="D27">
        <v>27</v>
      </c>
      <c r="E27" t="str">
        <v>CR113_N_Case2_ULS1_1.0EI_Hyd_a03BP1.0m</v>
      </c>
      <c r="F27" t="str" cm="1">
        <f t="array" ref="F27:H27">TRANSPOSE(_xlfn._xlws.FILTER(_xlfn.ANCHORARRAY($B$2),_xlfn.ANCHORARRAY($A$2)=$E27))</f>
        <v>FixedEndAnchor_4</v>
      </c>
      <c r="G27" t="str">
        <v>FixedEndAnchor_5</v>
      </c>
      <c r="H27" t="str">
        <v>FixedEndAnchor_6</v>
      </c>
    </row>
    <row r="28" spans="1:8" x14ac:dyDescent="0.25">
      <c r="D28">
        <v>28</v>
      </c>
      <c r="E28" t="str">
        <v>CR113_N_Case2_ULS1_1.0EI_Hyd_a03BP1.0m</v>
      </c>
      <c r="F28" t="str" cm="1">
        <f t="array" ref="F28:H28">TRANSPOSE(_xlfn._xlws.FILTER(_xlfn.ANCHORARRAY($B$2),_xlfn.ANCHORARRAY($A$2)=$E28))</f>
        <v>FixedEndAnchor_4</v>
      </c>
      <c r="G28" t="str">
        <v>FixedEndAnchor_5</v>
      </c>
      <c r="H28" t="str">
        <v>FixedEndAnchor_6</v>
      </c>
    </row>
    <row r="29" spans="1:8" x14ac:dyDescent="0.25">
      <c r="D29">
        <v>29</v>
      </c>
      <c r="E29" t="str">
        <v>CR113_N_Case2_ULS1_1.0EI_Hyd_a03BP1.0m</v>
      </c>
      <c r="F29" t="str" cm="1">
        <f t="array" ref="F29:H29">TRANSPOSE(_xlfn._xlws.FILTER(_xlfn.ANCHORARRAY($B$2),_xlfn.ANCHORARRAY($A$2)=$E29))</f>
        <v>FixedEndAnchor_4</v>
      </c>
      <c r="G29" t="str">
        <v>FixedEndAnchor_5</v>
      </c>
      <c r="H29" t="str">
        <v>FixedEndAnchor_6</v>
      </c>
    </row>
    <row r="30" spans="1:8" x14ac:dyDescent="0.25">
      <c r="D30">
        <v>30</v>
      </c>
      <c r="E30" t="str">
        <v>CR113_N_Case3_ULS2_1.0EI_Hyd_a03BP1.0m</v>
      </c>
      <c r="F30" t="str" cm="1">
        <f t="array" ref="F30:H30">TRANSPOSE(_xlfn._xlws.FILTER(_xlfn.ANCHORARRAY($B$2),_xlfn.ANCHORARRAY($A$2)=$E30))</f>
        <v>FixedEndAnchor_4</v>
      </c>
      <c r="G30" t="str">
        <v>FixedEndAnchor_5</v>
      </c>
      <c r="H30" t="str">
        <v>FixedEndAnchor_6</v>
      </c>
    </row>
    <row r="31" spans="1:8" x14ac:dyDescent="0.25">
      <c r="D31">
        <v>31</v>
      </c>
      <c r="E31" t="str">
        <v>CR113_N_Case3_ULS2_1.0EI_Hyd_a03BP1.0m</v>
      </c>
      <c r="F31" t="str" cm="1">
        <f t="array" ref="F31:H31">TRANSPOSE(_xlfn._xlws.FILTER(_xlfn.ANCHORARRAY($B$2),_xlfn.ANCHORARRAY($A$2)=$E31))</f>
        <v>FixedEndAnchor_4</v>
      </c>
      <c r="G31" t="str">
        <v>FixedEndAnchor_5</v>
      </c>
      <c r="H31" t="str">
        <v>FixedEndAnchor_6</v>
      </c>
    </row>
    <row r="32" spans="1:8" x14ac:dyDescent="0.25">
      <c r="D32">
        <v>32</v>
      </c>
      <c r="E32" t="str">
        <v>CR113_N_Case3_ULS2_1.0EI_Hyd_a03BP1.0m</v>
      </c>
      <c r="F32" t="str" cm="1">
        <f t="array" ref="F32:H32">TRANSPOSE(_xlfn._xlws.FILTER(_xlfn.ANCHORARRAY($B$2),_xlfn.ANCHORARRAY($A$2)=$E32))</f>
        <v>FixedEndAnchor_4</v>
      </c>
      <c r="G32" t="str">
        <v>FixedEndAnchor_5</v>
      </c>
      <c r="H32" t="str">
        <v>FixedEndAnchor_6</v>
      </c>
    </row>
    <row r="33" spans="4:8" x14ac:dyDescent="0.25">
      <c r="D33">
        <v>33</v>
      </c>
      <c r="E33" t="str">
        <v>CR113_N_Case3_ULS2_1.0EI_Hyd_a03BP1.0m</v>
      </c>
      <c r="F33" t="str" cm="1">
        <f t="array" ref="F33:H33">TRANSPOSE(_xlfn._xlws.FILTER(_xlfn.ANCHORARRAY($B$2),_xlfn.ANCHORARRAY($A$2)=$E33))</f>
        <v>FixedEndAnchor_4</v>
      </c>
      <c r="G33" t="str">
        <v>FixedEndAnchor_5</v>
      </c>
      <c r="H33" t="str">
        <v>FixedEndAnchor_6</v>
      </c>
    </row>
    <row r="34" spans="4:8" x14ac:dyDescent="0.25">
      <c r="D34">
        <v>34</v>
      </c>
      <c r="E34" t="str">
        <v>CR113_N_Case5,8_SLS_0.7EI_SpG_a03BP1.0m</v>
      </c>
      <c r="F34" t="str" cm="1">
        <f t="array" ref="F34:H34">TRANSPOSE(_xlfn._xlws.FILTER(_xlfn.ANCHORARRAY($B$2),_xlfn.ANCHORARRAY($A$2)=$E34))</f>
        <v>FixedEndAnchor_4</v>
      </c>
      <c r="G34" t="str">
        <v>FixedEndAnchor_5</v>
      </c>
      <c r="H34" t="str">
        <v>FixedEndAnchor_6</v>
      </c>
    </row>
    <row r="35" spans="4:8" x14ac:dyDescent="0.25">
      <c r="D35">
        <v>35</v>
      </c>
      <c r="E35" t="str">
        <v>CR113_N_Case5,8_SLS_0.7EI_SpG_a03BP1.0m</v>
      </c>
      <c r="F35" t="str" cm="1">
        <f t="array" ref="F35:H35">TRANSPOSE(_xlfn._xlws.FILTER(_xlfn.ANCHORARRAY($B$2),_xlfn.ANCHORARRAY($A$2)=$E35))</f>
        <v>FixedEndAnchor_4</v>
      </c>
      <c r="G35" t="str">
        <v>FixedEndAnchor_5</v>
      </c>
      <c r="H35" t="str">
        <v>FixedEndAnchor_6</v>
      </c>
    </row>
    <row r="36" spans="4:8" x14ac:dyDescent="0.25">
      <c r="D36">
        <v>36</v>
      </c>
      <c r="E36" t="str">
        <v>CR113_N_Case5,8_SLS_0.7EI_SpG_a03BP1.0m</v>
      </c>
      <c r="F36" t="str" cm="1">
        <f t="array" ref="F36:H36">TRANSPOSE(_xlfn._xlws.FILTER(_xlfn.ANCHORARRAY($B$2),_xlfn.ANCHORARRAY($A$2)=$E36))</f>
        <v>FixedEndAnchor_4</v>
      </c>
      <c r="G36" t="str">
        <v>FixedEndAnchor_5</v>
      </c>
      <c r="H36" t="str">
        <v>FixedEndAnchor_6</v>
      </c>
    </row>
    <row r="37" spans="4:8" x14ac:dyDescent="0.25">
      <c r="D37">
        <v>37</v>
      </c>
      <c r="E37" t="str">
        <v>CR113_N_Case5,8_SLS_0.7EI_SpG_a03BP1.0m</v>
      </c>
      <c r="F37" t="str" cm="1">
        <f t="array" ref="F37:H37">TRANSPOSE(_xlfn._xlws.FILTER(_xlfn.ANCHORARRAY($B$2),_xlfn.ANCHORARRAY($A$2)=$E37))</f>
        <v>FixedEndAnchor_4</v>
      </c>
      <c r="G37" t="str">
        <v>FixedEndAnchor_5</v>
      </c>
      <c r="H37" t="str">
        <v>FixedEndAnchor_6</v>
      </c>
    </row>
    <row r="38" spans="4:8" x14ac:dyDescent="0.25">
      <c r="D38">
        <v>38</v>
      </c>
      <c r="E38" t="str">
        <v>CR113_N_Case5,8_SLS_0.7EI_SpG_a03BP1.0m</v>
      </c>
      <c r="F38" t="str" cm="1">
        <f t="array" ref="F38:H38">TRANSPOSE(_xlfn._xlws.FILTER(_xlfn.ANCHORARRAY($B$2),_xlfn.ANCHORARRAY($A$2)=$E38))</f>
        <v>FixedEndAnchor_4</v>
      </c>
      <c r="G38" t="str">
        <v>FixedEndAnchor_5</v>
      </c>
      <c r="H38" t="str">
        <v>FixedEndAnchor_6</v>
      </c>
    </row>
    <row r="39" spans="4:8" x14ac:dyDescent="0.25">
      <c r="D39">
        <v>39</v>
      </c>
      <c r="E39" t="str">
        <v>CR113_N_Case5,8_SLS_0.7EI_SpG_a03BP1.0m</v>
      </c>
      <c r="F39" t="str" cm="1">
        <f t="array" ref="F39:H39">TRANSPOSE(_xlfn._xlws.FILTER(_xlfn.ANCHORARRAY($B$2),_xlfn.ANCHORARRAY($A$2)=$E39))</f>
        <v>FixedEndAnchor_4</v>
      </c>
      <c r="G39" t="str">
        <v>FixedEndAnchor_5</v>
      </c>
      <c r="H39" t="str">
        <v>FixedEndAnchor_6</v>
      </c>
    </row>
    <row r="40" spans="4:8" x14ac:dyDescent="0.25">
      <c r="D40">
        <v>40</v>
      </c>
      <c r="E40" t="str">
        <v>CR113_N_Case5,8_SLS_0.7EI_SpG_a03BP1.0m</v>
      </c>
      <c r="F40" t="str" cm="1">
        <f t="array" ref="F40:H40">TRANSPOSE(_xlfn._xlws.FILTER(_xlfn.ANCHORARRAY($B$2),_xlfn.ANCHORARRAY($A$2)=$E40))</f>
        <v>FixedEndAnchor_4</v>
      </c>
      <c r="G40" t="str">
        <v>FixedEndAnchor_5</v>
      </c>
      <c r="H40" t="str">
        <v>FixedEndAnchor_6</v>
      </c>
    </row>
    <row r="41" spans="4:8" x14ac:dyDescent="0.25">
      <c r="D41">
        <v>41</v>
      </c>
      <c r="E41" t="str">
        <v>CR113_N_Case5,8_SLS_0.7EI_SpG_a03BP1.0m</v>
      </c>
      <c r="F41" t="str" cm="1">
        <f t="array" ref="F41:H41">TRANSPOSE(_xlfn._xlws.FILTER(_xlfn.ANCHORARRAY($B$2),_xlfn.ANCHORARRAY($A$2)=$E41))</f>
        <v>FixedEndAnchor_4</v>
      </c>
      <c r="G41" t="str">
        <v>FixedEndAnchor_5</v>
      </c>
      <c r="H41" t="str">
        <v>FixedEndAnchor_6</v>
      </c>
    </row>
    <row r="42" spans="4:8" x14ac:dyDescent="0.25">
      <c r="D42">
        <v>42</v>
      </c>
      <c r="E42" t="str">
        <v>CR113_N_Case5,8_SLS_0.7EI_SpG_a03BP1.0m</v>
      </c>
      <c r="F42" t="str" cm="1">
        <f t="array" ref="F42:H42">TRANSPOSE(_xlfn._xlws.FILTER(_xlfn.ANCHORARRAY($B$2),_xlfn.ANCHORARRAY($A$2)=$E42))</f>
        <v>FixedEndAnchor_4</v>
      </c>
      <c r="G42" t="str">
        <v>FixedEndAnchor_5</v>
      </c>
      <c r="H42" t="str">
        <v>FixedEndAnchor_6</v>
      </c>
    </row>
    <row r="43" spans="4:8" x14ac:dyDescent="0.25">
      <c r="D43">
        <v>43</v>
      </c>
      <c r="E43" t="str">
        <v>CR113_N_Case5,8_SLS_0.7EI_SpG_a03BP1.0m</v>
      </c>
      <c r="F43" t="str" cm="1">
        <f t="array" ref="F43:H43">TRANSPOSE(_xlfn._xlws.FILTER(_xlfn.ANCHORARRAY($B$2),_xlfn.ANCHORARRAY($A$2)=$E43))</f>
        <v>FixedEndAnchor_4</v>
      </c>
      <c r="G43" t="str">
        <v>FixedEndAnchor_5</v>
      </c>
      <c r="H43" t="str">
        <v>FixedEndAnchor_6</v>
      </c>
    </row>
    <row r="44" spans="4:8" x14ac:dyDescent="0.25">
      <c r="D44">
        <v>44</v>
      </c>
      <c r="E44" t="str">
        <v>CR113_N_Case5,8_SLS_0.7EI_SpG_a03BP1.0m</v>
      </c>
      <c r="F44" t="str" cm="1">
        <f t="array" ref="F44:H44">TRANSPOSE(_xlfn._xlws.FILTER(_xlfn.ANCHORARRAY($B$2),_xlfn.ANCHORARRAY($A$2)=$E44))</f>
        <v>FixedEndAnchor_4</v>
      </c>
      <c r="G44" t="str">
        <v>FixedEndAnchor_5</v>
      </c>
      <c r="H44" t="str">
        <v>FixedEndAnchor_6</v>
      </c>
    </row>
    <row r="45" spans="4:8" x14ac:dyDescent="0.25">
      <c r="D45">
        <v>45</v>
      </c>
      <c r="E45" t="str">
        <v>CR113_N_Case5,8_SLS_0.7EI_SpG_a03BP1.0m</v>
      </c>
      <c r="F45" t="str" cm="1">
        <f t="array" ref="F45:H45">TRANSPOSE(_xlfn._xlws.FILTER(_xlfn.ANCHORARRAY($B$2),_xlfn.ANCHORARRAY($A$2)=$E45))</f>
        <v>FixedEndAnchor_4</v>
      </c>
      <c r="G45" t="str">
        <v>FixedEndAnchor_5</v>
      </c>
      <c r="H45" t="str">
        <v>FixedEndAnchor_6</v>
      </c>
    </row>
    <row r="46" spans="4:8" x14ac:dyDescent="0.25">
      <c r="D46">
        <v>46</v>
      </c>
      <c r="E46" t="str">
        <v>CR113_N_Case5,8_SLS_0.7EI_SpG_a03BP1.0m</v>
      </c>
      <c r="F46" t="str" cm="1">
        <f t="array" ref="F46:H46">TRANSPOSE(_xlfn._xlws.FILTER(_xlfn.ANCHORARRAY($B$2),_xlfn.ANCHORARRAY($A$2)=$E46))</f>
        <v>FixedEndAnchor_4</v>
      </c>
      <c r="G46" t="str">
        <v>FixedEndAnchor_5</v>
      </c>
      <c r="H46" t="str">
        <v>FixedEndAnchor_6</v>
      </c>
    </row>
    <row r="47" spans="4:8" x14ac:dyDescent="0.25">
      <c r="D47">
        <v>47</v>
      </c>
      <c r="E47" t="str">
        <v>CR113_N_Case5,8_SLS_0.7EI_SpG_a03BP1.0m</v>
      </c>
      <c r="F47" t="str" cm="1">
        <f t="array" ref="F47:H47">TRANSPOSE(_xlfn._xlws.FILTER(_xlfn.ANCHORARRAY($B$2),_xlfn.ANCHORARRAY($A$2)=$E47))</f>
        <v>FixedEndAnchor_4</v>
      </c>
      <c r="G47" t="str">
        <v>FixedEndAnchor_5</v>
      </c>
      <c r="H47" t="str">
        <v>FixedEndAnchor_6</v>
      </c>
    </row>
    <row r="48" spans="4:8" x14ac:dyDescent="0.25">
      <c r="D48">
        <v>48</v>
      </c>
      <c r="E48" t="str">
        <v>CR113_N_Case5,8_SLS_0.7EI_SpG_a03BP1.0m</v>
      </c>
      <c r="F48" t="str" cm="1">
        <f t="array" ref="F48:H48">TRANSPOSE(_xlfn._xlws.FILTER(_xlfn.ANCHORARRAY($B$2),_xlfn.ANCHORARRAY($A$2)=$E48))</f>
        <v>FixedEndAnchor_4</v>
      </c>
      <c r="G48" t="str">
        <v>FixedEndAnchor_5</v>
      </c>
      <c r="H48" t="str">
        <v>FixedEndAnchor_6</v>
      </c>
    </row>
    <row r="49" spans="4:8" x14ac:dyDescent="0.25">
      <c r="D49">
        <v>49</v>
      </c>
      <c r="E49" t="str">
        <v>CR113_N_Case5,8_SLS_0.7EI_SpG_a03BP1.0m</v>
      </c>
      <c r="F49" t="str" cm="1">
        <f t="array" ref="F49:H49">TRANSPOSE(_xlfn._xlws.FILTER(_xlfn.ANCHORARRAY($B$2),_xlfn.ANCHORARRAY($A$2)=$E49))</f>
        <v>FixedEndAnchor_4</v>
      </c>
      <c r="G49" t="str">
        <v>FixedEndAnchor_5</v>
      </c>
      <c r="H49" t="str">
        <v>FixedEndAnchor_6</v>
      </c>
    </row>
    <row r="50" spans="4:8" x14ac:dyDescent="0.25">
      <c r="D50">
        <v>50</v>
      </c>
      <c r="E50" t="str">
        <v>CR113_N_Case5,8_SLS_0.7EI_SpG_a03BP1.0m</v>
      </c>
      <c r="F50" t="str" cm="1">
        <f t="array" ref="F50:H50">TRANSPOSE(_xlfn._xlws.FILTER(_xlfn.ANCHORARRAY($B$2),_xlfn.ANCHORARRAY($A$2)=$E50))</f>
        <v>FixedEndAnchor_4</v>
      </c>
      <c r="G50" t="str">
        <v>FixedEndAnchor_5</v>
      </c>
      <c r="H50" t="str">
        <v>FixedEndAnchor_6</v>
      </c>
    </row>
    <row r="51" spans="4:8" x14ac:dyDescent="0.25">
      <c r="D51">
        <v>51</v>
      </c>
      <c r="E51" t="str">
        <v>CR113_N_Case5,8_SLS_0.7EI_SpG_a03BP1.0m</v>
      </c>
      <c r="F51" t="str" cm="1">
        <f t="array" ref="F51:H51">TRANSPOSE(_xlfn._xlws.FILTER(_xlfn.ANCHORARRAY($B$2),_xlfn.ANCHORARRAY($A$2)=$E51))</f>
        <v>FixedEndAnchor_4</v>
      </c>
      <c r="G51" t="str">
        <v>FixedEndAnchor_5</v>
      </c>
      <c r="H51" t="str">
        <v>FixedEndAnchor_6</v>
      </c>
    </row>
    <row r="52" spans="4:8" x14ac:dyDescent="0.25">
      <c r="D52">
        <v>52</v>
      </c>
      <c r="E52" t="str">
        <v>CR113_N_Case5,8_SLS_0.7EI_SpG_a03BP1.0m</v>
      </c>
      <c r="F52" t="str" cm="1">
        <f t="array" ref="F52:H52">TRANSPOSE(_xlfn._xlws.FILTER(_xlfn.ANCHORARRAY($B$2),_xlfn.ANCHORARRAY($A$2)=$E52))</f>
        <v>FixedEndAnchor_4</v>
      </c>
      <c r="G52" t="str">
        <v>FixedEndAnchor_5</v>
      </c>
      <c r="H52" t="str">
        <v>FixedEndAnchor_6</v>
      </c>
    </row>
    <row r="53" spans="4:8" x14ac:dyDescent="0.25">
      <c r="D53">
        <v>53</v>
      </c>
      <c r="E53" t="str">
        <v>CR113_N_Case5,8_SLS_0.7EI_SpG_a03BP1.0m</v>
      </c>
      <c r="F53" t="str" cm="1">
        <f t="array" ref="F53:H53">TRANSPOSE(_xlfn._xlws.FILTER(_xlfn.ANCHORARRAY($B$2),_xlfn.ANCHORARRAY($A$2)=$E53))</f>
        <v>FixedEndAnchor_4</v>
      </c>
      <c r="G53" t="str">
        <v>FixedEndAnchor_5</v>
      </c>
      <c r="H53" t="str">
        <v>FixedEndAnchor_6</v>
      </c>
    </row>
    <row r="54" spans="4:8" x14ac:dyDescent="0.25">
      <c r="D54">
        <v>54</v>
      </c>
      <c r="E54" t="str">
        <v>CR113_N_Case5,8_SLS_0.7EI_SpG_a03BP1.0m</v>
      </c>
      <c r="F54" t="str" cm="1">
        <f t="array" ref="F54:H54">TRANSPOSE(_xlfn._xlws.FILTER(_xlfn.ANCHORARRAY($B$2),_xlfn.ANCHORARRAY($A$2)=$E54))</f>
        <v>FixedEndAnchor_4</v>
      </c>
      <c r="G54" t="str">
        <v>FixedEndAnchor_5</v>
      </c>
      <c r="H54" t="str">
        <v>FixedEndAnchor_6</v>
      </c>
    </row>
    <row r="55" spans="4:8" x14ac:dyDescent="0.25">
      <c r="D55">
        <v>55</v>
      </c>
      <c r="E55" t="str">
        <v>CR113_N_Case5,8_SLS_0.7EI_SpG_a03BP1.0m</v>
      </c>
      <c r="F55" t="str" cm="1">
        <f t="array" ref="F55:H55">TRANSPOSE(_xlfn._xlws.FILTER(_xlfn.ANCHORARRAY($B$2),_xlfn.ANCHORARRAY($A$2)=$E55))</f>
        <v>FixedEndAnchor_4</v>
      </c>
      <c r="G55" t="str">
        <v>FixedEndAnchor_5</v>
      </c>
      <c r="H55" t="str">
        <v>FixedEndAnchor_6</v>
      </c>
    </row>
    <row r="56" spans="4:8" x14ac:dyDescent="0.25">
      <c r="D56">
        <v>56</v>
      </c>
      <c r="E56" t="str">
        <v>CR113_N_Case6,7_ULS1_1.0EI_SpG_a03BP1.0m</v>
      </c>
      <c r="F56" t="str" cm="1">
        <f t="array" ref="F56:H56">TRANSPOSE(_xlfn._xlws.FILTER(_xlfn.ANCHORARRAY($B$2),_xlfn.ANCHORARRAY($A$2)=$E56))</f>
        <v>FixedEndAnchor_4</v>
      </c>
      <c r="G56" t="str">
        <v>FixedEndAnchor_5</v>
      </c>
      <c r="H56" t="str">
        <v>FixedEndAnchor_6</v>
      </c>
    </row>
    <row r="57" spans="4:8" x14ac:dyDescent="0.25">
      <c r="D57">
        <v>57</v>
      </c>
      <c r="E57" t="str">
        <v>CR113_N_Case6,7_ULS1_1.0EI_SpG_a03BP1.0m</v>
      </c>
      <c r="F57" t="str" cm="1">
        <f t="array" ref="F57:H57">TRANSPOSE(_xlfn._xlws.FILTER(_xlfn.ANCHORARRAY($B$2),_xlfn.ANCHORARRAY($A$2)=$E57))</f>
        <v>FixedEndAnchor_4</v>
      </c>
      <c r="G57" t="str">
        <v>FixedEndAnchor_5</v>
      </c>
      <c r="H57" t="str">
        <v>FixedEndAnchor_6</v>
      </c>
    </row>
    <row r="58" spans="4:8" x14ac:dyDescent="0.25">
      <c r="D58">
        <v>58</v>
      </c>
      <c r="E58" t="str">
        <v>CR113_N_Case6,7_ULS1_1.0EI_SpG_a03BP1.0m</v>
      </c>
      <c r="F58" t="str" cm="1">
        <f t="array" ref="F58:H58">TRANSPOSE(_xlfn._xlws.FILTER(_xlfn.ANCHORARRAY($B$2),_xlfn.ANCHORARRAY($A$2)=$E58))</f>
        <v>FixedEndAnchor_4</v>
      </c>
      <c r="G58" t="str">
        <v>FixedEndAnchor_5</v>
      </c>
      <c r="H58" t="str">
        <v>FixedEndAnchor_6</v>
      </c>
    </row>
    <row r="59" spans="4:8" x14ac:dyDescent="0.25">
      <c r="D59">
        <v>59</v>
      </c>
      <c r="E59" t="str">
        <v>CR113_N_Case6,7_ULS1_1.0EI_SpG_a03BP1.0m</v>
      </c>
      <c r="F59" t="str" cm="1">
        <f t="array" ref="F59:H59">TRANSPOSE(_xlfn._xlws.FILTER(_xlfn.ANCHORARRAY($B$2),_xlfn.ANCHORARRAY($A$2)=$E59))</f>
        <v>FixedEndAnchor_4</v>
      </c>
      <c r="G59" t="str">
        <v>FixedEndAnchor_5</v>
      </c>
      <c r="H59" t="str">
        <v>FixedEndAnchor_6</v>
      </c>
    </row>
    <row r="60" spans="4:8" x14ac:dyDescent="0.25">
      <c r="D60">
        <v>60</v>
      </c>
      <c r="E60" t="str">
        <v>CR113_N_Case6,7_ULS1_1.0EI_SpG_a03BP1.0m</v>
      </c>
      <c r="F60" t="str" cm="1">
        <f t="array" ref="F60:H60">TRANSPOSE(_xlfn._xlws.FILTER(_xlfn.ANCHORARRAY($B$2),_xlfn.ANCHORARRAY($A$2)=$E60))</f>
        <v>FixedEndAnchor_4</v>
      </c>
      <c r="G60" t="str">
        <v>FixedEndAnchor_5</v>
      </c>
      <c r="H60" t="str">
        <v>FixedEndAnchor_6</v>
      </c>
    </row>
    <row r="61" spans="4:8" x14ac:dyDescent="0.25">
      <c r="D61">
        <v>61</v>
      </c>
      <c r="E61" t="str">
        <v>CR113_N_Case6,7_ULS1_1.0EI_SpG_a03BP1.0m</v>
      </c>
      <c r="F61" t="str" cm="1">
        <f t="array" ref="F61:H61">TRANSPOSE(_xlfn._xlws.FILTER(_xlfn.ANCHORARRAY($B$2),_xlfn.ANCHORARRAY($A$2)=$E61))</f>
        <v>FixedEndAnchor_4</v>
      </c>
      <c r="G61" t="str">
        <v>FixedEndAnchor_5</v>
      </c>
      <c r="H61" t="str">
        <v>FixedEndAnchor_6</v>
      </c>
    </row>
    <row r="62" spans="4:8" x14ac:dyDescent="0.25">
      <c r="D62">
        <v>62</v>
      </c>
      <c r="E62" t="str">
        <v>CR113_N_Case6,7_ULS1_1.0EI_SpG_a03BP1.0m</v>
      </c>
      <c r="F62" t="str" cm="1">
        <f t="array" ref="F62:H62">TRANSPOSE(_xlfn._xlws.FILTER(_xlfn.ANCHORARRAY($B$2),_xlfn.ANCHORARRAY($A$2)=$E62))</f>
        <v>FixedEndAnchor_4</v>
      </c>
      <c r="G62" t="str">
        <v>FixedEndAnchor_5</v>
      </c>
      <c r="H62" t="str">
        <v>FixedEndAnchor_6</v>
      </c>
    </row>
    <row r="63" spans="4:8" x14ac:dyDescent="0.25">
      <c r="D63">
        <v>63</v>
      </c>
      <c r="E63" t="str">
        <v>CR113_N_Case6,7_ULS1_1.0EI_SpG_a03BP1.0m</v>
      </c>
      <c r="F63" t="str" cm="1">
        <f t="array" ref="F63:H63">TRANSPOSE(_xlfn._xlws.FILTER(_xlfn.ANCHORARRAY($B$2),_xlfn.ANCHORARRAY($A$2)=$E63))</f>
        <v>FixedEndAnchor_4</v>
      </c>
      <c r="G63" t="str">
        <v>FixedEndAnchor_5</v>
      </c>
      <c r="H63" t="str">
        <v>FixedEndAnchor_6</v>
      </c>
    </row>
    <row r="64" spans="4:8" x14ac:dyDescent="0.25">
      <c r="D64">
        <v>64</v>
      </c>
      <c r="E64" t="str">
        <v>CR113_N_Case6,7_ULS1_1.0EI_SpG_a03BP1.0m</v>
      </c>
      <c r="F64" t="str" cm="1">
        <f t="array" ref="F64:H64">TRANSPOSE(_xlfn._xlws.FILTER(_xlfn.ANCHORARRAY($B$2),_xlfn.ANCHORARRAY($A$2)=$E64))</f>
        <v>FixedEndAnchor_4</v>
      </c>
      <c r="G64" t="str">
        <v>FixedEndAnchor_5</v>
      </c>
      <c r="H64" t="str">
        <v>FixedEndAnchor_6</v>
      </c>
    </row>
    <row r="65" spans="6:6" x14ac:dyDescent="0.25">
      <c r="F65" t="e" cm="1" vm="1">
        <f t="array" ref="F65">TRANSPOSE(_xlfn._xlws.FILTER(_xlfn.ANCHORARRAY($B$2),_xlfn.ANCHORARRAY($A$2)=$E65))</f>
        <v>#VALUE!</v>
      </c>
    </row>
    <row r="66" spans="6:6" x14ac:dyDescent="0.25">
      <c r="F66" t="e" cm="1" vm="1">
        <f t="array" ref="F66">TRANSPOSE(_xlfn._xlws.FILTER(_xlfn.ANCHORARRAY($B$2),_xlfn.ANCHORARRAY($A$2)=$E66))</f>
        <v>#VALUE!</v>
      </c>
    </row>
    <row r="67" spans="6:6" x14ac:dyDescent="0.25">
      <c r="F67" t="e" cm="1" vm="1">
        <f t="array" ref="F67">TRANSPOSE(_xlfn._xlws.FILTER(_xlfn.ANCHORARRAY($B$2),_xlfn.ANCHORARRAY($A$2)=$E67))</f>
        <v>#VALUE!</v>
      </c>
    </row>
    <row r="68" spans="6:6" x14ac:dyDescent="0.25">
      <c r="F68" t="e" cm="1" vm="1">
        <f t="array" ref="F68">TRANSPOSE(_xlfn._xlws.FILTER(_xlfn.ANCHORARRAY($B$2),_xlfn.ANCHORARRAY($A$2)=$E68))</f>
        <v>#VALUE!</v>
      </c>
    </row>
    <row r="69" spans="6:6" x14ac:dyDescent="0.25">
      <c r="F69" t="e" cm="1" vm="1">
        <f t="array" ref="F69">TRANSPOSE(_xlfn._xlws.FILTER(_xlfn.ANCHORARRAY($B$2),_xlfn.ANCHORARRAY($A$2)=$E69))</f>
        <v>#VALUE!</v>
      </c>
    </row>
    <row r="70" spans="6:6" x14ac:dyDescent="0.25">
      <c r="F70" t="e" cm="1" vm="1">
        <f t="array" ref="F70">TRANSPOSE(_xlfn._xlws.FILTER(_xlfn.ANCHORARRAY($B$2),_xlfn.ANCHORARRAY($A$2)=$E70))</f>
        <v>#VALUE!</v>
      </c>
    </row>
    <row r="71" spans="6:6" x14ac:dyDescent="0.25">
      <c r="F71" t="e" cm="1" vm="1">
        <f t="array" ref="F71">TRANSPOSE(_xlfn._xlws.FILTER(_xlfn.ANCHORARRAY($B$2),_xlfn.ANCHORARRAY($A$2)=$E71))</f>
        <v>#VALUE!</v>
      </c>
    </row>
    <row r="72" spans="6:6" x14ac:dyDescent="0.25">
      <c r="F72" t="e" cm="1" vm="1">
        <f t="array" ref="F72">TRANSPOSE(_xlfn._xlws.FILTER(_xlfn.ANCHORARRAY($B$2),_xlfn.ANCHORARRAY($A$2)=$E72))</f>
        <v>#VALUE!</v>
      </c>
    </row>
    <row r="73" spans="6:6" x14ac:dyDescent="0.25">
      <c r="F73" t="e" cm="1" vm="1">
        <f t="array" ref="F73">TRANSPOSE(_xlfn._xlws.FILTER(_xlfn.ANCHORARRAY($B$2),_xlfn.ANCHORARRAY($A$2)=$E73))</f>
        <v>#VALUE!</v>
      </c>
    </row>
    <row r="74" spans="6:6" x14ac:dyDescent="0.25">
      <c r="F74" t="e" cm="1" vm="1">
        <f t="array" ref="F74">TRANSPOSE(_xlfn._xlws.FILTER(_xlfn.ANCHORARRAY($B$2),_xlfn.ANCHORARRAY($A$2)=$E74))</f>
        <v>#VALUE!</v>
      </c>
    </row>
    <row r="75" spans="6:6" x14ac:dyDescent="0.25">
      <c r="F75" t="e" cm="1" vm="1">
        <f t="array" ref="F75">TRANSPOSE(_xlfn._xlws.FILTER(_xlfn.ANCHORARRAY($B$2),_xlfn.ANCHORARRAY($A$2)=$E75))</f>
        <v>#VALUE!</v>
      </c>
    </row>
    <row r="76" spans="6:6" x14ac:dyDescent="0.25">
      <c r="F76" t="e" cm="1" vm="1">
        <f t="array" ref="F76">TRANSPOSE(_xlfn._xlws.FILTER(_xlfn.ANCHORARRAY($B$2),_xlfn.ANCHORARRAY($A$2)=$E76))</f>
        <v>#VALUE!</v>
      </c>
    </row>
    <row r="77" spans="6:6" x14ac:dyDescent="0.25">
      <c r="F77" t="e" cm="1" vm="1">
        <f t="array" ref="F77">TRANSPOSE(_xlfn._xlws.FILTER(_xlfn.ANCHORARRAY($B$2),_xlfn.ANCHORARRAY($A$2)=$E77))</f>
        <v>#VALUE!</v>
      </c>
    </row>
    <row r="78" spans="6:6" x14ac:dyDescent="0.25">
      <c r="F78" t="e" cm="1" vm="1">
        <f t="array" ref="F78">TRANSPOSE(_xlfn._xlws.FILTER(_xlfn.ANCHORARRAY($B$2),_xlfn.ANCHORARRAY($A$2)=$E78))</f>
        <v>#VALUE!</v>
      </c>
    </row>
    <row r="79" spans="6:6" x14ac:dyDescent="0.25">
      <c r="F79" t="e" cm="1" vm="1">
        <f t="array" ref="F79">TRANSPOSE(_xlfn._xlws.FILTER(_xlfn.ANCHORARRAY($B$2),_xlfn.ANCHORARRAY($A$2)=$E79))</f>
        <v>#VALUE!</v>
      </c>
    </row>
    <row r="80" spans="6:6" x14ac:dyDescent="0.25">
      <c r="F80" t="e" cm="1" vm="1">
        <f t="array" ref="F80">TRANSPOSE(_xlfn._xlws.FILTER(_xlfn.ANCHORARRAY($B$2),_xlfn.ANCHORARRAY($A$2)=$E80))</f>
        <v>#VALUE!</v>
      </c>
    </row>
    <row r="81" spans="6:6" x14ac:dyDescent="0.25">
      <c r="F81" t="e" cm="1" vm="1">
        <f t="array" ref="F81">TRANSPOSE(_xlfn._xlws.FILTER(_xlfn.ANCHORARRAY($B$2),_xlfn.ANCHORARRAY($A$2)=$E81))</f>
        <v>#VALUE!</v>
      </c>
    </row>
    <row r="82" spans="6:6" x14ac:dyDescent="0.25">
      <c r="F82" t="e" cm="1" vm="1">
        <f t="array" ref="F82">TRANSPOSE(_xlfn._xlws.FILTER(_xlfn.ANCHORARRAY($B$2),_xlfn.ANCHORARRAY($A$2)=$E82))</f>
        <v>#VALUE!</v>
      </c>
    </row>
    <row r="83" spans="6:6" x14ac:dyDescent="0.25">
      <c r="F83" t="e" cm="1" vm="1">
        <f t="array" ref="F83">TRANSPOSE(_xlfn._xlws.FILTER(_xlfn.ANCHORARRAY($B$2),_xlfn.ANCHORARRAY($A$2)=$E83))</f>
        <v>#VALUE!</v>
      </c>
    </row>
    <row r="84" spans="6:6" x14ac:dyDescent="0.25">
      <c r="F84" t="e" cm="1" vm="1">
        <f t="array" ref="F84">TRANSPOSE(_xlfn._xlws.FILTER(_xlfn.ANCHORARRAY($B$2),_xlfn.ANCHORARRAY($A$2)=$E84))</f>
        <v>#VALUE!</v>
      </c>
    </row>
    <row r="85" spans="6:6" x14ac:dyDescent="0.25">
      <c r="F85" t="e" cm="1" vm="1">
        <f t="array" ref="F85">TRANSPOSE(_xlfn._xlws.FILTER(_xlfn.ANCHORARRAY($B$2),_xlfn.ANCHORARRAY($A$2)=$E85))</f>
        <v>#VALUE!</v>
      </c>
    </row>
    <row r="86" spans="6:6" x14ac:dyDescent="0.25">
      <c r="F86" t="e" cm="1" vm="1">
        <f t="array" ref="F86">TRANSPOSE(_xlfn._xlws.FILTER(_xlfn.ANCHORARRAY($B$2),_xlfn.ANCHORARRAY($A$2)=$E86))</f>
        <v>#VALUE!</v>
      </c>
    </row>
    <row r="87" spans="6:6" x14ac:dyDescent="0.25">
      <c r="F87" t="e" cm="1" vm="1">
        <f t="array" ref="F87">TRANSPOSE(_xlfn._xlws.FILTER(_xlfn.ANCHORARRAY($B$2),_xlfn.ANCHORARRAY($A$2)=$E87))</f>
        <v>#VALUE!</v>
      </c>
    </row>
    <row r="88" spans="6:6" x14ac:dyDescent="0.25">
      <c r="F88" t="e" cm="1" vm="1">
        <f t="array" ref="F88">TRANSPOSE(_xlfn._xlws.FILTER(_xlfn.ANCHORARRAY($B$2),_xlfn.ANCHORARRAY($A$2)=$E88))</f>
        <v>#VALUE!</v>
      </c>
    </row>
    <row r="89" spans="6:6" x14ac:dyDescent="0.25">
      <c r="F89" t="e" cm="1" vm="1">
        <f t="array" ref="F89">TRANSPOSE(_xlfn._xlws.FILTER(_xlfn.ANCHORARRAY($B$2),_xlfn.ANCHORARRAY($A$2)=$E89))</f>
        <v>#VALUE!</v>
      </c>
    </row>
    <row r="90" spans="6:6" x14ac:dyDescent="0.25">
      <c r="F90" t="e" cm="1" vm="1">
        <f t="array" ref="F90">TRANSPOSE(_xlfn._xlws.FILTER(_xlfn.ANCHORARRAY($B$2),_xlfn.ANCHORARRAY($A$2)=$E90))</f>
        <v>#VALUE!</v>
      </c>
    </row>
    <row r="91" spans="6:6" x14ac:dyDescent="0.25">
      <c r="F91" t="e" cm="1" vm="1">
        <f t="array" ref="F91">TRANSPOSE(_xlfn._xlws.FILTER(_xlfn.ANCHORARRAY($B$2),_xlfn.ANCHORARRAY($A$2)=$E91))</f>
        <v>#VALUE!</v>
      </c>
    </row>
    <row r="92" spans="6:6" x14ac:dyDescent="0.25">
      <c r="F92" t="e" cm="1" vm="1">
        <f t="array" ref="F92">TRANSPOSE(_xlfn._xlws.FILTER(_xlfn.ANCHORARRAY($B$2),_xlfn.ANCHORARRAY($A$2)=$E92))</f>
        <v>#VALUE!</v>
      </c>
    </row>
    <row r="93" spans="6:6" x14ac:dyDescent="0.25">
      <c r="F93" t="e" cm="1" vm="1">
        <f t="array" ref="F93">TRANSPOSE(_xlfn._xlws.FILTER(_xlfn.ANCHORARRAY($B$2),_xlfn.ANCHORARRAY($A$2)=$E93))</f>
        <v>#VALUE!</v>
      </c>
    </row>
    <row r="94" spans="6:6" x14ac:dyDescent="0.25">
      <c r="F94" t="e" cm="1" vm="1">
        <f t="array" ref="F94">TRANSPOSE(_xlfn._xlws.FILTER(_xlfn.ANCHORARRAY($B$2),_xlfn.ANCHORARRAY($A$2)=$E94))</f>
        <v>#VALUE!</v>
      </c>
    </row>
    <row r="95" spans="6:6" x14ac:dyDescent="0.25">
      <c r="F95" t="e" cm="1" vm="1">
        <f t="array" ref="F95">TRANSPOSE(_xlfn._xlws.FILTER(_xlfn.ANCHORARRAY($B$2),_xlfn.ANCHORARRAY($A$2)=$E95))</f>
        <v>#VALUE!</v>
      </c>
    </row>
    <row r="96" spans="6:6" x14ac:dyDescent="0.25">
      <c r="F96" t="e" cm="1" vm="1">
        <f t="array" ref="F96">TRANSPOSE(_xlfn._xlws.FILTER(_xlfn.ANCHORARRAY($B$2),_xlfn.ANCHORARRAY($A$2)=$E96))</f>
        <v>#VALUE!</v>
      </c>
    </row>
    <row r="97" spans="6:6" x14ac:dyDescent="0.25">
      <c r="F97" t="e" cm="1" vm="1">
        <f t="array" ref="F97">TRANSPOSE(_xlfn._xlws.FILTER(_xlfn.ANCHORARRAY($B$2),_xlfn.ANCHORARRAY($A$2)=$E97))</f>
        <v>#VALUE!</v>
      </c>
    </row>
    <row r="98" spans="6:6" x14ac:dyDescent="0.25">
      <c r="F98" t="e" cm="1" vm="1">
        <f t="array" ref="F98">TRANSPOSE(_xlfn._xlws.FILTER(_xlfn.ANCHORARRAY($B$2),_xlfn.ANCHORARRAY($A$2)=$E98))</f>
        <v>#VALUE!</v>
      </c>
    </row>
    <row r="99" spans="6:6" x14ac:dyDescent="0.25">
      <c r="F99" t="e" cm="1" vm="1">
        <f t="array" ref="F99">TRANSPOSE(_xlfn._xlws.FILTER(_xlfn.ANCHORARRAY($B$2),_xlfn.ANCHORARRAY($A$2)=$E99))</f>
        <v>#VALUE!</v>
      </c>
    </row>
    <row r="100" spans="6:6" x14ac:dyDescent="0.25">
      <c r="F100" t="e" cm="1" vm="1">
        <f t="array" ref="F100">TRANSPOSE(_xlfn._xlws.FILTER(_xlfn.ANCHORARRAY($B$2),_xlfn.ANCHORARRAY($A$2)=$E100))</f>
        <v>#VALUE!</v>
      </c>
    </row>
    <row r="101" spans="6:6" x14ac:dyDescent="0.25">
      <c r="F101" t="e" cm="1" vm="1">
        <f t="array" ref="F101">TRANSPOSE(_xlfn._xlws.FILTER(_xlfn.ANCHORARRAY($B$2),_xlfn.ANCHORARRAY($A$2)=$E101))</f>
        <v>#VALUE!</v>
      </c>
    </row>
    <row r="102" spans="6:6" x14ac:dyDescent="0.25">
      <c r="F102" t="e" cm="1" vm="1">
        <f t="array" ref="F102">TRANSPOSE(_xlfn._xlws.FILTER(_xlfn.ANCHORARRAY($B$2),_xlfn.ANCHORARRAY($A$2)=$E102))</f>
        <v>#VALUE!</v>
      </c>
    </row>
    <row r="103" spans="6:6" x14ac:dyDescent="0.25">
      <c r="F103" t="e" cm="1" vm="1">
        <f t="array" ref="F103">TRANSPOSE(_xlfn._xlws.FILTER(_xlfn.ANCHORARRAY($B$2),_xlfn.ANCHORARRAY($A$2)=$E103))</f>
        <v>#VALUE!</v>
      </c>
    </row>
    <row r="104" spans="6:6" x14ac:dyDescent="0.25">
      <c r="F104" t="e" cm="1" vm="1">
        <f t="array" ref="F104">TRANSPOSE(_xlfn._xlws.FILTER(_xlfn.ANCHORARRAY($B$2),_xlfn.ANCHORARRAY($A$2)=$E104))</f>
        <v>#VALUE!</v>
      </c>
    </row>
    <row r="105" spans="6:6" x14ac:dyDescent="0.25">
      <c r="F105" t="e" cm="1" vm="1">
        <f t="array" ref="F105">TRANSPOSE(_xlfn._xlws.FILTER(_xlfn.ANCHORARRAY($B$2),_xlfn.ANCHORARRAY($A$2)=$E105))</f>
        <v>#VALUE!</v>
      </c>
    </row>
    <row r="106" spans="6:6" x14ac:dyDescent="0.25">
      <c r="F106" t="e" cm="1" vm="1">
        <f t="array" ref="F106">TRANSPOSE(_xlfn._xlws.FILTER(_xlfn.ANCHORARRAY($B$2),_xlfn.ANCHORARRAY($A$2)=$E106))</f>
        <v>#VALUE!</v>
      </c>
    </row>
    <row r="107" spans="6:6" x14ac:dyDescent="0.25">
      <c r="F107" t="e" cm="1" vm="1">
        <f t="array" ref="F107">TRANSPOSE(_xlfn._xlws.FILTER(_xlfn.ANCHORARRAY($B$2),_xlfn.ANCHORARRAY($A$2)=$E107))</f>
        <v>#VALUE!</v>
      </c>
    </row>
    <row r="108" spans="6:6" x14ac:dyDescent="0.25">
      <c r="F108" t="e" cm="1" vm="1">
        <f t="array" ref="F108">TRANSPOSE(_xlfn._xlws.FILTER(_xlfn.ANCHORARRAY($B$2),_xlfn.ANCHORARRAY($A$2)=$E108))</f>
        <v>#VALUE!</v>
      </c>
    </row>
    <row r="109" spans="6:6" x14ac:dyDescent="0.25">
      <c r="F109" t="e" cm="1" vm="1">
        <f t="array" ref="F109">TRANSPOSE(_xlfn._xlws.FILTER(_xlfn.ANCHORARRAY($B$2),_xlfn.ANCHORARRAY($A$2)=$E109))</f>
        <v>#VALUE!</v>
      </c>
    </row>
    <row r="110" spans="6:6" x14ac:dyDescent="0.25">
      <c r="F110" t="e" cm="1" vm="1">
        <f t="array" ref="F110">TRANSPOSE(_xlfn._xlws.FILTER(_xlfn.ANCHORARRAY($B$2),_xlfn.ANCHORARRAY($A$2)=$E110))</f>
        <v>#VALUE!</v>
      </c>
    </row>
    <row r="111" spans="6:6" x14ac:dyDescent="0.25">
      <c r="F111" t="e" cm="1" vm="1">
        <f t="array" ref="F111">TRANSPOSE(_xlfn._xlws.FILTER(_xlfn.ANCHORARRAY($B$2),_xlfn.ANCHORARRAY($A$2)=$E111))</f>
        <v>#VALUE!</v>
      </c>
    </row>
    <row r="112" spans="6:6" x14ac:dyDescent="0.25">
      <c r="F112" t="e" cm="1" vm="1">
        <f t="array" ref="F112">TRANSPOSE(_xlfn._xlws.FILTER(_xlfn.ANCHORARRAY($B$2),_xlfn.ANCHORARRAY($A$2)=$E112))</f>
        <v>#VALUE!</v>
      </c>
    </row>
    <row r="113" spans="6:6" x14ac:dyDescent="0.25">
      <c r="F113" t="e" cm="1" vm="1">
        <f t="array" ref="F113">TRANSPOSE(_xlfn._xlws.FILTER(_xlfn.ANCHORARRAY($B$2),_xlfn.ANCHORARRAY($A$2)=$E113))</f>
        <v>#VALUE!</v>
      </c>
    </row>
    <row r="114" spans="6:6" x14ac:dyDescent="0.25">
      <c r="F114" t="e" cm="1" vm="1">
        <f t="array" ref="F114">TRANSPOSE(_xlfn._xlws.FILTER(_xlfn.ANCHORARRAY($B$2),_xlfn.ANCHORARRAY($A$2)=$E114))</f>
        <v>#VALUE!</v>
      </c>
    </row>
    <row r="115" spans="6:6" x14ac:dyDescent="0.25">
      <c r="F115" t="e" cm="1" vm="1">
        <f t="array" ref="F115">TRANSPOSE(_xlfn._xlws.FILTER(_xlfn.ANCHORARRAY($B$2),_xlfn.ANCHORARRAY($A$2)=$E115))</f>
        <v>#VALUE!</v>
      </c>
    </row>
    <row r="116" spans="6:6" x14ac:dyDescent="0.25">
      <c r="F116" t="e" cm="1" vm="1">
        <f t="array" ref="F116">TRANSPOSE(_xlfn._xlws.FILTER(_xlfn.ANCHORARRAY($B$2),_xlfn.ANCHORARRAY($A$2)=$E116))</f>
        <v>#VALUE!</v>
      </c>
    </row>
    <row r="117" spans="6:6" x14ac:dyDescent="0.25">
      <c r="F117" t="e" cm="1" vm="1">
        <f t="array" ref="F117">TRANSPOSE(_xlfn._xlws.FILTER(_xlfn.ANCHORARRAY($B$2),_xlfn.ANCHORARRAY($A$2)=$E117))</f>
        <v>#VALUE!</v>
      </c>
    </row>
    <row r="118" spans="6:6" x14ac:dyDescent="0.25">
      <c r="F118" t="e" cm="1" vm="1">
        <f t="array" ref="F118">TRANSPOSE(_xlfn._xlws.FILTER(_xlfn.ANCHORARRAY($B$2),_xlfn.ANCHORARRAY($A$2)=$E118))</f>
        <v>#VALUE!</v>
      </c>
    </row>
    <row r="119" spans="6:6" x14ac:dyDescent="0.25">
      <c r="F119" t="e" cm="1" vm="1">
        <f t="array" ref="F119">TRANSPOSE(_xlfn._xlws.FILTER(_xlfn.ANCHORARRAY($B$2),_xlfn.ANCHORARRAY($A$2)=$E119))</f>
        <v>#VALUE!</v>
      </c>
    </row>
    <row r="120" spans="6:6" x14ac:dyDescent="0.25">
      <c r="F120" t="e" cm="1" vm="1">
        <f t="array" ref="F120">TRANSPOSE(_xlfn._xlws.FILTER(_xlfn.ANCHORARRAY($B$2),_xlfn.ANCHORARRAY($A$2)=$E120))</f>
        <v>#VALUE!</v>
      </c>
    </row>
    <row r="121" spans="6:6" x14ac:dyDescent="0.25">
      <c r="F121" t="e" cm="1" vm="1">
        <f t="array" ref="F121">TRANSPOSE(_xlfn._xlws.FILTER(_xlfn.ANCHORARRAY($B$2),_xlfn.ANCHORARRAY($A$2)=$E121))</f>
        <v>#VALUE!</v>
      </c>
    </row>
    <row r="122" spans="6:6" x14ac:dyDescent="0.25">
      <c r="F122" t="e" cm="1" vm="1">
        <f t="array" ref="F122">TRANSPOSE(_xlfn._xlws.FILTER(_xlfn.ANCHORARRAY($B$2),_xlfn.ANCHORARRAY($A$2)=$E122))</f>
        <v>#VALUE!</v>
      </c>
    </row>
    <row r="123" spans="6:6" x14ac:dyDescent="0.25">
      <c r="F123" t="e" cm="1" vm="1">
        <f t="array" ref="F123">TRANSPOSE(_xlfn._xlws.FILTER(_xlfn.ANCHORARRAY($B$2),_xlfn.ANCHORARRAY($A$2)=$E123))</f>
        <v>#VALUE!</v>
      </c>
    </row>
    <row r="124" spans="6:6" x14ac:dyDescent="0.25">
      <c r="F124" t="e" cm="1" vm="1">
        <f t="array" ref="F124">TRANSPOSE(_xlfn._xlws.FILTER(_xlfn.ANCHORARRAY($B$2),_xlfn.ANCHORARRAY($A$2)=$E124))</f>
        <v>#VALUE!</v>
      </c>
    </row>
    <row r="125" spans="6:6" x14ac:dyDescent="0.25">
      <c r="F125" t="e" cm="1" vm="1">
        <f t="array" ref="F125">TRANSPOSE(_xlfn._xlws.FILTER(_xlfn.ANCHORARRAY($B$2),_xlfn.ANCHORARRAY($A$2)=$E125))</f>
        <v>#VALUE!</v>
      </c>
    </row>
    <row r="126" spans="6:6" x14ac:dyDescent="0.25">
      <c r="F126" t="e" cm="1" vm="1">
        <f t="array" ref="F126">TRANSPOSE(_xlfn._xlws.FILTER(_xlfn.ANCHORARRAY($B$2),_xlfn.ANCHORARRAY($A$2)=$E126))</f>
        <v>#VALUE!</v>
      </c>
    </row>
    <row r="127" spans="6:6" x14ac:dyDescent="0.25">
      <c r="F127" t="e" cm="1" vm="1">
        <f t="array" ref="F127">TRANSPOSE(_xlfn._xlws.FILTER(_xlfn.ANCHORARRAY($B$2),_xlfn.ANCHORARRAY($A$2)=$E127))</f>
        <v>#VALUE!</v>
      </c>
    </row>
    <row r="128" spans="6:6" x14ac:dyDescent="0.25">
      <c r="F128" t="e" cm="1" vm="1">
        <f t="array" ref="F128">TRANSPOSE(_xlfn._xlws.FILTER(_xlfn.ANCHORARRAY($B$2),_xlfn.ANCHORARRAY($A$2)=$E128))</f>
        <v>#VALUE!</v>
      </c>
    </row>
    <row r="129" spans="6:6" x14ac:dyDescent="0.25">
      <c r="F129" t="e" cm="1" vm="1">
        <f t="array" ref="F129">TRANSPOSE(_xlfn._xlws.FILTER(_xlfn.ANCHORARRAY($B$2),_xlfn.ANCHORARRAY($A$2)=$E129))</f>
        <v>#VALUE!</v>
      </c>
    </row>
    <row r="130" spans="6:6" x14ac:dyDescent="0.25">
      <c r="F130" t="e" cm="1" vm="1">
        <f t="array" ref="F130">TRANSPOSE(_xlfn._xlws.FILTER(_xlfn.ANCHORARRAY($B$2),_xlfn.ANCHORARRAY($A$2)=$E130))</f>
        <v>#VALUE!</v>
      </c>
    </row>
    <row r="131" spans="6:6" x14ac:dyDescent="0.25">
      <c r="F131" t="e" cm="1" vm="1">
        <f t="array" ref="F131">TRANSPOSE(_xlfn._xlws.FILTER(_xlfn.ANCHORARRAY($B$2),_xlfn.ANCHORARRAY($A$2)=$E131))</f>
        <v>#VALUE!</v>
      </c>
    </row>
    <row r="132" spans="6:6" x14ac:dyDescent="0.25">
      <c r="F132" t="e" cm="1" vm="1">
        <f t="array" ref="F132">TRANSPOSE(_xlfn._xlws.FILTER(_xlfn.ANCHORARRAY($B$2),_xlfn.ANCHORARRAY($A$2)=$E132))</f>
        <v>#VALUE!</v>
      </c>
    </row>
    <row r="133" spans="6:6" x14ac:dyDescent="0.25">
      <c r="F133" t="e" cm="1" vm="1">
        <f t="array" ref="F133">TRANSPOSE(_xlfn._xlws.FILTER(_xlfn.ANCHORARRAY($B$2),_xlfn.ANCHORARRAY($A$2)=$E133))</f>
        <v>#VALUE!</v>
      </c>
    </row>
    <row r="134" spans="6:6" x14ac:dyDescent="0.25">
      <c r="F134" t="e" cm="1" vm="1">
        <f t="array" ref="F134">TRANSPOSE(_xlfn._xlws.FILTER(_xlfn.ANCHORARRAY($B$2),_xlfn.ANCHORARRAY($A$2)=$E134))</f>
        <v>#VALUE!</v>
      </c>
    </row>
    <row r="135" spans="6:6" x14ac:dyDescent="0.25">
      <c r="F135" t="e" cm="1" vm="1">
        <f t="array" ref="F135">TRANSPOSE(_xlfn._xlws.FILTER(_xlfn.ANCHORARRAY($B$2),_xlfn.ANCHORARRAY($A$2)=$E135))</f>
        <v>#VALUE!</v>
      </c>
    </row>
    <row r="136" spans="6:6" x14ac:dyDescent="0.25">
      <c r="F136" t="e" cm="1" vm="1">
        <f t="array" ref="F136">TRANSPOSE(_xlfn._xlws.FILTER(_xlfn.ANCHORARRAY($B$2),_xlfn.ANCHORARRAY($A$2)=$E136))</f>
        <v>#VALUE!</v>
      </c>
    </row>
    <row r="137" spans="6:6" x14ac:dyDescent="0.25">
      <c r="F137" t="e" cm="1" vm="1">
        <f t="array" ref="F137">TRANSPOSE(_xlfn._xlws.FILTER(_xlfn.ANCHORARRAY($B$2),_xlfn.ANCHORARRAY($A$2)=$E137))</f>
        <v>#VALUE!</v>
      </c>
    </row>
    <row r="138" spans="6:6" x14ac:dyDescent="0.25">
      <c r="F138" t="e" cm="1" vm="1">
        <f t="array" ref="F138">TRANSPOSE(_xlfn._xlws.FILTER(_xlfn.ANCHORARRAY($B$2),_xlfn.ANCHORARRAY($A$2)=$E138))</f>
        <v>#VALUE!</v>
      </c>
    </row>
    <row r="139" spans="6:6" x14ac:dyDescent="0.25">
      <c r="F139" t="e" cm="1" vm="1">
        <f t="array" ref="F139">TRANSPOSE(_xlfn._xlws.FILTER(_xlfn.ANCHORARRAY($B$2),_xlfn.ANCHORARRAY($A$2)=$E139))</f>
        <v>#VALUE!</v>
      </c>
    </row>
    <row r="140" spans="6:6" x14ac:dyDescent="0.25">
      <c r="F140" t="e" cm="1" vm="1">
        <f t="array" ref="F140">TRANSPOSE(_xlfn._xlws.FILTER(_xlfn.ANCHORARRAY($B$2),_xlfn.ANCHORARRAY($A$2)=$E140))</f>
        <v>#VALUE!</v>
      </c>
    </row>
    <row r="141" spans="6:6" x14ac:dyDescent="0.25">
      <c r="F141" t="e" cm="1" vm="1">
        <f t="array" ref="F141">TRANSPOSE(_xlfn._xlws.FILTER(_xlfn.ANCHORARRAY($B$2),_xlfn.ANCHORARRAY($A$2)=$E141))</f>
        <v>#VALUE!</v>
      </c>
    </row>
    <row r="142" spans="6:6" x14ac:dyDescent="0.25">
      <c r="F142" t="e" cm="1" vm="1">
        <f t="array" ref="F142">TRANSPOSE(_xlfn._xlws.FILTER(_xlfn.ANCHORARRAY($B$2),_xlfn.ANCHORARRAY($A$2)=$E142))</f>
        <v>#VALUE!</v>
      </c>
    </row>
    <row r="143" spans="6:6" x14ac:dyDescent="0.25">
      <c r="F143" t="e" cm="1" vm="1">
        <f t="array" ref="F143">TRANSPOSE(_xlfn._xlws.FILTER(_xlfn.ANCHORARRAY($B$2),_xlfn.ANCHORARRAY($A$2)=$E143))</f>
        <v>#VALUE!</v>
      </c>
    </row>
    <row r="144" spans="6:6" x14ac:dyDescent="0.25">
      <c r="F144" t="e" cm="1" vm="1">
        <f t="array" ref="F144">TRANSPOSE(_xlfn._xlws.FILTER(_xlfn.ANCHORARRAY($B$2),_xlfn.ANCHORARRAY($A$2)=$E144))</f>
        <v>#VALUE!</v>
      </c>
    </row>
    <row r="145" spans="6:6" x14ac:dyDescent="0.25">
      <c r="F145" t="e" cm="1" vm="1">
        <f t="array" ref="F145">TRANSPOSE(_xlfn._xlws.FILTER(_xlfn.ANCHORARRAY($B$2),_xlfn.ANCHORARRAY($A$2)=$E145))</f>
        <v>#VALUE!</v>
      </c>
    </row>
    <row r="146" spans="6:6" x14ac:dyDescent="0.25">
      <c r="F146" t="e" cm="1" vm="1">
        <f t="array" ref="F146">TRANSPOSE(_xlfn._xlws.FILTER(_xlfn.ANCHORARRAY($B$2),_xlfn.ANCHORARRAY($A$2)=$E146))</f>
        <v>#VALUE!</v>
      </c>
    </row>
    <row r="147" spans="6:6" x14ac:dyDescent="0.25">
      <c r="F147" t="e" cm="1" vm="1">
        <f t="array" ref="F147">TRANSPOSE(_xlfn._xlws.FILTER(_xlfn.ANCHORARRAY($B$2),_xlfn.ANCHORARRAY($A$2)=$E147))</f>
        <v>#VALUE!</v>
      </c>
    </row>
    <row r="148" spans="6:6" x14ac:dyDescent="0.25">
      <c r="F148" t="e" cm="1" vm="1">
        <f t="array" ref="F148">TRANSPOSE(_xlfn._xlws.FILTER(_xlfn.ANCHORARRAY($B$2),_xlfn.ANCHORARRAY($A$2)=$E148))</f>
        <v>#VALUE!</v>
      </c>
    </row>
    <row r="149" spans="6:6" x14ac:dyDescent="0.25">
      <c r="F149" t="e" cm="1" vm="1">
        <f t="array" ref="F149">TRANSPOSE(_xlfn._xlws.FILTER(_xlfn.ANCHORARRAY($B$2),_xlfn.ANCHORARRAY($A$2)=$E149))</f>
        <v>#VALUE!</v>
      </c>
    </row>
    <row r="150" spans="6:6" x14ac:dyDescent="0.25">
      <c r="F150" t="e" cm="1" vm="1">
        <f t="array" ref="F150">TRANSPOSE(_xlfn._xlws.FILTER(_xlfn.ANCHORARRAY($B$2),_xlfn.ANCHORARRAY($A$2)=$E150))</f>
        <v>#VALUE!</v>
      </c>
    </row>
    <row r="151" spans="6:6" x14ac:dyDescent="0.25">
      <c r="F151" t="e" cm="1" vm="1">
        <f t="array" ref="F151">TRANSPOSE(_xlfn._xlws.FILTER(_xlfn.ANCHORARRAY($B$2),_xlfn.ANCHORARRAY($A$2)=$E151))</f>
        <v>#VALUE!</v>
      </c>
    </row>
    <row r="152" spans="6:6" x14ac:dyDescent="0.25">
      <c r="F152" t="e" cm="1" vm="1">
        <f t="array" ref="F152">TRANSPOSE(_xlfn._xlws.FILTER(_xlfn.ANCHORARRAY($B$2),_xlfn.ANCHORARRAY($A$2)=$E152))</f>
        <v>#VALUE!</v>
      </c>
    </row>
    <row r="153" spans="6:6" x14ac:dyDescent="0.25">
      <c r="F153" t="e" cm="1" vm="1">
        <f t="array" ref="F153">TRANSPOSE(_xlfn._xlws.FILTER(_xlfn.ANCHORARRAY($B$2),_xlfn.ANCHORARRAY($A$2)=$E153))</f>
        <v>#VALUE!</v>
      </c>
    </row>
    <row r="154" spans="6:6" x14ac:dyDescent="0.25">
      <c r="F154" t="e" cm="1" vm="1">
        <f t="array" ref="F154">TRANSPOSE(_xlfn._xlws.FILTER(_xlfn.ANCHORARRAY($B$2),_xlfn.ANCHORARRAY($A$2)=$E154))</f>
        <v>#VALUE!</v>
      </c>
    </row>
    <row r="155" spans="6:6" x14ac:dyDescent="0.25">
      <c r="F155" t="e" cm="1" vm="1">
        <f t="array" ref="F155">TRANSPOSE(_xlfn._xlws.FILTER(_xlfn.ANCHORARRAY($B$2),_xlfn.ANCHORARRAY($A$2)=$E155))</f>
        <v>#VALUE!</v>
      </c>
    </row>
    <row r="156" spans="6:6" x14ac:dyDescent="0.25">
      <c r="F156" t="e" cm="1" vm="1">
        <f t="array" ref="F156">TRANSPOSE(_xlfn._xlws.FILTER(_xlfn.ANCHORARRAY($B$2),_xlfn.ANCHORARRAY($A$2)=$E156))</f>
        <v>#VALUE!</v>
      </c>
    </row>
    <row r="157" spans="6:6" x14ac:dyDescent="0.25">
      <c r="F157" t="e" cm="1" vm="1">
        <f t="array" ref="F157">TRANSPOSE(_xlfn._xlws.FILTER(_xlfn.ANCHORARRAY($B$2),_xlfn.ANCHORARRAY($A$2)=$E157))</f>
        <v>#VALUE!</v>
      </c>
    </row>
    <row r="158" spans="6:6" x14ac:dyDescent="0.25">
      <c r="F158" t="e" cm="1" vm="1">
        <f t="array" ref="F158">TRANSPOSE(_xlfn._xlws.FILTER(_xlfn.ANCHORARRAY($B$2),_xlfn.ANCHORARRAY($A$2)=$E158))</f>
        <v>#VALUE!</v>
      </c>
    </row>
    <row r="159" spans="6:6" x14ac:dyDescent="0.25">
      <c r="F159" t="e" cm="1" vm="1">
        <f t="array" ref="F159">TRANSPOSE(_xlfn._xlws.FILTER(_xlfn.ANCHORARRAY($B$2),_xlfn.ANCHORARRAY($A$2)=$E159))</f>
        <v>#VALUE!</v>
      </c>
    </row>
    <row r="160" spans="6:6" x14ac:dyDescent="0.25">
      <c r="F160" t="e" cm="1" vm="1">
        <f t="array" ref="F160">TRANSPOSE(_xlfn._xlws.FILTER(_xlfn.ANCHORARRAY($B$2),_xlfn.ANCHORARRAY($A$2)=$E160))</f>
        <v>#VALUE!</v>
      </c>
    </row>
    <row r="161" spans="6:6" x14ac:dyDescent="0.25">
      <c r="F161" t="e" cm="1" vm="1">
        <f t="array" ref="F161">TRANSPOSE(_xlfn._xlws.FILTER(_xlfn.ANCHORARRAY($B$2),_xlfn.ANCHORARRAY($A$2)=$E161))</f>
        <v>#VALUE!</v>
      </c>
    </row>
    <row r="162" spans="6:6" x14ac:dyDescent="0.25">
      <c r="F162" t="e" cm="1" vm="1">
        <f t="array" ref="F162">TRANSPOSE(_xlfn._xlws.FILTER(_xlfn.ANCHORARRAY($B$2),_xlfn.ANCHORARRAY($A$2)=$E162))</f>
        <v>#VALUE!</v>
      </c>
    </row>
    <row r="163" spans="6:6" x14ac:dyDescent="0.25">
      <c r="F163" t="e" cm="1" vm="1">
        <f t="array" ref="F163">TRANSPOSE(_xlfn._xlws.FILTER(_xlfn.ANCHORARRAY($B$2),_xlfn.ANCHORARRAY($A$2)=$E163))</f>
        <v>#VALUE!</v>
      </c>
    </row>
    <row r="164" spans="6:6" x14ac:dyDescent="0.25">
      <c r="F164" t="e" cm="1" vm="1">
        <f t="array" ref="F164">TRANSPOSE(_xlfn._xlws.FILTER(_xlfn.ANCHORARRAY($B$2),_xlfn.ANCHORARRAY($A$2)=$E164))</f>
        <v>#VALUE!</v>
      </c>
    </row>
    <row r="165" spans="6:6" x14ac:dyDescent="0.25">
      <c r="F165" t="e" cm="1" vm="1">
        <f t="array" ref="F165">TRANSPOSE(_xlfn._xlws.FILTER(_xlfn.ANCHORARRAY($B$2),_xlfn.ANCHORARRAY($A$2)=$E165))</f>
        <v>#VALUE!</v>
      </c>
    </row>
    <row r="166" spans="6:6" x14ac:dyDescent="0.25">
      <c r="F166" t="e" cm="1" vm="1">
        <f t="array" ref="F166">TRANSPOSE(_xlfn._xlws.FILTER(_xlfn.ANCHORARRAY($B$2),_xlfn.ANCHORARRAY($A$2)=$E166))</f>
        <v>#VALUE!</v>
      </c>
    </row>
    <row r="167" spans="6:6" x14ac:dyDescent="0.25">
      <c r="F167" t="e" cm="1" vm="1">
        <f t="array" ref="F167">TRANSPOSE(_xlfn._xlws.FILTER(_xlfn.ANCHORARRAY($B$2),_xlfn.ANCHORARRAY($A$2)=$E167))</f>
        <v>#VALUE!</v>
      </c>
    </row>
    <row r="168" spans="6:6" x14ac:dyDescent="0.25">
      <c r="F168" t="e" cm="1" vm="1">
        <f t="array" ref="F168">TRANSPOSE(_xlfn._xlws.FILTER(_xlfn.ANCHORARRAY($B$2),_xlfn.ANCHORARRAY($A$2)=$E168))</f>
        <v>#VALUE!</v>
      </c>
    </row>
    <row r="169" spans="6:6" x14ac:dyDescent="0.25">
      <c r="F169" t="e" cm="1" vm="1">
        <f t="array" ref="F169">TRANSPOSE(_xlfn._xlws.FILTER(_xlfn.ANCHORARRAY($B$2),_xlfn.ANCHORARRAY($A$2)=$E169))</f>
        <v>#VALUE!</v>
      </c>
    </row>
    <row r="170" spans="6:6" x14ac:dyDescent="0.25">
      <c r="F170" t="e" cm="1" vm="1">
        <f t="array" ref="F170">TRANSPOSE(_xlfn._xlws.FILTER(_xlfn.ANCHORARRAY($B$2),_xlfn.ANCHORARRAY($A$2)=$E170))</f>
        <v>#VALUE!</v>
      </c>
    </row>
    <row r="171" spans="6:6" x14ac:dyDescent="0.25">
      <c r="F171" t="e" cm="1" vm="1">
        <f t="array" ref="F171">TRANSPOSE(_xlfn._xlws.FILTER(_xlfn.ANCHORARRAY($B$2),_xlfn.ANCHORARRAY($A$2)=$E171))</f>
        <v>#VALUE!</v>
      </c>
    </row>
    <row r="172" spans="6:6" x14ac:dyDescent="0.25">
      <c r="F172" t="e" cm="1" vm="1">
        <f t="array" ref="F172">TRANSPOSE(_xlfn._xlws.FILTER(_xlfn.ANCHORARRAY($B$2),_xlfn.ANCHORARRAY($A$2)=$E172))</f>
        <v>#VALUE!</v>
      </c>
    </row>
    <row r="173" spans="6:6" x14ac:dyDescent="0.25">
      <c r="F173" t="e" cm="1" vm="1">
        <f t="array" ref="F173">TRANSPOSE(_xlfn._xlws.FILTER(_xlfn.ANCHORARRAY($B$2),_xlfn.ANCHORARRAY($A$2)=$E173))</f>
        <v>#VALUE!</v>
      </c>
    </row>
    <row r="174" spans="6:6" x14ac:dyDescent="0.25">
      <c r="F174" t="e" cm="1" vm="1">
        <f t="array" ref="F174">TRANSPOSE(_xlfn._xlws.FILTER(_xlfn.ANCHORARRAY($B$2),_xlfn.ANCHORARRAY($A$2)=$E174))</f>
        <v>#VALUE!</v>
      </c>
    </row>
    <row r="175" spans="6:6" x14ac:dyDescent="0.25">
      <c r="F175" t="e" cm="1" vm="1">
        <f t="array" ref="F175">TRANSPOSE(_xlfn._xlws.FILTER(_xlfn.ANCHORARRAY($B$2),_xlfn.ANCHORARRAY($A$2)=$E175))</f>
        <v>#VALUE!</v>
      </c>
    </row>
    <row r="176" spans="6:6" x14ac:dyDescent="0.25">
      <c r="F176" t="e" cm="1" vm="1">
        <f t="array" ref="F176">TRANSPOSE(_xlfn._xlws.FILTER(_xlfn.ANCHORARRAY($B$2),_xlfn.ANCHORARRAY($A$2)=$E176))</f>
        <v>#VALUE!</v>
      </c>
    </row>
    <row r="177" spans="6:6" x14ac:dyDescent="0.25">
      <c r="F177" t="e" cm="1" vm="1">
        <f t="array" ref="F177">TRANSPOSE(_xlfn._xlws.FILTER(_xlfn.ANCHORARRAY($B$2),_xlfn.ANCHORARRAY($A$2)=$E177))</f>
        <v>#VALUE!</v>
      </c>
    </row>
    <row r="178" spans="6:6" x14ac:dyDescent="0.25">
      <c r="F178" t="e" cm="1" vm="1">
        <f t="array" ref="F178">TRANSPOSE(_xlfn._xlws.FILTER(_xlfn.ANCHORARRAY($B$2),_xlfn.ANCHORARRAY($A$2)=$E178))</f>
        <v>#VALUE!</v>
      </c>
    </row>
    <row r="179" spans="6:6" x14ac:dyDescent="0.25">
      <c r="F179" t="e" cm="1" vm="1">
        <f t="array" ref="F179">TRANSPOSE(_xlfn._xlws.FILTER(_xlfn.ANCHORARRAY($B$2),_xlfn.ANCHORARRAY($A$2)=$E179))</f>
        <v>#VALUE!</v>
      </c>
    </row>
    <row r="180" spans="6:6" x14ac:dyDescent="0.25">
      <c r="F180" t="e" cm="1" vm="1">
        <f t="array" ref="F180">TRANSPOSE(_xlfn._xlws.FILTER(_xlfn.ANCHORARRAY($B$2),_xlfn.ANCHORARRAY($A$2)=$E180))</f>
        <v>#VALUE!</v>
      </c>
    </row>
    <row r="181" spans="6:6" x14ac:dyDescent="0.25">
      <c r="F181" t="e" cm="1" vm="1">
        <f t="array" ref="F181">TRANSPOSE(_xlfn._xlws.FILTER(_xlfn.ANCHORARRAY($B$2),_xlfn.ANCHORARRAY($A$2)=$E181))</f>
        <v>#VALUE!</v>
      </c>
    </row>
    <row r="182" spans="6:6" x14ac:dyDescent="0.25">
      <c r="F182" t="e" cm="1" vm="1">
        <f t="array" ref="F182">TRANSPOSE(_xlfn._xlws.FILTER(_xlfn.ANCHORARRAY($B$2),_xlfn.ANCHORARRAY($A$2)=$E182))</f>
        <v>#VALUE!</v>
      </c>
    </row>
    <row r="183" spans="6:6" x14ac:dyDescent="0.25">
      <c r="F183" t="e" cm="1" vm="1">
        <f t="array" ref="F183">TRANSPOSE(_xlfn._xlws.FILTER(_xlfn.ANCHORARRAY($B$2),_xlfn.ANCHORARRAY($A$2)=$E183))</f>
        <v>#VALUE!</v>
      </c>
    </row>
    <row r="184" spans="6:6" x14ac:dyDescent="0.25">
      <c r="F184" t="e" cm="1" vm="1">
        <f t="array" ref="F184">TRANSPOSE(_xlfn._xlws.FILTER(_xlfn.ANCHORARRAY($B$2),_xlfn.ANCHORARRAY($A$2)=$E184))</f>
        <v>#VALUE!</v>
      </c>
    </row>
    <row r="185" spans="6:6" x14ac:dyDescent="0.25">
      <c r="F185" t="e" cm="1" vm="1">
        <f t="array" ref="F185">TRANSPOSE(_xlfn._xlws.FILTER(_xlfn.ANCHORARRAY($B$2),_xlfn.ANCHORARRAY($A$2)=$E185))</f>
        <v>#VALUE!</v>
      </c>
    </row>
    <row r="186" spans="6:6" x14ac:dyDescent="0.25">
      <c r="F186" t="e" cm="1" vm="1">
        <f t="array" ref="F186">TRANSPOSE(_xlfn._xlws.FILTER(_xlfn.ANCHORARRAY($B$2),_xlfn.ANCHORARRAY($A$2)=$E186))</f>
        <v>#VALUE!</v>
      </c>
    </row>
    <row r="187" spans="6:6" x14ac:dyDescent="0.25">
      <c r="F187" t="e" cm="1" vm="1">
        <f t="array" ref="F187">TRANSPOSE(_xlfn._xlws.FILTER(_xlfn.ANCHORARRAY($B$2),_xlfn.ANCHORARRAY($A$2)=$E187))</f>
        <v>#VALUE!</v>
      </c>
    </row>
    <row r="188" spans="6:6" x14ac:dyDescent="0.25">
      <c r="F188" t="e" cm="1" vm="1">
        <f t="array" ref="F188">TRANSPOSE(_xlfn._xlws.FILTER(_xlfn.ANCHORARRAY($B$2),_xlfn.ANCHORARRAY($A$2)=$E188))</f>
        <v>#VALUE!</v>
      </c>
    </row>
    <row r="189" spans="6:6" x14ac:dyDescent="0.25">
      <c r="F189" t="e" cm="1" vm="1">
        <f t="array" ref="F189">TRANSPOSE(_xlfn._xlws.FILTER(_xlfn.ANCHORARRAY($B$2),_xlfn.ANCHORARRAY($A$2)=$E189))</f>
        <v>#VALUE!</v>
      </c>
    </row>
    <row r="190" spans="6:6" x14ac:dyDescent="0.25">
      <c r="F190" t="e" cm="1" vm="1">
        <f t="array" ref="F190">TRANSPOSE(_xlfn._xlws.FILTER(_xlfn.ANCHORARRAY($B$2),_xlfn.ANCHORARRAY($A$2)=$E190))</f>
        <v>#VALUE!</v>
      </c>
    </row>
    <row r="191" spans="6:6" x14ac:dyDescent="0.25">
      <c r="F191" t="e" cm="1" vm="1">
        <f t="array" ref="F191">TRANSPOSE(_xlfn._xlws.FILTER(_xlfn.ANCHORARRAY($B$2),_xlfn.ANCHORARRAY($A$2)=$E191))</f>
        <v>#VALUE!</v>
      </c>
    </row>
    <row r="192" spans="6:6" x14ac:dyDescent="0.25">
      <c r="F192" t="e" cm="1" vm="1">
        <f t="array" ref="F192">TRANSPOSE(_xlfn._xlws.FILTER(_xlfn.ANCHORARRAY($B$2),_xlfn.ANCHORARRAY($A$2)=$E192))</f>
        <v>#VALUE!</v>
      </c>
    </row>
    <row r="193" spans="6:6" x14ac:dyDescent="0.25">
      <c r="F193" t="e" cm="1" vm="1">
        <f t="array" ref="F193">TRANSPOSE(_xlfn._xlws.FILTER(_xlfn.ANCHORARRAY($B$2),_xlfn.ANCHORARRAY($A$2)=$E193))</f>
        <v>#VALUE!</v>
      </c>
    </row>
    <row r="194" spans="6:6" x14ac:dyDescent="0.25">
      <c r="F194" t="e" cm="1" vm="1">
        <f t="array" ref="F194">TRANSPOSE(_xlfn._xlws.FILTER(_xlfn.ANCHORARRAY($B$2),_xlfn.ANCHORARRAY($A$2)=$E194))</f>
        <v>#VALUE!</v>
      </c>
    </row>
    <row r="195" spans="6:6" x14ac:dyDescent="0.25">
      <c r="F195" t="e" cm="1" vm="1">
        <f t="array" ref="F195">TRANSPOSE(_xlfn._xlws.FILTER(_xlfn.ANCHORARRAY($B$2),_xlfn.ANCHORARRAY($A$2)=$E195))</f>
        <v>#VALUE!</v>
      </c>
    </row>
    <row r="196" spans="6:6" x14ac:dyDescent="0.25">
      <c r="F196" t="e" cm="1" vm="1">
        <f t="array" ref="F196">TRANSPOSE(_xlfn._xlws.FILTER(_xlfn.ANCHORARRAY($B$2),_xlfn.ANCHORARRAY($A$2)=$E196))</f>
        <v>#VALUE!</v>
      </c>
    </row>
    <row r="197" spans="6:6" x14ac:dyDescent="0.25">
      <c r="F197" t="e" cm="1" vm="1">
        <f t="array" ref="F197">TRANSPOSE(_xlfn._xlws.FILTER(_xlfn.ANCHORARRAY($B$2),_xlfn.ANCHORARRAY($A$2)=$E197))</f>
        <v>#VALUE!</v>
      </c>
    </row>
    <row r="198" spans="6:6" x14ac:dyDescent="0.25">
      <c r="F198" t="e" cm="1" vm="1">
        <f t="array" ref="F198">TRANSPOSE(_xlfn._xlws.FILTER(_xlfn.ANCHORARRAY($B$2),_xlfn.ANCHORARRAY($A$2)=$E198))</f>
        <v>#VALUE!</v>
      </c>
    </row>
    <row r="199" spans="6:6" x14ac:dyDescent="0.25">
      <c r="F199" t="e" cm="1" vm="1">
        <f t="array" ref="F199">TRANSPOSE(_xlfn._xlws.FILTER(_xlfn.ANCHORARRAY($B$2),_xlfn.ANCHORARRAY($A$2)=$E199))</f>
        <v>#VALUE!</v>
      </c>
    </row>
    <row r="200" spans="6:6" x14ac:dyDescent="0.25">
      <c r="F200" t="e" cm="1" vm="1">
        <f t="array" ref="F200">TRANSPOSE(_xlfn._xlws.FILTER(_xlfn.ANCHORARRAY($B$2),_xlfn.ANCHORARRAY($A$2)=$E200))</f>
        <v>#VALUE!</v>
      </c>
    </row>
    <row r="201" spans="6:6" x14ac:dyDescent="0.25">
      <c r="F201" t="e" cm="1" vm="1">
        <f t="array" ref="F201">TRANSPOSE(_xlfn._xlws.FILTER(_xlfn.ANCHORARRAY($B$2),_xlfn.ANCHORARRAY($A$2)=$E201))</f>
        <v>#VALUE!</v>
      </c>
    </row>
    <row r="202" spans="6:6" x14ac:dyDescent="0.25">
      <c r="F202" t="e" cm="1" vm="1">
        <f t="array" ref="F202">TRANSPOSE(_xlfn._xlws.FILTER(_xlfn.ANCHORARRAY($B$2),_xlfn.ANCHORARRAY($A$2)=$E202))</f>
        <v>#VALUE!</v>
      </c>
    </row>
    <row r="203" spans="6:6" x14ac:dyDescent="0.25">
      <c r="F203" t="e" cm="1" vm="1">
        <f t="array" ref="F203">TRANSPOSE(_xlfn._xlws.FILTER(_xlfn.ANCHORARRAY($B$2),_xlfn.ANCHORARRAY($A$2)=$E203))</f>
        <v>#VALUE!</v>
      </c>
    </row>
    <row r="204" spans="6:6" x14ac:dyDescent="0.25">
      <c r="F204" t="e" cm="1" vm="1">
        <f t="array" ref="F204">TRANSPOSE(_xlfn._xlws.FILTER(_xlfn.ANCHORARRAY($B$2),_xlfn.ANCHORARRAY($A$2)=$E204))</f>
        <v>#VALUE!</v>
      </c>
    </row>
    <row r="205" spans="6:6" x14ac:dyDescent="0.25">
      <c r="F205" t="e" cm="1" vm="1">
        <f t="array" ref="F205">TRANSPOSE(_xlfn._xlws.FILTER(_xlfn.ANCHORARRAY($B$2),_xlfn.ANCHORARRAY($A$2)=$E205))</f>
        <v>#VALUE!</v>
      </c>
    </row>
    <row r="206" spans="6:6" x14ac:dyDescent="0.25">
      <c r="F206" t="e" cm="1" vm="1">
        <f t="array" ref="F206">TRANSPOSE(_xlfn._xlws.FILTER(_xlfn.ANCHORARRAY($B$2),_xlfn.ANCHORARRAY($A$2)=$E206))</f>
        <v>#VALUE!</v>
      </c>
    </row>
    <row r="207" spans="6:6" x14ac:dyDescent="0.25">
      <c r="F207" t="e" cm="1" vm="1">
        <f t="array" ref="F207">TRANSPOSE(_xlfn._xlws.FILTER(_xlfn.ANCHORARRAY($B$2),_xlfn.ANCHORARRAY($A$2)=$E207))</f>
        <v>#VALUE!</v>
      </c>
    </row>
    <row r="208" spans="6:6" x14ac:dyDescent="0.25">
      <c r="F208" t="e" cm="1" vm="1">
        <f t="array" ref="F208">TRANSPOSE(_xlfn._xlws.FILTER(_xlfn.ANCHORARRAY($B$2),_xlfn.ANCHORARRAY($A$2)=$E208))</f>
        <v>#VALUE!</v>
      </c>
    </row>
    <row r="209" spans="6:6" x14ac:dyDescent="0.25">
      <c r="F209" t="e" cm="1" vm="1">
        <f t="array" ref="F209">TRANSPOSE(_xlfn._xlws.FILTER(_xlfn.ANCHORARRAY($B$2),_xlfn.ANCHORARRAY($A$2)=$E209))</f>
        <v>#VALUE!</v>
      </c>
    </row>
    <row r="210" spans="6:6" x14ac:dyDescent="0.25">
      <c r="F210" t="e" cm="1" vm="1">
        <f t="array" ref="F210">TRANSPOSE(_xlfn._xlws.FILTER(_xlfn.ANCHORARRAY($B$2),_xlfn.ANCHORARRAY($A$2)=$E210))</f>
        <v>#VALUE!</v>
      </c>
    </row>
    <row r="211" spans="6:6" x14ac:dyDescent="0.25">
      <c r="F211" t="e" cm="1" vm="1">
        <f t="array" ref="F211">TRANSPOSE(_xlfn._xlws.FILTER(_xlfn.ANCHORARRAY($B$2),_xlfn.ANCHORARRAY($A$2)=$E211))</f>
        <v>#VALUE!</v>
      </c>
    </row>
    <row r="212" spans="6:6" x14ac:dyDescent="0.25">
      <c r="F212" t="e" cm="1" vm="1">
        <f t="array" ref="F212">TRANSPOSE(_xlfn._xlws.FILTER(_xlfn.ANCHORARRAY($B$2),_xlfn.ANCHORARRAY($A$2)=$E212))</f>
        <v>#VALUE!</v>
      </c>
    </row>
    <row r="213" spans="6:6" x14ac:dyDescent="0.25">
      <c r="F213" t="e" cm="1" vm="1">
        <f t="array" ref="F213">TRANSPOSE(_xlfn._xlws.FILTER(_xlfn.ANCHORARRAY($B$2),_xlfn.ANCHORARRAY($A$2)=$E213))</f>
        <v>#VALUE!</v>
      </c>
    </row>
    <row r="214" spans="6:6" x14ac:dyDescent="0.25">
      <c r="F214" t="e" cm="1" vm="1">
        <f t="array" ref="F214">TRANSPOSE(_xlfn._xlws.FILTER(_xlfn.ANCHORARRAY($B$2),_xlfn.ANCHORARRAY($A$2)=$E214))</f>
        <v>#VALUE!</v>
      </c>
    </row>
    <row r="215" spans="6:6" x14ac:dyDescent="0.25">
      <c r="F215" t="e" cm="1" vm="1">
        <f t="array" ref="F215">TRANSPOSE(_xlfn._xlws.FILTER(_xlfn.ANCHORARRAY($B$2),_xlfn.ANCHORARRAY($A$2)=$E215))</f>
        <v>#VALUE!</v>
      </c>
    </row>
    <row r="216" spans="6:6" x14ac:dyDescent="0.25">
      <c r="F216" t="e" cm="1" vm="1">
        <f t="array" ref="F216">TRANSPOSE(_xlfn._xlws.FILTER(_xlfn.ANCHORARRAY($B$2),_xlfn.ANCHORARRAY($A$2)=$E216))</f>
        <v>#VALUE!</v>
      </c>
    </row>
    <row r="217" spans="6:6" x14ac:dyDescent="0.25">
      <c r="F217" t="e" cm="1" vm="1">
        <f t="array" ref="F217">TRANSPOSE(_xlfn._xlws.FILTER(_xlfn.ANCHORARRAY($B$2),_xlfn.ANCHORARRAY($A$2)=$E217))</f>
        <v>#VALUE!</v>
      </c>
    </row>
    <row r="218" spans="6:6" x14ac:dyDescent="0.25">
      <c r="F218" t="e" cm="1" vm="1">
        <f t="array" ref="F218">TRANSPOSE(_xlfn._xlws.FILTER(_xlfn.ANCHORARRAY($B$2),_xlfn.ANCHORARRAY($A$2)=$E218))</f>
        <v>#VALUE!</v>
      </c>
    </row>
    <row r="219" spans="6:6" x14ac:dyDescent="0.25">
      <c r="F219" t="e" cm="1" vm="1">
        <f t="array" ref="F219">TRANSPOSE(_xlfn._xlws.FILTER(_xlfn.ANCHORARRAY($B$2),_xlfn.ANCHORARRAY($A$2)=$E219))</f>
        <v>#VALUE!</v>
      </c>
    </row>
    <row r="220" spans="6:6" x14ac:dyDescent="0.25">
      <c r="F220" t="e" cm="1" vm="1">
        <f t="array" ref="F220">TRANSPOSE(_xlfn._xlws.FILTER(_xlfn.ANCHORARRAY($B$2),_xlfn.ANCHORARRAY($A$2)=$E220))</f>
        <v>#VALUE!</v>
      </c>
    </row>
    <row r="221" spans="6:6" x14ac:dyDescent="0.25">
      <c r="F221" t="e" cm="1" vm="1">
        <f t="array" ref="F221">TRANSPOSE(_xlfn._xlws.FILTER(_xlfn.ANCHORARRAY($B$2),_xlfn.ANCHORARRAY($A$2)=$E221))</f>
        <v>#VALUE!</v>
      </c>
    </row>
    <row r="222" spans="6:6" x14ac:dyDescent="0.25">
      <c r="F222" t="e" cm="1" vm="1">
        <f t="array" ref="F222">TRANSPOSE(_xlfn._xlws.FILTER(_xlfn.ANCHORARRAY($B$2),_xlfn.ANCHORARRAY($A$2)=$E222))</f>
        <v>#VALUE!</v>
      </c>
    </row>
    <row r="223" spans="6:6" x14ac:dyDescent="0.25">
      <c r="F223" t="e" cm="1" vm="1">
        <f t="array" ref="F223">TRANSPOSE(_xlfn._xlws.FILTER(_xlfn.ANCHORARRAY($B$2),_xlfn.ANCHORARRAY($A$2)=$E223))</f>
        <v>#VALUE!</v>
      </c>
    </row>
    <row r="224" spans="6:6" x14ac:dyDescent="0.25">
      <c r="F224" t="e" cm="1" vm="1">
        <f t="array" ref="F224">TRANSPOSE(_xlfn._xlws.FILTER(_xlfn.ANCHORARRAY($B$2),_xlfn.ANCHORARRAY($A$2)=$E224))</f>
        <v>#VALUE!</v>
      </c>
    </row>
    <row r="225" spans="6:6" x14ac:dyDescent="0.25">
      <c r="F225" t="e" cm="1" vm="1">
        <f t="array" ref="F225">TRANSPOSE(_xlfn._xlws.FILTER(_xlfn.ANCHORARRAY($B$2),_xlfn.ANCHORARRAY($A$2)=$E225))</f>
        <v>#VALUE!</v>
      </c>
    </row>
    <row r="226" spans="6:6" x14ac:dyDescent="0.25">
      <c r="F226" t="e" cm="1" vm="1">
        <f t="array" ref="F226">TRANSPOSE(_xlfn._xlws.FILTER(_xlfn.ANCHORARRAY($B$2),_xlfn.ANCHORARRAY($A$2)=$E226))</f>
        <v>#VALUE!</v>
      </c>
    </row>
    <row r="227" spans="6:6" x14ac:dyDescent="0.25">
      <c r="F227" t="e" cm="1" vm="1">
        <f t="array" ref="F227">TRANSPOSE(_xlfn._xlws.FILTER(_xlfn.ANCHORARRAY($B$2),_xlfn.ANCHORARRAY($A$2)=$E227))</f>
        <v>#VALUE!</v>
      </c>
    </row>
    <row r="228" spans="6:6" x14ac:dyDescent="0.25">
      <c r="F228" t="e" cm="1" vm="1">
        <f t="array" ref="F228">TRANSPOSE(_xlfn._xlws.FILTER(_xlfn.ANCHORARRAY($B$2),_xlfn.ANCHORARRAY($A$2)=$E228))</f>
        <v>#VALUE!</v>
      </c>
    </row>
    <row r="229" spans="6:6" x14ac:dyDescent="0.25">
      <c r="F229" t="e" cm="1" vm="1">
        <f t="array" ref="F229">TRANSPOSE(_xlfn._xlws.FILTER(_xlfn.ANCHORARRAY($B$2),_xlfn.ANCHORARRAY($A$2)=$E229))</f>
        <v>#VALUE!</v>
      </c>
    </row>
    <row r="230" spans="6:6" x14ac:dyDescent="0.25">
      <c r="F230" t="e" cm="1" vm="1">
        <f t="array" ref="F230">TRANSPOSE(_xlfn._xlws.FILTER(_xlfn.ANCHORARRAY($B$2),_xlfn.ANCHORARRAY($A$2)=$E230))</f>
        <v>#VALUE!</v>
      </c>
    </row>
    <row r="231" spans="6:6" x14ac:dyDescent="0.25">
      <c r="F231" t="e" cm="1" vm="1">
        <f t="array" ref="F231">TRANSPOSE(_xlfn._xlws.FILTER(_xlfn.ANCHORARRAY($B$2),_xlfn.ANCHORARRAY($A$2)=$E231))</f>
        <v>#VALUE!</v>
      </c>
    </row>
    <row r="232" spans="6:6" x14ac:dyDescent="0.25">
      <c r="F232" t="e" cm="1" vm="1">
        <f t="array" ref="F232">TRANSPOSE(_xlfn._xlws.FILTER(_xlfn.ANCHORARRAY($B$2),_xlfn.ANCHORARRAY($A$2)=$E232))</f>
        <v>#VALUE!</v>
      </c>
    </row>
    <row r="233" spans="6:6" x14ac:dyDescent="0.25">
      <c r="F233" t="e" cm="1" vm="1">
        <f t="array" ref="F233">TRANSPOSE(_xlfn._xlws.FILTER(_xlfn.ANCHORARRAY($B$2),_xlfn.ANCHORARRAY($A$2)=$E233))</f>
        <v>#VALUE!</v>
      </c>
    </row>
    <row r="234" spans="6:6" x14ac:dyDescent="0.25">
      <c r="F234" t="e" cm="1" vm="1">
        <f t="array" ref="F234">TRANSPOSE(_xlfn._xlws.FILTER(_xlfn.ANCHORARRAY($B$2),_xlfn.ANCHORARRAY($A$2)=$E234))</f>
        <v>#VALUE!</v>
      </c>
    </row>
    <row r="235" spans="6:6" x14ac:dyDescent="0.25">
      <c r="F235" t="e" cm="1" vm="1">
        <f t="array" ref="F235">TRANSPOSE(_xlfn._xlws.FILTER(_xlfn.ANCHORARRAY($B$2),_xlfn.ANCHORARRAY($A$2)=$E235))</f>
        <v>#VALUE!</v>
      </c>
    </row>
    <row r="236" spans="6:6" x14ac:dyDescent="0.25">
      <c r="F236" t="e" cm="1" vm="1">
        <f t="array" ref="F236">TRANSPOSE(_xlfn._xlws.FILTER(_xlfn.ANCHORARRAY($B$2),_xlfn.ANCHORARRAY($A$2)=$E236))</f>
        <v>#VALUE!</v>
      </c>
    </row>
    <row r="237" spans="6:6" x14ac:dyDescent="0.25">
      <c r="F237" t="e" cm="1" vm="1">
        <f t="array" ref="F237">TRANSPOSE(_xlfn._xlws.FILTER(_xlfn.ANCHORARRAY($B$2),_xlfn.ANCHORARRAY($A$2)=$E237))</f>
        <v>#VALUE!</v>
      </c>
    </row>
    <row r="238" spans="6:6" x14ac:dyDescent="0.25">
      <c r="F238" t="e" cm="1" vm="1">
        <f t="array" ref="F238">TRANSPOSE(_xlfn._xlws.FILTER(_xlfn.ANCHORARRAY($B$2),_xlfn.ANCHORARRAY($A$2)=$E238))</f>
        <v>#VALUE!</v>
      </c>
    </row>
    <row r="239" spans="6:6" x14ac:dyDescent="0.25">
      <c r="F239" t="e" cm="1" vm="1">
        <f t="array" ref="F239">TRANSPOSE(_xlfn._xlws.FILTER(_xlfn.ANCHORARRAY($B$2),_xlfn.ANCHORARRAY($A$2)=$E239))</f>
        <v>#VALUE!</v>
      </c>
    </row>
    <row r="240" spans="6:6" x14ac:dyDescent="0.25">
      <c r="F240" t="e" cm="1" vm="1">
        <f t="array" ref="F240">TRANSPOSE(_xlfn._xlws.FILTER(_xlfn.ANCHORARRAY($B$2),_xlfn.ANCHORARRAY($A$2)=$E240))</f>
        <v>#VALUE!</v>
      </c>
    </row>
    <row r="241" spans="6:6" x14ac:dyDescent="0.25">
      <c r="F241" t="e" cm="1" vm="1">
        <f t="array" ref="F241">TRANSPOSE(_xlfn._xlws.FILTER(_xlfn.ANCHORARRAY($B$2),_xlfn.ANCHORARRAY($A$2)=$E241))</f>
        <v>#VALUE!</v>
      </c>
    </row>
    <row r="242" spans="6:6" x14ac:dyDescent="0.25">
      <c r="F242" t="e" cm="1" vm="1">
        <f t="array" ref="F242">TRANSPOSE(_xlfn._xlws.FILTER(_xlfn.ANCHORARRAY($B$2),_xlfn.ANCHORARRAY($A$2)=$E242))</f>
        <v>#VALUE!</v>
      </c>
    </row>
    <row r="243" spans="6:6" x14ac:dyDescent="0.25">
      <c r="F243" t="e" cm="1" vm="1">
        <f t="array" ref="F243">TRANSPOSE(_xlfn._xlws.FILTER(_xlfn.ANCHORARRAY($B$2),_xlfn.ANCHORARRAY($A$2)=$E243))</f>
        <v>#VALUE!</v>
      </c>
    </row>
    <row r="244" spans="6:6" x14ac:dyDescent="0.25">
      <c r="F244" t="e" cm="1" vm="1">
        <f t="array" ref="F244">TRANSPOSE(_xlfn._xlws.FILTER(_xlfn.ANCHORARRAY($B$2),_xlfn.ANCHORARRAY($A$2)=$E244))</f>
        <v>#VALUE!</v>
      </c>
    </row>
    <row r="245" spans="6:6" x14ac:dyDescent="0.25">
      <c r="F245" t="e" cm="1" vm="1">
        <f t="array" ref="F245">TRANSPOSE(_xlfn._xlws.FILTER(_xlfn.ANCHORARRAY($B$2),_xlfn.ANCHORARRAY($A$2)=$E245))</f>
        <v>#VALUE!</v>
      </c>
    </row>
    <row r="246" spans="6:6" x14ac:dyDescent="0.25">
      <c r="F246" t="e" cm="1" vm="1">
        <f t="array" ref="F246">TRANSPOSE(_xlfn._xlws.FILTER(_xlfn.ANCHORARRAY($B$2),_xlfn.ANCHORARRAY($A$2)=$E246))</f>
        <v>#VALUE!</v>
      </c>
    </row>
    <row r="247" spans="6:6" x14ac:dyDescent="0.25">
      <c r="F247" t="e" cm="1" vm="1">
        <f t="array" ref="F247">TRANSPOSE(_xlfn._xlws.FILTER(_xlfn.ANCHORARRAY($B$2),_xlfn.ANCHORARRAY($A$2)=$E247))</f>
        <v>#VALUE!</v>
      </c>
    </row>
    <row r="248" spans="6:6" x14ac:dyDescent="0.25">
      <c r="F248" t="e" cm="1" vm="1">
        <f t="array" ref="F248">TRANSPOSE(_xlfn._xlws.FILTER(_xlfn.ANCHORARRAY($B$2),_xlfn.ANCHORARRAY($A$2)=$E248))</f>
        <v>#VALUE!</v>
      </c>
    </row>
    <row r="249" spans="6:6" x14ac:dyDescent="0.25">
      <c r="F249" t="e" cm="1" vm="1">
        <f t="array" ref="F249">TRANSPOSE(_xlfn._xlws.FILTER(_xlfn.ANCHORARRAY($B$2),_xlfn.ANCHORARRAY($A$2)=$E249))</f>
        <v>#VALUE!</v>
      </c>
    </row>
    <row r="250" spans="6:6" x14ac:dyDescent="0.25">
      <c r="F250" t="e" cm="1" vm="1">
        <f t="array" ref="F250">TRANSPOSE(_xlfn._xlws.FILTER(_xlfn.ANCHORARRAY($B$2),_xlfn.ANCHORARRAY($A$2)=$E250))</f>
        <v>#VALUE!</v>
      </c>
    </row>
    <row r="251" spans="6:6" x14ac:dyDescent="0.25">
      <c r="F251" t="e" cm="1" vm="1">
        <f t="array" ref="F251">TRANSPOSE(_xlfn._xlws.FILTER(_xlfn.ANCHORARRAY($B$2),_xlfn.ANCHORARRAY($A$2)=$E251))</f>
        <v>#VALUE!</v>
      </c>
    </row>
    <row r="252" spans="6:6" x14ac:dyDescent="0.25">
      <c r="F252" t="e" cm="1" vm="1">
        <f t="array" ref="F252">TRANSPOSE(_xlfn._xlws.FILTER(_xlfn.ANCHORARRAY($B$2),_xlfn.ANCHORARRAY($A$2)=$E252))</f>
        <v>#VALUE!</v>
      </c>
    </row>
    <row r="253" spans="6:6" x14ac:dyDescent="0.25">
      <c r="F253" t="e" cm="1" vm="1">
        <f t="array" ref="F253">TRANSPOSE(_xlfn._xlws.FILTER(_xlfn.ANCHORARRAY($B$2),_xlfn.ANCHORARRAY($A$2)=$E253))</f>
        <v>#VALUE!</v>
      </c>
    </row>
    <row r="254" spans="6:6" x14ac:dyDescent="0.25">
      <c r="F254" t="e" cm="1" vm="1">
        <f t="array" ref="F254">TRANSPOSE(_xlfn._xlws.FILTER(_xlfn.ANCHORARRAY($B$2),_xlfn.ANCHORARRAY($A$2)=$E254))</f>
        <v>#VALUE!</v>
      </c>
    </row>
    <row r="255" spans="6:6" x14ac:dyDescent="0.25">
      <c r="F255" t="e" cm="1" vm="1">
        <f t="array" ref="F255">TRANSPOSE(_xlfn._xlws.FILTER(_xlfn.ANCHORARRAY($B$2),_xlfn.ANCHORARRAY($A$2)=$E255))</f>
        <v>#VALUE!</v>
      </c>
    </row>
    <row r="256" spans="6:6" x14ac:dyDescent="0.25">
      <c r="F256" t="e" cm="1" vm="1">
        <f t="array" ref="F256">TRANSPOSE(_xlfn._xlws.FILTER(_xlfn.ANCHORARRAY($B$2),_xlfn.ANCHORARRAY($A$2)=$E256))</f>
        <v>#VALUE!</v>
      </c>
    </row>
    <row r="257" spans="6:6" x14ac:dyDescent="0.25">
      <c r="F257" t="e" cm="1" vm="1">
        <f t="array" ref="F257">TRANSPOSE(_xlfn._xlws.FILTER(_xlfn.ANCHORARRAY($B$2),_xlfn.ANCHORARRAY($A$2)=$E257))</f>
        <v>#VALUE!</v>
      </c>
    </row>
    <row r="258" spans="6:6" x14ac:dyDescent="0.25">
      <c r="F258" t="e" cm="1" vm="1">
        <f t="array" ref="F258">TRANSPOSE(_xlfn._xlws.FILTER(_xlfn.ANCHORARRAY($B$2),_xlfn.ANCHORARRAY($A$2)=$E258))</f>
        <v>#VALUE!</v>
      </c>
    </row>
    <row r="259" spans="6:6" x14ac:dyDescent="0.25">
      <c r="F259" t="e" cm="1" vm="1">
        <f t="array" ref="F259">TRANSPOSE(_xlfn._xlws.FILTER(_xlfn.ANCHORARRAY($B$2),_xlfn.ANCHORARRAY($A$2)=$E259))</f>
        <v>#VALUE!</v>
      </c>
    </row>
    <row r="260" spans="6:6" x14ac:dyDescent="0.25">
      <c r="F260" t="e" cm="1" vm="1">
        <f t="array" ref="F260">TRANSPOSE(_xlfn._xlws.FILTER(_xlfn.ANCHORARRAY($B$2),_xlfn.ANCHORARRAY($A$2)=$E260))</f>
        <v>#VALUE!</v>
      </c>
    </row>
    <row r="261" spans="6:6" x14ac:dyDescent="0.25">
      <c r="F261" t="e" cm="1" vm="1">
        <f t="array" ref="F261">TRANSPOSE(_xlfn._xlws.FILTER(_xlfn.ANCHORARRAY($B$2),_xlfn.ANCHORARRAY($A$2)=$E261))</f>
        <v>#VALUE!</v>
      </c>
    </row>
    <row r="262" spans="6:6" x14ac:dyDescent="0.25">
      <c r="F262" t="e" cm="1" vm="1">
        <f t="array" ref="F262">TRANSPOSE(_xlfn._xlws.FILTER(_xlfn.ANCHORARRAY($B$2),_xlfn.ANCHORARRAY($A$2)=$E262))</f>
        <v>#VALUE!</v>
      </c>
    </row>
    <row r="263" spans="6:6" x14ac:dyDescent="0.25">
      <c r="F263" t="e" cm="1" vm="1">
        <f t="array" ref="F263">TRANSPOSE(_xlfn._xlws.FILTER(_xlfn.ANCHORARRAY($B$2),_xlfn.ANCHORARRAY($A$2)=$E263))</f>
        <v>#VALUE!</v>
      </c>
    </row>
    <row r="264" spans="6:6" x14ac:dyDescent="0.25">
      <c r="F264" t="e" cm="1" vm="1">
        <f t="array" ref="F264">TRANSPOSE(_xlfn._xlws.FILTER(_xlfn.ANCHORARRAY($B$2),_xlfn.ANCHORARRAY($A$2)=$E264))</f>
        <v>#VALUE!</v>
      </c>
    </row>
    <row r="265" spans="6:6" x14ac:dyDescent="0.25">
      <c r="F265" t="e" cm="1" vm="1">
        <f t="array" ref="F265">TRANSPOSE(_xlfn._xlws.FILTER(_xlfn.ANCHORARRAY($B$2),_xlfn.ANCHORARRAY($A$2)=$E265))</f>
        <v>#VALUE!</v>
      </c>
    </row>
    <row r="266" spans="6:6" x14ac:dyDescent="0.25">
      <c r="F266" t="e" cm="1" vm="1">
        <f t="array" ref="F266">TRANSPOSE(_xlfn._xlws.FILTER(_xlfn.ANCHORARRAY($B$2),_xlfn.ANCHORARRAY($A$2)=$E266))</f>
        <v>#VALUE!</v>
      </c>
    </row>
    <row r="267" spans="6:6" x14ac:dyDescent="0.25">
      <c r="F267" t="e" cm="1" vm="1">
        <f t="array" ref="F267">TRANSPOSE(_xlfn._xlws.FILTER(_xlfn.ANCHORARRAY($B$2),_xlfn.ANCHORARRAY($A$2)=$E267))</f>
        <v>#VALUE!</v>
      </c>
    </row>
    <row r="268" spans="6:6" x14ac:dyDescent="0.25">
      <c r="F268" t="e" cm="1" vm="1">
        <f t="array" ref="F268">TRANSPOSE(_xlfn._xlws.FILTER(_xlfn.ANCHORARRAY($B$2),_xlfn.ANCHORARRAY($A$2)=$E268))</f>
        <v>#VALUE!</v>
      </c>
    </row>
    <row r="269" spans="6:6" x14ac:dyDescent="0.25">
      <c r="F269" t="e" cm="1" vm="1">
        <f t="array" ref="F269">TRANSPOSE(_xlfn._xlws.FILTER(_xlfn.ANCHORARRAY($B$2),_xlfn.ANCHORARRAY($A$2)=$E269))</f>
        <v>#VALUE!</v>
      </c>
    </row>
    <row r="270" spans="6:6" x14ac:dyDescent="0.25">
      <c r="F270" t="e" cm="1" vm="1">
        <f t="array" ref="F270">TRANSPOSE(_xlfn._xlws.FILTER(_xlfn.ANCHORARRAY($B$2),_xlfn.ANCHORARRAY($A$2)=$E270))</f>
        <v>#VALUE!</v>
      </c>
    </row>
    <row r="271" spans="6:6" x14ac:dyDescent="0.25">
      <c r="F271" t="e" cm="1" vm="1">
        <f t="array" ref="F271">TRANSPOSE(_xlfn._xlws.FILTER(_xlfn.ANCHORARRAY($B$2),_xlfn.ANCHORARRAY($A$2)=$E271))</f>
        <v>#VALUE!</v>
      </c>
    </row>
    <row r="272" spans="6:6" x14ac:dyDescent="0.25">
      <c r="F272" t="e" cm="1" vm="1">
        <f t="array" ref="F272">TRANSPOSE(_xlfn._xlws.FILTER(_xlfn.ANCHORARRAY($B$2),_xlfn.ANCHORARRAY($A$2)=$E272))</f>
        <v>#VALUE!</v>
      </c>
    </row>
    <row r="273" spans="6:6" x14ac:dyDescent="0.25">
      <c r="F273" t="e" cm="1" vm="1">
        <f t="array" ref="F273">TRANSPOSE(_xlfn._xlws.FILTER(_xlfn.ANCHORARRAY($B$2),_xlfn.ANCHORARRAY($A$2)=$E273))</f>
        <v>#VALUE!</v>
      </c>
    </row>
    <row r="274" spans="6:6" x14ac:dyDescent="0.25">
      <c r="F274" t="e" cm="1" vm="1">
        <f t="array" ref="F274">TRANSPOSE(_xlfn._xlws.FILTER(_xlfn.ANCHORARRAY($B$2),_xlfn.ANCHORARRAY($A$2)=$E274))</f>
        <v>#VALUE!</v>
      </c>
    </row>
    <row r="275" spans="6:6" x14ac:dyDescent="0.25">
      <c r="F275" t="e" cm="1" vm="1">
        <f t="array" ref="F275">TRANSPOSE(_xlfn._xlws.FILTER(_xlfn.ANCHORARRAY($B$2),_xlfn.ANCHORARRAY($A$2)=$E275))</f>
        <v>#VALUE!</v>
      </c>
    </row>
    <row r="276" spans="6:6" x14ac:dyDescent="0.25">
      <c r="F276" t="e" cm="1" vm="1">
        <f t="array" ref="F276">TRANSPOSE(_xlfn._xlws.FILTER(_xlfn.ANCHORARRAY($B$2),_xlfn.ANCHORARRAY($A$2)=$E276))</f>
        <v>#VALUE!</v>
      </c>
    </row>
    <row r="277" spans="6:6" x14ac:dyDescent="0.25">
      <c r="F277" t="e" cm="1" vm="1">
        <f t="array" ref="F277">TRANSPOSE(_xlfn._xlws.FILTER(_xlfn.ANCHORARRAY($B$2),_xlfn.ANCHORARRAY($A$2)=$E277))</f>
        <v>#VALUE!</v>
      </c>
    </row>
    <row r="278" spans="6:6" x14ac:dyDescent="0.25">
      <c r="F278" t="e" cm="1" vm="1">
        <f t="array" ref="F278">TRANSPOSE(_xlfn._xlws.FILTER(_xlfn.ANCHORARRAY($B$2),_xlfn.ANCHORARRAY($A$2)=$E278))</f>
        <v>#VALUE!</v>
      </c>
    </row>
    <row r="279" spans="6:6" x14ac:dyDescent="0.25">
      <c r="F279" t="e" cm="1" vm="1">
        <f t="array" ref="F279">TRANSPOSE(_xlfn._xlws.FILTER(_xlfn.ANCHORARRAY($B$2),_xlfn.ANCHORARRAY($A$2)=$E279))</f>
        <v>#VALUE!</v>
      </c>
    </row>
    <row r="280" spans="6:6" x14ac:dyDescent="0.25">
      <c r="F280" t="e" cm="1" vm="1">
        <f t="array" ref="F280">TRANSPOSE(_xlfn._xlws.FILTER(_xlfn.ANCHORARRAY($B$2),_xlfn.ANCHORARRAY($A$2)=$E280))</f>
        <v>#VALUE!</v>
      </c>
    </row>
    <row r="281" spans="6:6" x14ac:dyDescent="0.25">
      <c r="F281" t="e" cm="1" vm="1">
        <f t="array" ref="F281">TRANSPOSE(_xlfn._xlws.FILTER(_xlfn.ANCHORARRAY($B$2),_xlfn.ANCHORARRAY($A$2)=$E281))</f>
        <v>#VALUE!</v>
      </c>
    </row>
    <row r="282" spans="6:6" x14ac:dyDescent="0.25">
      <c r="F282" t="e" cm="1" vm="1">
        <f t="array" ref="F282">TRANSPOSE(_xlfn._xlws.FILTER(_xlfn.ANCHORARRAY($B$2),_xlfn.ANCHORARRAY($A$2)=$E282))</f>
        <v>#VALUE!</v>
      </c>
    </row>
    <row r="283" spans="6:6" x14ac:dyDescent="0.25">
      <c r="F283" t="e" cm="1" vm="1">
        <f t="array" ref="F283">TRANSPOSE(_xlfn._xlws.FILTER(_xlfn.ANCHORARRAY($B$2),_xlfn.ANCHORARRAY($A$2)=$E283))</f>
        <v>#VALUE!</v>
      </c>
    </row>
    <row r="284" spans="6:6" x14ac:dyDescent="0.25">
      <c r="F284" t="e" cm="1" vm="1">
        <f t="array" ref="F284">TRANSPOSE(_xlfn._xlws.FILTER(_xlfn.ANCHORARRAY($B$2),_xlfn.ANCHORARRAY($A$2)=$E284))</f>
        <v>#VALUE!</v>
      </c>
    </row>
    <row r="285" spans="6:6" x14ac:dyDescent="0.25">
      <c r="F285" t="e" cm="1" vm="1">
        <f t="array" ref="F285">TRANSPOSE(_xlfn._xlws.FILTER(_xlfn.ANCHORARRAY($B$2),_xlfn.ANCHORARRAY($A$2)=$E285))</f>
        <v>#VALUE!</v>
      </c>
    </row>
    <row r="286" spans="6:6" x14ac:dyDescent="0.25">
      <c r="F286" t="e" cm="1" vm="1">
        <f t="array" ref="F286">TRANSPOSE(_xlfn._xlws.FILTER(_xlfn.ANCHORARRAY($B$2),_xlfn.ANCHORARRAY($A$2)=$E286))</f>
        <v>#VALUE!</v>
      </c>
    </row>
    <row r="287" spans="6:6" x14ac:dyDescent="0.25">
      <c r="F287" t="e" cm="1" vm="1">
        <f t="array" ref="F287">TRANSPOSE(_xlfn._xlws.FILTER(_xlfn.ANCHORARRAY($B$2),_xlfn.ANCHORARRAY($A$2)=$E287))</f>
        <v>#VALUE!</v>
      </c>
    </row>
    <row r="288" spans="6:6" x14ac:dyDescent="0.25">
      <c r="F288" t="e" cm="1" vm="1">
        <f t="array" ref="F288">TRANSPOSE(_xlfn._xlws.FILTER(_xlfn.ANCHORARRAY($B$2),_xlfn.ANCHORARRAY($A$2)=$E288))</f>
        <v>#VALUE!</v>
      </c>
    </row>
    <row r="289" spans="6:6" x14ac:dyDescent="0.25">
      <c r="F289" t="e" cm="1" vm="1">
        <f t="array" ref="F289">TRANSPOSE(_xlfn._xlws.FILTER(_xlfn.ANCHORARRAY($B$2),_xlfn.ANCHORARRAY($A$2)=$E289))</f>
        <v>#VALUE!</v>
      </c>
    </row>
    <row r="290" spans="6:6" x14ac:dyDescent="0.25">
      <c r="F290" t="e" cm="1" vm="1">
        <f t="array" ref="F290">TRANSPOSE(_xlfn._xlws.FILTER(_xlfn.ANCHORARRAY($B$2),_xlfn.ANCHORARRAY($A$2)=$E290))</f>
        <v>#VALUE!</v>
      </c>
    </row>
    <row r="291" spans="6:6" x14ac:dyDescent="0.25">
      <c r="F291" t="e" cm="1" vm="1">
        <f t="array" ref="F291">TRANSPOSE(_xlfn._xlws.FILTER(_xlfn.ANCHORARRAY($B$2),_xlfn.ANCHORARRAY($A$2)=$E291))</f>
        <v>#VALUE!</v>
      </c>
    </row>
    <row r="292" spans="6:6" x14ac:dyDescent="0.25">
      <c r="F292" t="e" cm="1" vm="1">
        <f t="array" ref="F292">TRANSPOSE(_xlfn._xlws.FILTER(_xlfn.ANCHORARRAY($B$2),_xlfn.ANCHORARRAY($A$2)=$E292))</f>
        <v>#VALUE!</v>
      </c>
    </row>
    <row r="293" spans="6:6" x14ac:dyDescent="0.25">
      <c r="F293" t="e" cm="1" vm="1">
        <f t="array" ref="F293">TRANSPOSE(_xlfn._xlws.FILTER(_xlfn.ANCHORARRAY($B$2),_xlfn.ANCHORARRAY($A$2)=$E293))</f>
        <v>#VALUE!</v>
      </c>
    </row>
    <row r="294" spans="6:6" x14ac:dyDescent="0.25">
      <c r="F294" t="e" cm="1" vm="1">
        <f t="array" ref="F294">TRANSPOSE(_xlfn._xlws.FILTER(_xlfn.ANCHORARRAY($B$2),_xlfn.ANCHORARRAY($A$2)=$E294))</f>
        <v>#VALUE!</v>
      </c>
    </row>
    <row r="295" spans="6:6" x14ac:dyDescent="0.25">
      <c r="F295" t="e" cm="1" vm="1">
        <f t="array" ref="F295">TRANSPOSE(_xlfn._xlws.FILTER(_xlfn.ANCHORARRAY($B$2),_xlfn.ANCHORARRAY($A$2)=$E295))</f>
        <v>#VALUE!</v>
      </c>
    </row>
    <row r="296" spans="6:6" x14ac:dyDescent="0.25">
      <c r="F296" t="e" cm="1" vm="1">
        <f t="array" ref="F296">TRANSPOSE(_xlfn._xlws.FILTER(_xlfn.ANCHORARRAY($B$2),_xlfn.ANCHORARRAY($A$2)=$E296))</f>
        <v>#VALUE!</v>
      </c>
    </row>
    <row r="297" spans="6:6" x14ac:dyDescent="0.25">
      <c r="F297" t="e" cm="1" vm="1">
        <f t="array" ref="F297">TRANSPOSE(_xlfn._xlws.FILTER(_xlfn.ANCHORARRAY($B$2),_xlfn.ANCHORARRAY($A$2)=$E297))</f>
        <v>#VALUE!</v>
      </c>
    </row>
    <row r="298" spans="6:6" x14ac:dyDescent="0.25">
      <c r="F298" t="e" cm="1" vm="1">
        <f t="array" ref="F298">TRANSPOSE(_xlfn._xlws.FILTER(_xlfn.ANCHORARRAY($B$2),_xlfn.ANCHORARRAY($A$2)=$E298))</f>
        <v>#VALUE!</v>
      </c>
    </row>
    <row r="299" spans="6:6" x14ac:dyDescent="0.25">
      <c r="F299" t="e" cm="1" vm="1">
        <f t="array" ref="F299">TRANSPOSE(_xlfn._xlws.FILTER(_xlfn.ANCHORARRAY($B$2),_xlfn.ANCHORARRAY($A$2)=$E299))</f>
        <v>#VALUE!</v>
      </c>
    </row>
    <row r="300" spans="6:6" x14ac:dyDescent="0.25">
      <c r="F300" t="e" cm="1" vm="1">
        <f t="array" ref="F300">TRANSPOSE(_xlfn._xlws.FILTER(_xlfn.ANCHORARRAY($B$2),_xlfn.ANCHORARRAY($A$2)=$E300))</f>
        <v>#VALUE!</v>
      </c>
    </row>
    <row r="301" spans="6:6" x14ac:dyDescent="0.25">
      <c r="F301" t="e" cm="1" vm="1">
        <f t="array" ref="F301">TRANSPOSE(_xlfn._xlws.FILTER(_xlfn.ANCHORARRAY($B$2),_xlfn.ANCHORARRAY($A$2)=$E301))</f>
        <v>#VALUE!</v>
      </c>
    </row>
    <row r="302" spans="6:6" x14ac:dyDescent="0.25">
      <c r="F302" t="e" cm="1" vm="1">
        <f t="array" ref="F302">TRANSPOSE(_xlfn._xlws.FILTER(_xlfn.ANCHORARRAY($B$2),_xlfn.ANCHORARRAY($A$2)=$E302))</f>
        <v>#VALUE!</v>
      </c>
    </row>
    <row r="303" spans="6:6" x14ac:dyDescent="0.25">
      <c r="F303" t="e" cm="1" vm="1">
        <f t="array" ref="F303">TRANSPOSE(_xlfn._xlws.FILTER(_xlfn.ANCHORARRAY($B$2),_xlfn.ANCHORARRAY($A$2)=$E303))</f>
        <v>#VALUE!</v>
      </c>
    </row>
    <row r="304" spans="6:6" x14ac:dyDescent="0.25">
      <c r="F304" t="e" cm="1" vm="1">
        <f t="array" ref="F304">TRANSPOSE(_xlfn._xlws.FILTER(_xlfn.ANCHORARRAY($B$2),_xlfn.ANCHORARRAY($A$2)=$E304))</f>
        <v>#VALUE!</v>
      </c>
    </row>
    <row r="305" spans="6:6" x14ac:dyDescent="0.25">
      <c r="F305" t="e" cm="1" vm="1">
        <f t="array" ref="F305">TRANSPOSE(_xlfn._xlws.FILTER(_xlfn.ANCHORARRAY($B$2),_xlfn.ANCHORARRAY($A$2)=$E305))</f>
        <v>#VALUE!</v>
      </c>
    </row>
    <row r="306" spans="6:6" x14ac:dyDescent="0.25">
      <c r="F306" t="e" cm="1" vm="1">
        <f t="array" ref="F306">TRANSPOSE(_xlfn._xlws.FILTER(_xlfn.ANCHORARRAY($B$2),_xlfn.ANCHORARRAY($A$2)=$E306))</f>
        <v>#VALUE!</v>
      </c>
    </row>
    <row r="307" spans="6:6" x14ac:dyDescent="0.25">
      <c r="F307" t="e" cm="1" vm="1">
        <f t="array" ref="F307">TRANSPOSE(_xlfn._xlws.FILTER(_xlfn.ANCHORARRAY($B$2),_xlfn.ANCHORARRAY($A$2)=$E307))</f>
        <v>#VALUE!</v>
      </c>
    </row>
    <row r="308" spans="6:6" x14ac:dyDescent="0.25">
      <c r="F308" t="e" cm="1" vm="1">
        <f t="array" ref="F308">TRANSPOSE(_xlfn._xlws.FILTER(_xlfn.ANCHORARRAY($B$2),_xlfn.ANCHORARRAY($A$2)=$E308))</f>
        <v>#VALUE!</v>
      </c>
    </row>
    <row r="309" spans="6:6" x14ac:dyDescent="0.25">
      <c r="F309" t="e" cm="1" vm="1">
        <f t="array" ref="F309">TRANSPOSE(_xlfn._xlws.FILTER(_xlfn.ANCHORARRAY($B$2),_xlfn.ANCHORARRAY($A$2)=$E309))</f>
        <v>#VALUE!</v>
      </c>
    </row>
    <row r="310" spans="6:6" x14ac:dyDescent="0.25">
      <c r="F310" t="e" cm="1" vm="1">
        <f t="array" ref="F310">TRANSPOSE(_xlfn._xlws.FILTER(_xlfn.ANCHORARRAY($B$2),_xlfn.ANCHORARRAY($A$2)=$E310))</f>
        <v>#VALUE!</v>
      </c>
    </row>
    <row r="311" spans="6:6" x14ac:dyDescent="0.25">
      <c r="F311" t="e" cm="1" vm="1">
        <f t="array" ref="F311">TRANSPOSE(_xlfn._xlws.FILTER(_xlfn.ANCHORARRAY($B$2),_xlfn.ANCHORARRAY($A$2)=$E311))</f>
        <v>#VALUE!</v>
      </c>
    </row>
    <row r="312" spans="6:6" x14ac:dyDescent="0.25">
      <c r="F312" t="e" cm="1" vm="1">
        <f t="array" ref="F312">TRANSPOSE(_xlfn._xlws.FILTER(_xlfn.ANCHORARRAY($B$2),_xlfn.ANCHORARRAY($A$2)=$E312))</f>
        <v>#VALUE!</v>
      </c>
    </row>
    <row r="313" spans="6:6" x14ac:dyDescent="0.25">
      <c r="F313" t="e" cm="1" vm="1">
        <f t="array" ref="F313">TRANSPOSE(_xlfn._xlws.FILTER(_xlfn.ANCHORARRAY($B$2),_xlfn.ANCHORARRAY($A$2)=$E313))</f>
        <v>#VALUE!</v>
      </c>
    </row>
    <row r="314" spans="6:6" x14ac:dyDescent="0.25">
      <c r="F314" t="e" cm="1" vm="1">
        <f t="array" ref="F314">TRANSPOSE(_xlfn._xlws.FILTER(_xlfn.ANCHORARRAY($B$2),_xlfn.ANCHORARRAY($A$2)=$E314))</f>
        <v>#VALUE!</v>
      </c>
    </row>
    <row r="315" spans="6:6" x14ac:dyDescent="0.25">
      <c r="F315" t="e" cm="1" vm="1">
        <f t="array" ref="F315">TRANSPOSE(_xlfn._xlws.FILTER(_xlfn.ANCHORARRAY($B$2),_xlfn.ANCHORARRAY($A$2)=$E315))</f>
        <v>#VALUE!</v>
      </c>
    </row>
    <row r="316" spans="6:6" x14ac:dyDescent="0.25">
      <c r="F316" t="e" cm="1" vm="1">
        <f t="array" ref="F316">TRANSPOSE(_xlfn._xlws.FILTER(_xlfn.ANCHORARRAY($B$2),_xlfn.ANCHORARRAY($A$2)=$E316))</f>
        <v>#VALUE!</v>
      </c>
    </row>
    <row r="317" spans="6:6" x14ac:dyDescent="0.25">
      <c r="F317" t="e" cm="1" vm="1">
        <f t="array" ref="F317">TRANSPOSE(_xlfn._xlws.FILTER(_xlfn.ANCHORARRAY($B$2),_xlfn.ANCHORARRAY($A$2)=$E317))</f>
        <v>#VALUE!</v>
      </c>
    </row>
    <row r="318" spans="6:6" x14ac:dyDescent="0.25">
      <c r="F318" t="e" cm="1" vm="1">
        <f t="array" ref="F318">TRANSPOSE(_xlfn._xlws.FILTER(_xlfn.ANCHORARRAY($B$2),_xlfn.ANCHORARRAY($A$2)=$E318))</f>
        <v>#VALUE!</v>
      </c>
    </row>
    <row r="319" spans="6:6" x14ac:dyDescent="0.25">
      <c r="F319" t="e" cm="1" vm="1">
        <f t="array" ref="F319">TRANSPOSE(_xlfn._xlws.FILTER(_xlfn.ANCHORARRAY($B$2),_xlfn.ANCHORARRAY($A$2)=$E319))</f>
        <v>#VALUE!</v>
      </c>
    </row>
    <row r="320" spans="6:6" x14ac:dyDescent="0.25">
      <c r="F320" t="e" cm="1" vm="1">
        <f t="array" ref="F320">TRANSPOSE(_xlfn._xlws.FILTER(_xlfn.ANCHORARRAY($B$2),_xlfn.ANCHORARRAY($A$2)=$E320))</f>
        <v>#VALUE!</v>
      </c>
    </row>
    <row r="321" spans="6:6" x14ac:dyDescent="0.25">
      <c r="F321" t="e" cm="1" vm="1">
        <f t="array" ref="F321">TRANSPOSE(_xlfn._xlws.FILTER(_xlfn.ANCHORARRAY($B$2),_xlfn.ANCHORARRAY($A$2)=$E321))</f>
        <v>#VALUE!</v>
      </c>
    </row>
    <row r="322" spans="6:6" x14ac:dyDescent="0.25">
      <c r="F322" t="e" cm="1" vm="1">
        <f t="array" ref="F322">TRANSPOSE(_xlfn._xlws.FILTER(_xlfn.ANCHORARRAY($B$2),_xlfn.ANCHORARRAY($A$2)=$E322))</f>
        <v>#VALUE!</v>
      </c>
    </row>
    <row r="323" spans="6:6" x14ac:dyDescent="0.25">
      <c r="F323" t="e" cm="1" vm="1">
        <f t="array" ref="F323">TRANSPOSE(_xlfn._xlws.FILTER(_xlfn.ANCHORARRAY($B$2),_xlfn.ANCHORARRAY($A$2)=$E323))</f>
        <v>#VALUE!</v>
      </c>
    </row>
    <row r="324" spans="6:6" x14ac:dyDescent="0.25">
      <c r="F324" t="e" cm="1" vm="1">
        <f t="array" ref="F324">TRANSPOSE(_xlfn._xlws.FILTER(_xlfn.ANCHORARRAY($B$2),_xlfn.ANCHORARRAY($A$2)=$E324))</f>
        <v>#VALUE!</v>
      </c>
    </row>
    <row r="325" spans="6:6" x14ac:dyDescent="0.25">
      <c r="F325" t="e" cm="1" vm="1">
        <f t="array" ref="F325">TRANSPOSE(_xlfn._xlws.FILTER(_xlfn.ANCHORARRAY($B$2),_xlfn.ANCHORARRAY($A$2)=$E325))</f>
        <v>#VALUE!</v>
      </c>
    </row>
    <row r="326" spans="6:6" x14ac:dyDescent="0.25">
      <c r="F326" t="e" cm="1" vm="1">
        <f t="array" ref="F326">TRANSPOSE(_xlfn._xlws.FILTER(_xlfn.ANCHORARRAY($B$2),_xlfn.ANCHORARRAY($A$2)=$E326))</f>
        <v>#VALUE!</v>
      </c>
    </row>
    <row r="327" spans="6:6" x14ac:dyDescent="0.25">
      <c r="F327" t="e" cm="1" vm="1">
        <f t="array" ref="F327">TRANSPOSE(_xlfn._xlws.FILTER(_xlfn.ANCHORARRAY($B$2),_xlfn.ANCHORARRAY($A$2)=$E327))</f>
        <v>#VALUE!</v>
      </c>
    </row>
    <row r="328" spans="6:6" x14ac:dyDescent="0.25">
      <c r="F328" t="e" cm="1" vm="1">
        <f t="array" ref="F328">TRANSPOSE(_xlfn._xlws.FILTER(_xlfn.ANCHORARRAY($B$2),_xlfn.ANCHORARRAY($A$2)=$E328))</f>
        <v>#VALUE!</v>
      </c>
    </row>
    <row r="329" spans="6:6" x14ac:dyDescent="0.25">
      <c r="F329" t="e" cm="1" vm="1">
        <f t="array" ref="F329">TRANSPOSE(_xlfn._xlws.FILTER(_xlfn.ANCHORARRAY($B$2),_xlfn.ANCHORARRAY($A$2)=$E329))</f>
        <v>#VALUE!</v>
      </c>
    </row>
    <row r="330" spans="6:6" x14ac:dyDescent="0.25">
      <c r="F330" t="e" cm="1" vm="1">
        <f t="array" ref="F330">TRANSPOSE(_xlfn._xlws.FILTER(_xlfn.ANCHORARRAY($B$2),_xlfn.ANCHORARRAY($A$2)=$E330))</f>
        <v>#VALUE!</v>
      </c>
    </row>
    <row r="331" spans="6:6" x14ac:dyDescent="0.25">
      <c r="F331" t="e" cm="1" vm="1">
        <f t="array" ref="F331">TRANSPOSE(_xlfn._xlws.FILTER(_xlfn.ANCHORARRAY($B$2),_xlfn.ANCHORARRAY($A$2)=$E331))</f>
        <v>#VALUE!</v>
      </c>
    </row>
    <row r="332" spans="6:6" x14ac:dyDescent="0.25">
      <c r="F332" t="e" cm="1" vm="1">
        <f t="array" ref="F332">TRANSPOSE(_xlfn._xlws.FILTER(_xlfn.ANCHORARRAY($B$2),_xlfn.ANCHORARRAY($A$2)=$E332))</f>
        <v>#VALUE!</v>
      </c>
    </row>
    <row r="333" spans="6:6" x14ac:dyDescent="0.25">
      <c r="F333" t="e" cm="1" vm="1">
        <f t="array" ref="F333">TRANSPOSE(_xlfn._xlws.FILTER(_xlfn.ANCHORARRAY($B$2),_xlfn.ANCHORARRAY($A$2)=$E333))</f>
        <v>#VALUE!</v>
      </c>
    </row>
    <row r="334" spans="6:6" x14ac:dyDescent="0.25">
      <c r="F334" t="e" cm="1" vm="1">
        <f t="array" ref="F334">TRANSPOSE(_xlfn._xlws.FILTER(_xlfn.ANCHORARRAY($B$2),_xlfn.ANCHORARRAY($A$2)=$E334))</f>
        <v>#VALUE!</v>
      </c>
    </row>
    <row r="335" spans="6:6" x14ac:dyDescent="0.25">
      <c r="F335" t="e" cm="1" vm="1">
        <f t="array" ref="F335">TRANSPOSE(_xlfn._xlws.FILTER(_xlfn.ANCHORARRAY($B$2),_xlfn.ANCHORARRAY($A$2)=$E335))</f>
        <v>#VALUE!</v>
      </c>
    </row>
    <row r="336" spans="6:6" x14ac:dyDescent="0.25">
      <c r="F336" t="e" cm="1" vm="1">
        <f t="array" ref="F336">TRANSPOSE(_xlfn._xlws.FILTER(_xlfn.ANCHORARRAY($B$2),_xlfn.ANCHORARRAY($A$2)=$E336))</f>
        <v>#VALUE!</v>
      </c>
    </row>
    <row r="337" spans="6:6" x14ac:dyDescent="0.25">
      <c r="F337" t="e" cm="1" vm="1">
        <f t="array" ref="F337">TRANSPOSE(_xlfn._xlws.FILTER(_xlfn.ANCHORARRAY($B$2),_xlfn.ANCHORARRAY($A$2)=$E337))</f>
        <v>#VALUE!</v>
      </c>
    </row>
    <row r="338" spans="6:6" x14ac:dyDescent="0.25">
      <c r="F338" t="e" cm="1" vm="1">
        <f t="array" ref="F338">TRANSPOSE(_xlfn._xlws.FILTER(_xlfn.ANCHORARRAY($B$2),_xlfn.ANCHORARRAY($A$2)=$E338))</f>
        <v>#VALUE!</v>
      </c>
    </row>
    <row r="339" spans="6:6" x14ac:dyDescent="0.25">
      <c r="F339" t="e" cm="1" vm="1">
        <f t="array" ref="F339">TRANSPOSE(_xlfn._xlws.FILTER(_xlfn.ANCHORARRAY($B$2),_xlfn.ANCHORARRAY($A$2)=$E339))</f>
        <v>#VALUE!</v>
      </c>
    </row>
    <row r="340" spans="6:6" x14ac:dyDescent="0.25">
      <c r="F340" t="e" cm="1" vm="1">
        <f t="array" ref="F340">TRANSPOSE(_xlfn._xlws.FILTER(_xlfn.ANCHORARRAY($B$2),_xlfn.ANCHORARRAY($A$2)=$E340))</f>
        <v>#VALUE!</v>
      </c>
    </row>
    <row r="341" spans="6:6" x14ac:dyDescent="0.25">
      <c r="F341" t="e" cm="1" vm="1">
        <f t="array" ref="F341">TRANSPOSE(_xlfn._xlws.FILTER(_xlfn.ANCHORARRAY($B$2),_xlfn.ANCHORARRAY($A$2)=$E341))</f>
        <v>#VALUE!</v>
      </c>
    </row>
    <row r="342" spans="6:6" x14ac:dyDescent="0.25">
      <c r="F342" t="e" cm="1" vm="1">
        <f t="array" ref="F342">TRANSPOSE(_xlfn._xlws.FILTER(_xlfn.ANCHORARRAY($B$2),_xlfn.ANCHORARRAY($A$2)=$E342))</f>
        <v>#VALUE!</v>
      </c>
    </row>
    <row r="343" spans="6:6" x14ac:dyDescent="0.25">
      <c r="F343" t="e" cm="1" vm="1">
        <f t="array" ref="F343">TRANSPOSE(_xlfn._xlws.FILTER(_xlfn.ANCHORARRAY($B$2),_xlfn.ANCHORARRAY($A$2)=$E343))</f>
        <v>#VALUE!</v>
      </c>
    </row>
    <row r="344" spans="6:6" x14ac:dyDescent="0.25">
      <c r="F344" t="e" cm="1" vm="1">
        <f t="array" ref="F344">TRANSPOSE(_xlfn._xlws.FILTER(_xlfn.ANCHORARRAY($B$2),_xlfn.ANCHORARRAY($A$2)=$E344))</f>
        <v>#VALUE!</v>
      </c>
    </row>
    <row r="345" spans="6:6" x14ac:dyDescent="0.25">
      <c r="F345" t="e" cm="1" vm="1">
        <f t="array" ref="F345">TRANSPOSE(_xlfn._xlws.FILTER(_xlfn.ANCHORARRAY($B$2),_xlfn.ANCHORARRAY($A$2)=$E345))</f>
        <v>#VALUE!</v>
      </c>
    </row>
    <row r="346" spans="6:6" x14ac:dyDescent="0.25">
      <c r="F346" t="e" cm="1" vm="1">
        <f t="array" ref="F346">TRANSPOSE(_xlfn._xlws.FILTER(_xlfn.ANCHORARRAY($B$2),_xlfn.ANCHORARRAY($A$2)=$E346))</f>
        <v>#VALUE!</v>
      </c>
    </row>
    <row r="347" spans="6:6" x14ac:dyDescent="0.25">
      <c r="F347" t="e" cm="1" vm="1">
        <f t="array" ref="F347">TRANSPOSE(_xlfn._xlws.FILTER(_xlfn.ANCHORARRAY($B$2),_xlfn.ANCHORARRAY($A$2)=$E347))</f>
        <v>#VALUE!</v>
      </c>
    </row>
    <row r="348" spans="6:6" x14ac:dyDescent="0.25">
      <c r="F348" t="e" cm="1" vm="1">
        <f t="array" ref="F348">TRANSPOSE(_xlfn._xlws.FILTER(_xlfn.ANCHORARRAY($B$2),_xlfn.ANCHORARRAY($A$2)=$E348))</f>
        <v>#VALUE!</v>
      </c>
    </row>
    <row r="349" spans="6:6" x14ac:dyDescent="0.25">
      <c r="F349" t="e" cm="1" vm="1">
        <f t="array" ref="F349">TRANSPOSE(_xlfn._xlws.FILTER(_xlfn.ANCHORARRAY($B$2),_xlfn.ANCHORARRAY($A$2)=$E349))</f>
        <v>#VALUE!</v>
      </c>
    </row>
    <row r="350" spans="6:6" x14ac:dyDescent="0.25">
      <c r="F350" t="e" cm="1" vm="1">
        <f t="array" ref="F350">TRANSPOSE(_xlfn._xlws.FILTER(_xlfn.ANCHORARRAY($B$2),_xlfn.ANCHORARRAY($A$2)=$E350))</f>
        <v>#VALUE!</v>
      </c>
    </row>
    <row r="351" spans="6:6" x14ac:dyDescent="0.25">
      <c r="F351" t="e" cm="1" vm="1">
        <f t="array" ref="F351">TRANSPOSE(_xlfn._xlws.FILTER(_xlfn.ANCHORARRAY($B$2),_xlfn.ANCHORARRAY($A$2)=$E351))</f>
        <v>#VALUE!</v>
      </c>
    </row>
    <row r="352" spans="6:6" x14ac:dyDescent="0.25">
      <c r="F352" t="e" cm="1" vm="1">
        <f t="array" ref="F352">TRANSPOSE(_xlfn._xlws.FILTER(_xlfn.ANCHORARRAY($B$2),_xlfn.ANCHORARRAY($A$2)=$E352))</f>
        <v>#VALUE!</v>
      </c>
    </row>
    <row r="353" spans="6:6" x14ac:dyDescent="0.25">
      <c r="F353" t="e" cm="1" vm="1">
        <f t="array" ref="F353">TRANSPOSE(_xlfn._xlws.FILTER(_xlfn.ANCHORARRAY($B$2),_xlfn.ANCHORARRAY($A$2)=$E353))</f>
        <v>#VALUE!</v>
      </c>
    </row>
    <row r="354" spans="6:6" x14ac:dyDescent="0.25">
      <c r="F354" t="e" cm="1" vm="1">
        <f t="array" ref="F354">TRANSPOSE(_xlfn._xlws.FILTER(_xlfn.ANCHORARRAY($B$2),_xlfn.ANCHORARRAY($A$2)=$E354))</f>
        <v>#VALUE!</v>
      </c>
    </row>
    <row r="355" spans="6:6" x14ac:dyDescent="0.25">
      <c r="F355" t="e" cm="1" vm="1">
        <f t="array" ref="F355">TRANSPOSE(_xlfn._xlws.FILTER(_xlfn.ANCHORARRAY($B$2),_xlfn.ANCHORARRAY($A$2)=$E355))</f>
        <v>#VALUE!</v>
      </c>
    </row>
    <row r="356" spans="6:6" x14ac:dyDescent="0.25">
      <c r="F356" t="e" cm="1" vm="1">
        <f t="array" ref="F356">TRANSPOSE(_xlfn._xlws.FILTER(_xlfn.ANCHORARRAY($B$2),_xlfn.ANCHORARRAY($A$2)=$E356))</f>
        <v>#VALUE!</v>
      </c>
    </row>
    <row r="357" spans="6:6" x14ac:dyDescent="0.25">
      <c r="F357" t="e" cm="1" vm="1">
        <f t="array" ref="F357">TRANSPOSE(_xlfn._xlws.FILTER(_xlfn.ANCHORARRAY($B$2),_xlfn.ANCHORARRAY($A$2)=$E357))</f>
        <v>#VALUE!</v>
      </c>
    </row>
    <row r="358" spans="6:6" x14ac:dyDescent="0.25">
      <c r="F358" t="e" cm="1" vm="1">
        <f t="array" ref="F358">TRANSPOSE(_xlfn._xlws.FILTER(_xlfn.ANCHORARRAY($B$2),_xlfn.ANCHORARRAY($A$2)=$E358))</f>
        <v>#VALUE!</v>
      </c>
    </row>
    <row r="359" spans="6:6" x14ac:dyDescent="0.25">
      <c r="F359" t="e" cm="1" vm="1">
        <f t="array" ref="F359">TRANSPOSE(_xlfn._xlws.FILTER(_xlfn.ANCHORARRAY($B$2),_xlfn.ANCHORARRAY($A$2)=$E359))</f>
        <v>#VALUE!</v>
      </c>
    </row>
    <row r="360" spans="6:6" x14ac:dyDescent="0.25">
      <c r="F360" t="e" cm="1" vm="1">
        <f t="array" ref="F360">TRANSPOSE(_xlfn._xlws.FILTER(_xlfn.ANCHORARRAY($B$2),_xlfn.ANCHORARRAY($A$2)=$E360))</f>
        <v>#VALUE!</v>
      </c>
    </row>
    <row r="361" spans="6:6" x14ac:dyDescent="0.25">
      <c r="F361" t="e" cm="1" vm="1">
        <f t="array" ref="F361">TRANSPOSE(_xlfn._xlws.FILTER(_xlfn.ANCHORARRAY($B$2),_xlfn.ANCHORARRAY($A$2)=$E361))</f>
        <v>#VALUE!</v>
      </c>
    </row>
    <row r="362" spans="6:6" x14ac:dyDescent="0.25">
      <c r="F362" t="e" cm="1" vm="1">
        <f t="array" ref="F362">TRANSPOSE(_xlfn._xlws.FILTER(_xlfn.ANCHORARRAY($B$2),_xlfn.ANCHORARRAY($A$2)=$E362))</f>
        <v>#VALUE!</v>
      </c>
    </row>
    <row r="363" spans="6:6" x14ac:dyDescent="0.25">
      <c r="F363" t="e" cm="1" vm="1">
        <f t="array" ref="F363">TRANSPOSE(_xlfn._xlws.FILTER(_xlfn.ANCHORARRAY($B$2),_xlfn.ANCHORARRAY($A$2)=$E363))</f>
        <v>#VALUE!</v>
      </c>
    </row>
    <row r="364" spans="6:6" x14ac:dyDescent="0.25">
      <c r="F364" t="e" cm="1" vm="1">
        <f t="array" ref="F364">TRANSPOSE(_xlfn._xlws.FILTER(_xlfn.ANCHORARRAY($B$2),_xlfn.ANCHORARRAY($A$2)=$E364))</f>
        <v>#VALUE!</v>
      </c>
    </row>
    <row r="365" spans="6:6" x14ac:dyDescent="0.25">
      <c r="F365" t="e" cm="1" vm="1">
        <f t="array" ref="F365">TRANSPOSE(_xlfn._xlws.FILTER(_xlfn.ANCHORARRAY($B$2),_xlfn.ANCHORARRAY($A$2)=$E365))</f>
        <v>#VALUE!</v>
      </c>
    </row>
    <row r="366" spans="6:6" x14ac:dyDescent="0.25">
      <c r="F366" t="e" cm="1" vm="1">
        <f t="array" ref="F366">TRANSPOSE(_xlfn._xlws.FILTER(_xlfn.ANCHORARRAY($B$2),_xlfn.ANCHORARRAY($A$2)=$E366))</f>
        <v>#VALUE!</v>
      </c>
    </row>
    <row r="367" spans="6:6" x14ac:dyDescent="0.25">
      <c r="F367" t="e" cm="1" vm="1">
        <f t="array" ref="F367">TRANSPOSE(_xlfn._xlws.FILTER(_xlfn.ANCHORARRAY($B$2),_xlfn.ANCHORARRAY($A$2)=$E367))</f>
        <v>#VALUE!</v>
      </c>
    </row>
    <row r="368" spans="6:6" x14ac:dyDescent="0.25">
      <c r="F368" t="e" cm="1" vm="1">
        <f t="array" ref="F368">TRANSPOSE(_xlfn._xlws.FILTER(_xlfn.ANCHORARRAY($B$2),_xlfn.ANCHORARRAY($A$2)=$E368))</f>
        <v>#VALUE!</v>
      </c>
    </row>
    <row r="369" spans="6:6" x14ac:dyDescent="0.25">
      <c r="F369" t="e" cm="1" vm="1">
        <f t="array" ref="F369">TRANSPOSE(_xlfn._xlws.FILTER(_xlfn.ANCHORARRAY($B$2),_xlfn.ANCHORARRAY($A$2)=$E369))</f>
        <v>#VALUE!</v>
      </c>
    </row>
    <row r="370" spans="6:6" x14ac:dyDescent="0.25">
      <c r="F370" t="e" cm="1" vm="1">
        <f t="array" ref="F370">TRANSPOSE(_xlfn._xlws.FILTER(_xlfn.ANCHORARRAY($B$2),_xlfn.ANCHORARRAY($A$2)=$E370))</f>
        <v>#VALUE!</v>
      </c>
    </row>
    <row r="371" spans="6:6" x14ac:dyDescent="0.25">
      <c r="F371" t="e" cm="1" vm="1">
        <f t="array" ref="F371">TRANSPOSE(_xlfn._xlws.FILTER(_xlfn.ANCHORARRAY($B$2),_xlfn.ANCHORARRAY($A$2)=$E371))</f>
        <v>#VALUE!</v>
      </c>
    </row>
    <row r="372" spans="6:6" x14ac:dyDescent="0.25">
      <c r="F372" t="e" cm="1" vm="1">
        <f t="array" ref="F372">TRANSPOSE(_xlfn._xlws.FILTER(_xlfn.ANCHORARRAY($B$2),_xlfn.ANCHORARRAY($A$2)=$E372))</f>
        <v>#VALUE!</v>
      </c>
    </row>
    <row r="373" spans="6:6" x14ac:dyDescent="0.25">
      <c r="F373" t="e" cm="1" vm="1">
        <f t="array" ref="F373">TRANSPOSE(_xlfn._xlws.FILTER(_xlfn.ANCHORARRAY($B$2),_xlfn.ANCHORARRAY($A$2)=$E373))</f>
        <v>#VALUE!</v>
      </c>
    </row>
    <row r="374" spans="6:6" x14ac:dyDescent="0.25">
      <c r="F374" t="e" cm="1" vm="1">
        <f t="array" ref="F374">TRANSPOSE(_xlfn._xlws.FILTER(_xlfn.ANCHORARRAY($B$2),_xlfn.ANCHORARRAY($A$2)=$E374))</f>
        <v>#VALUE!</v>
      </c>
    </row>
    <row r="375" spans="6:6" x14ac:dyDescent="0.25">
      <c r="F375" t="e" cm="1" vm="1">
        <f t="array" ref="F375">TRANSPOSE(_xlfn._xlws.FILTER(_xlfn.ANCHORARRAY($B$2),_xlfn.ANCHORARRAY($A$2)=$E375))</f>
        <v>#VALUE!</v>
      </c>
    </row>
    <row r="376" spans="6:6" x14ac:dyDescent="0.25">
      <c r="F376" t="e" cm="1" vm="1">
        <f t="array" ref="F376">TRANSPOSE(_xlfn._xlws.FILTER(_xlfn.ANCHORARRAY($B$2),_xlfn.ANCHORARRAY($A$2)=$E376))</f>
        <v>#VALUE!</v>
      </c>
    </row>
    <row r="377" spans="6:6" x14ac:dyDescent="0.25">
      <c r="F377" t="e" cm="1" vm="1">
        <f t="array" ref="F377">TRANSPOSE(_xlfn._xlws.FILTER(_xlfn.ANCHORARRAY($B$2),_xlfn.ANCHORARRAY($A$2)=$E377))</f>
        <v>#VALUE!</v>
      </c>
    </row>
    <row r="378" spans="6:6" x14ac:dyDescent="0.25">
      <c r="F378" t="e" cm="1" vm="1">
        <f t="array" ref="F378">TRANSPOSE(_xlfn._xlws.FILTER(_xlfn.ANCHORARRAY($B$2),_xlfn.ANCHORARRAY($A$2)=$E378))</f>
        <v>#VALUE!</v>
      </c>
    </row>
    <row r="379" spans="6:6" x14ac:dyDescent="0.25">
      <c r="F379" t="e" cm="1" vm="1">
        <f t="array" ref="F379">TRANSPOSE(_xlfn._xlws.FILTER(_xlfn.ANCHORARRAY($B$2),_xlfn.ANCHORARRAY($A$2)=$E379))</f>
        <v>#VALUE!</v>
      </c>
    </row>
    <row r="380" spans="6:6" x14ac:dyDescent="0.25">
      <c r="F380" t="e" cm="1" vm="1">
        <f t="array" ref="F380">TRANSPOSE(_xlfn._xlws.FILTER(_xlfn.ANCHORARRAY($B$2),_xlfn.ANCHORARRAY($A$2)=$E380))</f>
        <v>#VALUE!</v>
      </c>
    </row>
    <row r="381" spans="6:6" x14ac:dyDescent="0.25">
      <c r="F381" t="e" cm="1" vm="1">
        <f t="array" ref="F381">TRANSPOSE(_xlfn._xlws.FILTER(_xlfn.ANCHORARRAY($B$2),_xlfn.ANCHORARRAY($A$2)=$E381))</f>
        <v>#VALUE!</v>
      </c>
    </row>
    <row r="382" spans="6:6" x14ac:dyDescent="0.25">
      <c r="F382" t="e" cm="1" vm="1">
        <f t="array" ref="F382">TRANSPOSE(_xlfn._xlws.FILTER(_xlfn.ANCHORARRAY($B$2),_xlfn.ANCHORARRAY($A$2)=$E382))</f>
        <v>#VALUE!</v>
      </c>
    </row>
    <row r="383" spans="6:6" x14ac:dyDescent="0.25">
      <c r="F383" t="e" cm="1" vm="1">
        <f t="array" ref="F383">TRANSPOSE(_xlfn._xlws.FILTER(_xlfn.ANCHORARRAY($B$2),_xlfn.ANCHORARRAY($A$2)=$E383))</f>
        <v>#VALUE!</v>
      </c>
    </row>
    <row r="384" spans="6:6" x14ac:dyDescent="0.25">
      <c r="F384" t="e" cm="1" vm="1">
        <f t="array" ref="F384">TRANSPOSE(_xlfn._xlws.FILTER(_xlfn.ANCHORARRAY($B$2),_xlfn.ANCHORARRAY($A$2)=$E384))</f>
        <v>#VALUE!</v>
      </c>
    </row>
    <row r="385" spans="6:6" x14ac:dyDescent="0.25">
      <c r="F385" t="e" cm="1" vm="1">
        <f t="array" ref="F385">TRANSPOSE(_xlfn._xlws.FILTER(_xlfn.ANCHORARRAY($B$2),_xlfn.ANCHORARRAY($A$2)=$E385))</f>
        <v>#VALUE!</v>
      </c>
    </row>
    <row r="386" spans="6:6" x14ac:dyDescent="0.25">
      <c r="F386" t="e" cm="1" vm="1">
        <f t="array" ref="F386">TRANSPOSE(_xlfn._xlws.FILTER(_xlfn.ANCHORARRAY($B$2),_xlfn.ANCHORARRAY($A$2)=$E386))</f>
        <v>#VALUE!</v>
      </c>
    </row>
    <row r="387" spans="6:6" x14ac:dyDescent="0.25">
      <c r="F387" t="e" cm="1" vm="1">
        <f t="array" ref="F387">TRANSPOSE(_xlfn._xlws.FILTER(_xlfn.ANCHORARRAY($B$2),_xlfn.ANCHORARRAY($A$2)=$E387))</f>
        <v>#VALUE!</v>
      </c>
    </row>
    <row r="388" spans="6:6" x14ac:dyDescent="0.25">
      <c r="F388" t="e" cm="1" vm="1">
        <f t="array" ref="F388">TRANSPOSE(_xlfn._xlws.FILTER(_xlfn.ANCHORARRAY($B$2),_xlfn.ANCHORARRAY($A$2)=$E388))</f>
        <v>#VALUE!</v>
      </c>
    </row>
    <row r="389" spans="6:6" x14ac:dyDescent="0.25">
      <c r="F389" t="e" cm="1" vm="1">
        <f t="array" ref="F389">TRANSPOSE(_xlfn._xlws.FILTER(_xlfn.ANCHORARRAY($B$2),_xlfn.ANCHORARRAY($A$2)=$E389))</f>
        <v>#VALUE!</v>
      </c>
    </row>
    <row r="390" spans="6:6" x14ac:dyDescent="0.25">
      <c r="F390" t="e" cm="1" vm="1">
        <f t="array" ref="F390">TRANSPOSE(_xlfn._xlws.FILTER(_xlfn.ANCHORARRAY($B$2),_xlfn.ANCHORARRAY($A$2)=$E390))</f>
        <v>#VALUE!</v>
      </c>
    </row>
    <row r="391" spans="6:6" x14ac:dyDescent="0.25">
      <c r="F391" t="e" cm="1" vm="1">
        <f t="array" ref="F391">TRANSPOSE(_xlfn._xlws.FILTER(_xlfn.ANCHORARRAY($B$2),_xlfn.ANCHORARRAY($A$2)=$E391))</f>
        <v>#VALUE!</v>
      </c>
    </row>
    <row r="392" spans="6:6" x14ac:dyDescent="0.25">
      <c r="F392" t="e" cm="1" vm="1">
        <f t="array" ref="F392">TRANSPOSE(_xlfn._xlws.FILTER(_xlfn.ANCHORARRAY($B$2),_xlfn.ANCHORARRAY($A$2)=$E392))</f>
        <v>#VALUE!</v>
      </c>
    </row>
    <row r="393" spans="6:6" x14ac:dyDescent="0.25">
      <c r="F393" t="e" cm="1" vm="1">
        <f t="array" ref="F393">TRANSPOSE(_xlfn._xlws.FILTER(_xlfn.ANCHORARRAY($B$2),_xlfn.ANCHORARRAY($A$2)=$E393))</f>
        <v>#VALUE!</v>
      </c>
    </row>
    <row r="394" spans="6:6" x14ac:dyDescent="0.25">
      <c r="F394" t="e" cm="1" vm="1">
        <f t="array" ref="F394">TRANSPOSE(_xlfn._xlws.FILTER(_xlfn.ANCHORARRAY($B$2),_xlfn.ANCHORARRAY($A$2)=$E394))</f>
        <v>#VALUE!</v>
      </c>
    </row>
    <row r="395" spans="6:6" x14ac:dyDescent="0.25">
      <c r="F395" t="e" cm="1" vm="1">
        <f t="array" ref="F395">TRANSPOSE(_xlfn._xlws.FILTER(_xlfn.ANCHORARRAY($B$2),_xlfn.ANCHORARRAY($A$2)=$E395))</f>
        <v>#VALUE!</v>
      </c>
    </row>
    <row r="396" spans="6:6" x14ac:dyDescent="0.25">
      <c r="F396" t="e" cm="1" vm="1">
        <f t="array" ref="F396">TRANSPOSE(_xlfn._xlws.FILTER(_xlfn.ANCHORARRAY($B$2),_xlfn.ANCHORARRAY($A$2)=$E396))</f>
        <v>#VALUE!</v>
      </c>
    </row>
    <row r="397" spans="6:6" x14ac:dyDescent="0.25">
      <c r="F397" t="e" cm="1" vm="1">
        <f t="array" ref="F397">TRANSPOSE(_xlfn._xlws.FILTER(_xlfn.ANCHORARRAY($B$2),_xlfn.ANCHORARRAY($A$2)=$E397))</f>
        <v>#VALUE!</v>
      </c>
    </row>
    <row r="398" spans="6:6" x14ac:dyDescent="0.25">
      <c r="F398" t="e" cm="1" vm="1">
        <f t="array" ref="F398">TRANSPOSE(_xlfn._xlws.FILTER(_xlfn.ANCHORARRAY($B$2),_xlfn.ANCHORARRAY($A$2)=$E398))</f>
        <v>#VALUE!</v>
      </c>
    </row>
    <row r="399" spans="6:6" x14ac:dyDescent="0.25">
      <c r="F399" t="e" cm="1" vm="1">
        <f t="array" ref="F399">TRANSPOSE(_xlfn._xlws.FILTER(_xlfn.ANCHORARRAY($B$2),_xlfn.ANCHORARRAY($A$2)=$E399))</f>
        <v>#VALUE!</v>
      </c>
    </row>
    <row r="400" spans="6:6" x14ac:dyDescent="0.25">
      <c r="F400" t="e" cm="1" vm="1">
        <f t="array" ref="F400">TRANSPOSE(_xlfn._xlws.FILTER(_xlfn.ANCHORARRAY($B$2),_xlfn.ANCHORARRAY($A$2)=$E400))</f>
        <v>#VALUE!</v>
      </c>
    </row>
    <row r="401" spans="6:6" x14ac:dyDescent="0.25">
      <c r="F401" t="e" cm="1" vm="1">
        <f t="array" ref="F401">TRANSPOSE(_xlfn._xlws.FILTER(_xlfn.ANCHORARRAY($B$2),_xlfn.ANCHORARRAY($A$2)=$E401))</f>
        <v>#VALUE!</v>
      </c>
    </row>
    <row r="402" spans="6:6" x14ac:dyDescent="0.25">
      <c r="F402" t="e" cm="1" vm="1">
        <f t="array" ref="F402">TRANSPOSE(_xlfn._xlws.FILTER(_xlfn.ANCHORARRAY($B$2),_xlfn.ANCHORARRAY($A$2)=$E402))</f>
        <v>#VALUE!</v>
      </c>
    </row>
    <row r="403" spans="6:6" x14ac:dyDescent="0.25">
      <c r="F403" t="e" cm="1" vm="1">
        <f t="array" ref="F403">TRANSPOSE(_xlfn._xlws.FILTER(_xlfn.ANCHORARRAY($B$2),_xlfn.ANCHORARRAY($A$2)=$E403))</f>
        <v>#VALUE!</v>
      </c>
    </row>
    <row r="404" spans="6:6" x14ac:dyDescent="0.25">
      <c r="F404" t="e" cm="1" vm="1">
        <f t="array" ref="F404">TRANSPOSE(_xlfn._xlws.FILTER(_xlfn.ANCHORARRAY($B$2),_xlfn.ANCHORARRAY($A$2)=$E404))</f>
        <v>#VALUE!</v>
      </c>
    </row>
    <row r="405" spans="6:6" x14ac:dyDescent="0.25">
      <c r="F405" t="e" cm="1" vm="1">
        <f t="array" ref="F405">TRANSPOSE(_xlfn._xlws.FILTER(_xlfn.ANCHORARRAY($B$2),_xlfn.ANCHORARRAY($A$2)=$E405))</f>
        <v>#VALUE!</v>
      </c>
    </row>
    <row r="406" spans="6:6" x14ac:dyDescent="0.25">
      <c r="F406" t="e" cm="1" vm="1">
        <f t="array" ref="F406">TRANSPOSE(_xlfn._xlws.FILTER(_xlfn.ANCHORARRAY($B$2),_xlfn.ANCHORARRAY($A$2)=$E406))</f>
        <v>#VALUE!</v>
      </c>
    </row>
    <row r="407" spans="6:6" x14ac:dyDescent="0.25">
      <c r="F407" t="e" cm="1" vm="1">
        <f t="array" ref="F407">TRANSPOSE(_xlfn._xlws.FILTER(_xlfn.ANCHORARRAY($B$2),_xlfn.ANCHORARRAY($A$2)=$E407))</f>
        <v>#VALUE!</v>
      </c>
    </row>
    <row r="408" spans="6:6" x14ac:dyDescent="0.25">
      <c r="F408" t="e" cm="1" vm="1">
        <f t="array" ref="F408">TRANSPOSE(_xlfn._xlws.FILTER(_xlfn.ANCHORARRAY($B$2),_xlfn.ANCHORARRAY($A$2)=$E408))</f>
        <v>#VALUE!</v>
      </c>
    </row>
    <row r="409" spans="6:6" x14ac:dyDescent="0.25">
      <c r="F409" t="e" cm="1" vm="1">
        <f t="array" ref="F409">TRANSPOSE(_xlfn._xlws.FILTER(_xlfn.ANCHORARRAY($B$2),_xlfn.ANCHORARRAY($A$2)=$E409))</f>
        <v>#VALUE!</v>
      </c>
    </row>
    <row r="410" spans="6:6" x14ac:dyDescent="0.25">
      <c r="F410" t="e" cm="1" vm="1">
        <f t="array" ref="F410">TRANSPOSE(_xlfn._xlws.FILTER(_xlfn.ANCHORARRAY($B$2),_xlfn.ANCHORARRAY($A$2)=$E410))</f>
        <v>#VALUE!</v>
      </c>
    </row>
    <row r="411" spans="6:6" x14ac:dyDescent="0.25">
      <c r="F411" t="e" cm="1" vm="1">
        <f t="array" ref="F411">TRANSPOSE(_xlfn._xlws.FILTER(_xlfn.ANCHORARRAY($B$2),_xlfn.ANCHORARRAY($A$2)=$E411))</f>
        <v>#VALUE!</v>
      </c>
    </row>
    <row r="412" spans="6:6" x14ac:dyDescent="0.25">
      <c r="F412" t="e" cm="1" vm="1">
        <f t="array" ref="F412">TRANSPOSE(_xlfn._xlws.FILTER(_xlfn.ANCHORARRAY($B$2),_xlfn.ANCHORARRAY($A$2)=$E412))</f>
        <v>#VALUE!</v>
      </c>
    </row>
    <row r="413" spans="6:6" x14ac:dyDescent="0.25">
      <c r="F413" t="e" cm="1" vm="1">
        <f t="array" ref="F413">TRANSPOSE(_xlfn._xlws.FILTER(_xlfn.ANCHORARRAY($B$2),_xlfn.ANCHORARRAY($A$2)=$E413))</f>
        <v>#VALUE!</v>
      </c>
    </row>
    <row r="414" spans="6:6" x14ac:dyDescent="0.25">
      <c r="F414" t="e" cm="1" vm="1">
        <f t="array" ref="F414">TRANSPOSE(_xlfn._xlws.FILTER(_xlfn.ANCHORARRAY($B$2),_xlfn.ANCHORARRAY($A$2)=$E414))</f>
        <v>#VALUE!</v>
      </c>
    </row>
    <row r="415" spans="6:6" x14ac:dyDescent="0.25">
      <c r="F415" t="e" cm="1" vm="1">
        <f t="array" ref="F415">TRANSPOSE(_xlfn._xlws.FILTER(_xlfn.ANCHORARRAY($B$2),_xlfn.ANCHORARRAY($A$2)=$E415))</f>
        <v>#VALUE!</v>
      </c>
    </row>
    <row r="416" spans="6:6" x14ac:dyDescent="0.25">
      <c r="F416" t="e" cm="1" vm="1">
        <f t="array" ref="F416">TRANSPOSE(_xlfn._xlws.FILTER(_xlfn.ANCHORARRAY($B$2),_xlfn.ANCHORARRAY($A$2)=$E416))</f>
        <v>#VALUE!</v>
      </c>
    </row>
    <row r="417" spans="6:6" x14ac:dyDescent="0.25">
      <c r="F417" t="e" cm="1" vm="1">
        <f t="array" ref="F417">TRANSPOSE(_xlfn._xlws.FILTER(_xlfn.ANCHORARRAY($B$2),_xlfn.ANCHORARRAY($A$2)=$E417))</f>
        <v>#VALUE!</v>
      </c>
    </row>
    <row r="418" spans="6:6" x14ac:dyDescent="0.25">
      <c r="F418" t="e" cm="1" vm="1">
        <f t="array" ref="F418">TRANSPOSE(_xlfn._xlws.FILTER(_xlfn.ANCHORARRAY($B$2),_xlfn.ANCHORARRAY($A$2)=$E418))</f>
        <v>#VALUE!</v>
      </c>
    </row>
    <row r="419" spans="6:6" x14ac:dyDescent="0.25">
      <c r="F419" t="e" cm="1" vm="1">
        <f t="array" ref="F419">TRANSPOSE(_xlfn._xlws.FILTER(_xlfn.ANCHORARRAY($B$2),_xlfn.ANCHORARRAY($A$2)=$E419))</f>
        <v>#VALUE!</v>
      </c>
    </row>
    <row r="420" spans="6:6" x14ac:dyDescent="0.25">
      <c r="F420" t="e" cm="1" vm="1">
        <f t="array" ref="F420">TRANSPOSE(_xlfn._xlws.FILTER(_xlfn.ANCHORARRAY($B$2),_xlfn.ANCHORARRAY($A$2)=$E420))</f>
        <v>#VALUE!</v>
      </c>
    </row>
    <row r="421" spans="6:6" x14ac:dyDescent="0.25">
      <c r="F421" t="e" cm="1" vm="1">
        <f t="array" ref="F421">TRANSPOSE(_xlfn._xlws.FILTER(_xlfn.ANCHORARRAY($B$2),_xlfn.ANCHORARRAY($A$2)=$E421))</f>
        <v>#VALUE!</v>
      </c>
    </row>
    <row r="422" spans="6:6" x14ac:dyDescent="0.25">
      <c r="F422" t="e" cm="1" vm="1">
        <f t="array" ref="F422">TRANSPOSE(_xlfn._xlws.FILTER(_xlfn.ANCHORARRAY($B$2),_xlfn.ANCHORARRAY($A$2)=$E422))</f>
        <v>#VALUE!</v>
      </c>
    </row>
    <row r="423" spans="6:6" x14ac:dyDescent="0.25">
      <c r="F423" t="e" cm="1" vm="1">
        <f t="array" ref="F423">TRANSPOSE(_xlfn._xlws.FILTER(_xlfn.ANCHORARRAY($B$2),_xlfn.ANCHORARRAY($A$2)=$E423))</f>
        <v>#VALUE!</v>
      </c>
    </row>
    <row r="424" spans="6:6" x14ac:dyDescent="0.25">
      <c r="F424" t="e" cm="1" vm="1">
        <f t="array" ref="F424">TRANSPOSE(_xlfn._xlws.FILTER(_xlfn.ANCHORARRAY($B$2),_xlfn.ANCHORARRAY($A$2)=$E424))</f>
        <v>#VALUE!</v>
      </c>
    </row>
    <row r="425" spans="6:6" x14ac:dyDescent="0.25">
      <c r="F425" t="e" cm="1" vm="1">
        <f t="array" ref="F425">TRANSPOSE(_xlfn._xlws.FILTER(_xlfn.ANCHORARRAY($B$2),_xlfn.ANCHORARRAY($A$2)=$E425))</f>
        <v>#VALUE!</v>
      </c>
    </row>
    <row r="426" spans="6:6" x14ac:dyDescent="0.25">
      <c r="F426" t="e" cm="1" vm="1">
        <f t="array" ref="F426">TRANSPOSE(_xlfn._xlws.FILTER(_xlfn.ANCHORARRAY($B$2),_xlfn.ANCHORARRAY($A$2)=$E426))</f>
        <v>#VALUE!</v>
      </c>
    </row>
    <row r="427" spans="6:6" x14ac:dyDescent="0.25">
      <c r="F427" t="e" cm="1" vm="1">
        <f t="array" ref="F427">TRANSPOSE(_xlfn._xlws.FILTER(_xlfn.ANCHORARRAY($B$2),_xlfn.ANCHORARRAY($A$2)=$E427))</f>
        <v>#VALUE!</v>
      </c>
    </row>
    <row r="428" spans="6:6" x14ac:dyDescent="0.25">
      <c r="F428" t="e" cm="1" vm="1">
        <f t="array" ref="F428">TRANSPOSE(_xlfn._xlws.FILTER(_xlfn.ANCHORARRAY($B$2),_xlfn.ANCHORARRAY($A$2)=$E428))</f>
        <v>#VALUE!</v>
      </c>
    </row>
    <row r="429" spans="6:6" x14ac:dyDescent="0.25">
      <c r="F429" t="e" cm="1" vm="1">
        <f t="array" ref="F429">TRANSPOSE(_xlfn._xlws.FILTER(_xlfn.ANCHORARRAY($B$2),_xlfn.ANCHORARRAY($A$2)=$E429))</f>
        <v>#VALUE!</v>
      </c>
    </row>
    <row r="430" spans="6:6" x14ac:dyDescent="0.25">
      <c r="F430" t="e" cm="1" vm="1">
        <f t="array" ref="F430">TRANSPOSE(_xlfn._xlws.FILTER(_xlfn.ANCHORARRAY($B$2),_xlfn.ANCHORARRAY($A$2)=$E430))</f>
        <v>#VALUE!</v>
      </c>
    </row>
    <row r="431" spans="6:6" x14ac:dyDescent="0.25">
      <c r="F431" t="e" cm="1" vm="1">
        <f t="array" ref="F431">TRANSPOSE(_xlfn._xlws.FILTER(_xlfn.ANCHORARRAY($B$2),_xlfn.ANCHORARRAY($A$2)=$E431))</f>
        <v>#VALUE!</v>
      </c>
    </row>
    <row r="432" spans="6:6" x14ac:dyDescent="0.25">
      <c r="F432" t="e" cm="1" vm="1">
        <f t="array" ref="F432">TRANSPOSE(_xlfn._xlws.FILTER(_xlfn.ANCHORARRAY($B$2),_xlfn.ANCHORARRAY($A$2)=$E432))</f>
        <v>#VALUE!</v>
      </c>
    </row>
    <row r="433" spans="6:6" x14ac:dyDescent="0.25">
      <c r="F433" t="e" cm="1" vm="1">
        <f t="array" ref="F433">TRANSPOSE(_xlfn._xlws.FILTER(_xlfn.ANCHORARRAY($B$2),_xlfn.ANCHORARRAY($A$2)=$E433))</f>
        <v>#VALUE!</v>
      </c>
    </row>
    <row r="434" spans="6:6" x14ac:dyDescent="0.25">
      <c r="F434" t="e" cm="1" vm="1">
        <f t="array" ref="F434">TRANSPOSE(_xlfn._xlws.FILTER(_xlfn.ANCHORARRAY($B$2),_xlfn.ANCHORARRAY($A$2)=$E434))</f>
        <v>#VALUE!</v>
      </c>
    </row>
    <row r="435" spans="6:6" x14ac:dyDescent="0.25">
      <c r="F435" t="e" cm="1" vm="1">
        <f t="array" ref="F435">TRANSPOSE(_xlfn._xlws.FILTER(_xlfn.ANCHORARRAY($B$2),_xlfn.ANCHORARRAY($A$2)=$E435))</f>
        <v>#VALUE!</v>
      </c>
    </row>
    <row r="436" spans="6:6" x14ac:dyDescent="0.25">
      <c r="F436" t="e" cm="1" vm="1">
        <f t="array" ref="F436">TRANSPOSE(_xlfn._xlws.FILTER(_xlfn.ANCHORARRAY($B$2),_xlfn.ANCHORARRAY($A$2)=$E436))</f>
        <v>#VALUE!</v>
      </c>
    </row>
    <row r="437" spans="6:6" x14ac:dyDescent="0.25">
      <c r="F437" t="e" cm="1" vm="1">
        <f t="array" ref="F437">TRANSPOSE(_xlfn._xlws.FILTER(_xlfn.ANCHORARRAY($B$2),_xlfn.ANCHORARRAY($A$2)=$E437))</f>
        <v>#VALUE!</v>
      </c>
    </row>
    <row r="438" spans="6:6" x14ac:dyDescent="0.25">
      <c r="F438" t="e" cm="1" vm="1">
        <f t="array" ref="F438">TRANSPOSE(_xlfn._xlws.FILTER(_xlfn.ANCHORARRAY($B$2),_xlfn.ANCHORARRAY($A$2)=$E438))</f>
        <v>#VALUE!</v>
      </c>
    </row>
    <row r="439" spans="6:6" x14ac:dyDescent="0.25">
      <c r="F439" t="e" cm="1" vm="1">
        <f t="array" ref="F439">TRANSPOSE(_xlfn._xlws.FILTER(_xlfn.ANCHORARRAY($B$2),_xlfn.ANCHORARRAY($A$2)=$E439))</f>
        <v>#VALUE!</v>
      </c>
    </row>
    <row r="440" spans="6:6" x14ac:dyDescent="0.25">
      <c r="F440" t="e" cm="1" vm="1">
        <f t="array" ref="F440">TRANSPOSE(_xlfn._xlws.FILTER(_xlfn.ANCHORARRAY($B$2),_xlfn.ANCHORARRAY($A$2)=$E440))</f>
        <v>#VALUE!</v>
      </c>
    </row>
    <row r="441" spans="6:6" x14ac:dyDescent="0.25">
      <c r="F441" t="e" cm="1" vm="1">
        <f t="array" ref="F441">TRANSPOSE(_xlfn._xlws.FILTER(_xlfn.ANCHORARRAY($B$2),_xlfn.ANCHORARRAY($A$2)=$E441))</f>
        <v>#VALUE!</v>
      </c>
    </row>
    <row r="442" spans="6:6" x14ac:dyDescent="0.25">
      <c r="F442" t="e" cm="1" vm="1">
        <f t="array" ref="F442">TRANSPOSE(_xlfn._xlws.FILTER(_xlfn.ANCHORARRAY($B$2),_xlfn.ANCHORARRAY($A$2)=$E442))</f>
        <v>#VALUE!</v>
      </c>
    </row>
    <row r="443" spans="6:6" x14ac:dyDescent="0.25">
      <c r="F443" t="e" cm="1" vm="1">
        <f t="array" ref="F443">TRANSPOSE(_xlfn._xlws.FILTER(_xlfn.ANCHORARRAY($B$2),_xlfn.ANCHORARRAY($A$2)=$E443))</f>
        <v>#VALUE!</v>
      </c>
    </row>
    <row r="444" spans="6:6" x14ac:dyDescent="0.25">
      <c r="F444" t="e" cm="1" vm="1">
        <f t="array" ref="F444">TRANSPOSE(_xlfn._xlws.FILTER(_xlfn.ANCHORARRAY($B$2),_xlfn.ANCHORARRAY($A$2)=$E444))</f>
        <v>#VALUE!</v>
      </c>
    </row>
    <row r="445" spans="6:6" x14ac:dyDescent="0.25">
      <c r="F445" t="e" cm="1" vm="1">
        <f t="array" ref="F445">TRANSPOSE(_xlfn._xlws.FILTER(_xlfn.ANCHORARRAY($B$2),_xlfn.ANCHORARRAY($A$2)=$E445))</f>
        <v>#VALUE!</v>
      </c>
    </row>
    <row r="446" spans="6:6" x14ac:dyDescent="0.25">
      <c r="F446" t="e" cm="1" vm="1">
        <f t="array" ref="F446">TRANSPOSE(_xlfn._xlws.FILTER(_xlfn.ANCHORARRAY($B$2),_xlfn.ANCHORARRAY($A$2)=$E446))</f>
        <v>#VALUE!</v>
      </c>
    </row>
    <row r="447" spans="6:6" x14ac:dyDescent="0.25">
      <c r="F447" t="e" cm="1" vm="1">
        <f t="array" ref="F447">TRANSPOSE(_xlfn._xlws.FILTER(_xlfn.ANCHORARRAY($B$2),_xlfn.ANCHORARRAY($A$2)=$E447))</f>
        <v>#VALUE!</v>
      </c>
    </row>
    <row r="448" spans="6:6" x14ac:dyDescent="0.25">
      <c r="F448" t="e" cm="1" vm="1">
        <f t="array" ref="F448">TRANSPOSE(_xlfn._xlws.FILTER(_xlfn.ANCHORARRAY($B$2),_xlfn.ANCHORARRAY($A$2)=$E448))</f>
        <v>#VALUE!</v>
      </c>
    </row>
    <row r="449" spans="6:6" x14ac:dyDescent="0.25">
      <c r="F449" t="e" cm="1" vm="1">
        <f t="array" ref="F449">TRANSPOSE(_xlfn._xlws.FILTER(_xlfn.ANCHORARRAY($B$2),_xlfn.ANCHORARRAY($A$2)=$E449))</f>
        <v>#VALUE!</v>
      </c>
    </row>
    <row r="450" spans="6:6" x14ac:dyDescent="0.25">
      <c r="F450" t="e" cm="1" vm="1">
        <f t="array" ref="F450">TRANSPOSE(_xlfn._xlws.FILTER(_xlfn.ANCHORARRAY($B$2),_xlfn.ANCHORARRAY($A$2)=$E450))</f>
        <v>#VALUE!</v>
      </c>
    </row>
    <row r="451" spans="6:6" x14ac:dyDescent="0.25">
      <c r="F451" t="e" cm="1" vm="1">
        <f t="array" ref="F451">TRANSPOSE(_xlfn._xlws.FILTER(_xlfn.ANCHORARRAY($B$2),_xlfn.ANCHORARRAY($A$2)=$E451))</f>
        <v>#VALUE!</v>
      </c>
    </row>
    <row r="452" spans="6:6" x14ac:dyDescent="0.25">
      <c r="F452" t="e" cm="1" vm="1">
        <f t="array" ref="F452">TRANSPOSE(_xlfn._xlws.FILTER(_xlfn.ANCHORARRAY($B$2),_xlfn.ANCHORARRAY($A$2)=$E452))</f>
        <v>#VALUE!</v>
      </c>
    </row>
    <row r="453" spans="6:6" x14ac:dyDescent="0.25">
      <c r="F453" t="e" cm="1" vm="1">
        <f t="array" ref="F453">TRANSPOSE(_xlfn._xlws.FILTER(_xlfn.ANCHORARRAY($B$2),_xlfn.ANCHORARRAY($A$2)=$E453))</f>
        <v>#VALUE!</v>
      </c>
    </row>
    <row r="454" spans="6:6" x14ac:dyDescent="0.25">
      <c r="F454" t="e" cm="1" vm="1">
        <f t="array" ref="F454">TRANSPOSE(_xlfn._xlws.FILTER(_xlfn.ANCHORARRAY($B$2),_xlfn.ANCHORARRAY($A$2)=$E454))</f>
        <v>#VALUE!</v>
      </c>
    </row>
    <row r="455" spans="6:6" x14ac:dyDescent="0.25">
      <c r="F455" t="e" cm="1" vm="1">
        <f t="array" ref="F455">TRANSPOSE(_xlfn._xlws.FILTER(_xlfn.ANCHORARRAY($B$2),_xlfn.ANCHORARRAY($A$2)=$E455))</f>
        <v>#VALUE!</v>
      </c>
    </row>
    <row r="456" spans="6:6" x14ac:dyDescent="0.25">
      <c r="F456" t="e" cm="1" vm="1">
        <f t="array" ref="F456">TRANSPOSE(_xlfn._xlws.FILTER(_xlfn.ANCHORARRAY($B$2),_xlfn.ANCHORARRAY($A$2)=$E456))</f>
        <v>#VALUE!</v>
      </c>
    </row>
    <row r="457" spans="6:6" x14ac:dyDescent="0.25">
      <c r="F457" t="e" cm="1" vm="1">
        <f t="array" ref="F457">TRANSPOSE(_xlfn._xlws.FILTER(_xlfn.ANCHORARRAY($B$2),_xlfn.ANCHORARRAY($A$2)=$E457))</f>
        <v>#VALUE!</v>
      </c>
    </row>
    <row r="458" spans="6:6" x14ac:dyDescent="0.25">
      <c r="F458" t="e" cm="1" vm="1">
        <f t="array" ref="F458">TRANSPOSE(_xlfn._xlws.FILTER(_xlfn.ANCHORARRAY($B$2),_xlfn.ANCHORARRAY($A$2)=$E458))</f>
        <v>#VALUE!</v>
      </c>
    </row>
    <row r="459" spans="6:6" x14ac:dyDescent="0.25">
      <c r="F459" t="e" cm="1" vm="1">
        <f t="array" ref="F459">TRANSPOSE(_xlfn._xlws.FILTER(_xlfn.ANCHORARRAY($B$2),_xlfn.ANCHORARRAY($A$2)=$E459))</f>
        <v>#VALUE!</v>
      </c>
    </row>
    <row r="460" spans="6:6" x14ac:dyDescent="0.25">
      <c r="F460" t="e" cm="1" vm="1">
        <f t="array" ref="F460">TRANSPOSE(_xlfn._xlws.FILTER(_xlfn.ANCHORARRAY($B$2),_xlfn.ANCHORARRAY($A$2)=$E460))</f>
        <v>#VALUE!</v>
      </c>
    </row>
    <row r="461" spans="6:6" x14ac:dyDescent="0.25">
      <c r="F461" t="e" cm="1" vm="1">
        <f t="array" ref="F461">TRANSPOSE(_xlfn._xlws.FILTER(_xlfn.ANCHORARRAY($B$2),_xlfn.ANCHORARRAY($A$2)=$E461))</f>
        <v>#VALUE!</v>
      </c>
    </row>
    <row r="462" spans="6:6" x14ac:dyDescent="0.25">
      <c r="F462" t="e" cm="1" vm="1">
        <f t="array" ref="F462">TRANSPOSE(_xlfn._xlws.FILTER(_xlfn.ANCHORARRAY($B$2),_xlfn.ANCHORARRAY($A$2)=$E462))</f>
        <v>#VALUE!</v>
      </c>
    </row>
    <row r="463" spans="6:6" x14ac:dyDescent="0.25">
      <c r="F463" t="e" cm="1" vm="1">
        <f t="array" ref="F463">TRANSPOSE(_xlfn._xlws.FILTER(_xlfn.ANCHORARRAY($B$2),_xlfn.ANCHORARRAY($A$2)=$E463))</f>
        <v>#VALUE!</v>
      </c>
    </row>
    <row r="464" spans="6:6" x14ac:dyDescent="0.25">
      <c r="F464" t="e" cm="1" vm="1">
        <f t="array" ref="F464">TRANSPOSE(_xlfn._xlws.FILTER(_xlfn.ANCHORARRAY($B$2),_xlfn.ANCHORARRAY($A$2)=$E464))</f>
        <v>#VALUE!</v>
      </c>
    </row>
    <row r="465" spans="6:6" x14ac:dyDescent="0.25">
      <c r="F465" t="e" cm="1" vm="1">
        <f t="array" ref="F465">TRANSPOSE(_xlfn._xlws.FILTER(_xlfn.ANCHORARRAY($B$2),_xlfn.ANCHORARRAY($A$2)=$E465))</f>
        <v>#VALUE!</v>
      </c>
    </row>
    <row r="466" spans="6:6" x14ac:dyDescent="0.25">
      <c r="F466" t="e" cm="1" vm="1">
        <f t="array" ref="F466">TRANSPOSE(_xlfn._xlws.FILTER(_xlfn.ANCHORARRAY($B$2),_xlfn.ANCHORARRAY($A$2)=$E466))</f>
        <v>#VALUE!</v>
      </c>
    </row>
    <row r="467" spans="6:6" x14ac:dyDescent="0.25">
      <c r="F467" t="e" cm="1" vm="1">
        <f t="array" ref="F467">TRANSPOSE(_xlfn._xlws.FILTER(_xlfn.ANCHORARRAY($B$2),_xlfn.ANCHORARRAY($A$2)=$E467))</f>
        <v>#VALUE!</v>
      </c>
    </row>
    <row r="468" spans="6:6" x14ac:dyDescent="0.25">
      <c r="F468" t="e" cm="1" vm="1">
        <f t="array" ref="F468">TRANSPOSE(_xlfn._xlws.FILTER(_xlfn.ANCHORARRAY($B$2),_xlfn.ANCHORARRAY($A$2)=$E468))</f>
        <v>#VALUE!</v>
      </c>
    </row>
    <row r="469" spans="6:6" x14ac:dyDescent="0.25">
      <c r="F469" t="e" cm="1" vm="1">
        <f t="array" ref="F469">TRANSPOSE(_xlfn._xlws.FILTER(_xlfn.ANCHORARRAY($B$2),_xlfn.ANCHORARRAY($A$2)=$E469))</f>
        <v>#VALUE!</v>
      </c>
    </row>
    <row r="470" spans="6:6" x14ac:dyDescent="0.25">
      <c r="F470" t="e" cm="1" vm="1">
        <f t="array" ref="F470">TRANSPOSE(_xlfn._xlws.FILTER(_xlfn.ANCHORARRAY($B$2),_xlfn.ANCHORARRAY($A$2)=$E470))</f>
        <v>#VALUE!</v>
      </c>
    </row>
    <row r="471" spans="6:6" x14ac:dyDescent="0.25">
      <c r="F471" t="e" cm="1" vm="1">
        <f t="array" ref="F471">TRANSPOSE(_xlfn._xlws.FILTER(_xlfn.ANCHORARRAY($B$2),_xlfn.ANCHORARRAY($A$2)=$E471))</f>
        <v>#VALUE!</v>
      </c>
    </row>
    <row r="472" spans="6:6" x14ac:dyDescent="0.25">
      <c r="F472" t="e" cm="1" vm="1">
        <f t="array" ref="F472">TRANSPOSE(_xlfn._xlws.FILTER(_xlfn.ANCHORARRAY($B$2),_xlfn.ANCHORARRAY($A$2)=$E472))</f>
        <v>#VALUE!</v>
      </c>
    </row>
    <row r="473" spans="6:6" x14ac:dyDescent="0.25">
      <c r="F473" t="e" cm="1" vm="1">
        <f t="array" ref="F473">TRANSPOSE(_xlfn._xlws.FILTER(_xlfn.ANCHORARRAY($B$2),_xlfn.ANCHORARRAY($A$2)=$E473))</f>
        <v>#VALUE!</v>
      </c>
    </row>
    <row r="474" spans="6:6" x14ac:dyDescent="0.25">
      <c r="F474" t="e" cm="1" vm="1">
        <f t="array" ref="F474">TRANSPOSE(_xlfn._xlws.FILTER(_xlfn.ANCHORARRAY($B$2),_xlfn.ANCHORARRAY($A$2)=$E474))</f>
        <v>#VALUE!</v>
      </c>
    </row>
    <row r="475" spans="6:6" x14ac:dyDescent="0.25">
      <c r="F475" t="e" cm="1" vm="1">
        <f t="array" ref="F475">TRANSPOSE(_xlfn._xlws.FILTER(_xlfn.ANCHORARRAY($B$2),_xlfn.ANCHORARRAY($A$2)=$E475))</f>
        <v>#VALUE!</v>
      </c>
    </row>
    <row r="476" spans="6:6" x14ac:dyDescent="0.25">
      <c r="F476" t="e" cm="1" vm="1">
        <f t="array" ref="F476">TRANSPOSE(_xlfn._xlws.FILTER(_xlfn.ANCHORARRAY($B$2),_xlfn.ANCHORARRAY($A$2)=$E476))</f>
        <v>#VALUE!</v>
      </c>
    </row>
    <row r="477" spans="6:6" x14ac:dyDescent="0.25">
      <c r="F477" t="e" cm="1" vm="1">
        <f t="array" ref="F477">TRANSPOSE(_xlfn._xlws.FILTER(_xlfn.ANCHORARRAY($B$2),_xlfn.ANCHORARRAY($A$2)=$E477))</f>
        <v>#VALUE!</v>
      </c>
    </row>
    <row r="478" spans="6:6" x14ac:dyDescent="0.25">
      <c r="F478" t="e" cm="1" vm="1">
        <f t="array" ref="F478">TRANSPOSE(_xlfn._xlws.FILTER(_xlfn.ANCHORARRAY($B$2),_xlfn.ANCHORARRAY($A$2)=$E478))</f>
        <v>#VALUE!</v>
      </c>
    </row>
    <row r="479" spans="6:6" x14ac:dyDescent="0.25">
      <c r="F479" t="e" cm="1" vm="1">
        <f t="array" ref="F479">TRANSPOSE(_xlfn._xlws.FILTER(_xlfn.ANCHORARRAY($B$2),_xlfn.ANCHORARRAY($A$2)=$E479))</f>
        <v>#VALUE!</v>
      </c>
    </row>
    <row r="480" spans="6:6" x14ac:dyDescent="0.25">
      <c r="F480" t="e" cm="1" vm="1">
        <f t="array" ref="F480">TRANSPOSE(_xlfn._xlws.FILTER(_xlfn.ANCHORARRAY($B$2),_xlfn.ANCHORARRAY($A$2)=$E480))</f>
        <v>#VALUE!</v>
      </c>
    </row>
    <row r="481" spans="6:6" x14ac:dyDescent="0.25">
      <c r="F481" t="e" cm="1" vm="1">
        <f t="array" ref="F481">TRANSPOSE(_xlfn._xlws.FILTER(_xlfn.ANCHORARRAY($B$2),_xlfn.ANCHORARRAY($A$2)=$E481))</f>
        <v>#VALUE!</v>
      </c>
    </row>
    <row r="482" spans="6:6" x14ac:dyDescent="0.25">
      <c r="F482" t="e" cm="1" vm="1">
        <f t="array" ref="F482">TRANSPOSE(_xlfn._xlws.FILTER(_xlfn.ANCHORARRAY($B$2),_xlfn.ANCHORARRAY($A$2)=$E482))</f>
        <v>#VALUE!</v>
      </c>
    </row>
    <row r="483" spans="6:6" x14ac:dyDescent="0.25">
      <c r="F483" t="e" cm="1" vm="1">
        <f t="array" ref="F483">TRANSPOSE(_xlfn._xlws.FILTER(_xlfn.ANCHORARRAY($B$2),_xlfn.ANCHORARRAY($A$2)=$E483))</f>
        <v>#VALUE!</v>
      </c>
    </row>
    <row r="484" spans="6:6" x14ac:dyDescent="0.25">
      <c r="F484" t="e" cm="1" vm="1">
        <f t="array" ref="F484">TRANSPOSE(_xlfn._xlws.FILTER(_xlfn.ANCHORARRAY($B$2),_xlfn.ANCHORARRAY($A$2)=$E484))</f>
        <v>#VALUE!</v>
      </c>
    </row>
    <row r="485" spans="6:6" x14ac:dyDescent="0.25">
      <c r="F485" t="e" cm="1" vm="1">
        <f t="array" ref="F485">TRANSPOSE(_xlfn._xlws.FILTER(_xlfn.ANCHORARRAY($B$2),_xlfn.ANCHORARRAY($A$2)=$E485))</f>
        <v>#VALUE!</v>
      </c>
    </row>
    <row r="486" spans="6:6" x14ac:dyDescent="0.25">
      <c r="F486" t="e" cm="1" vm="1">
        <f t="array" ref="F486">TRANSPOSE(_xlfn._xlws.FILTER(_xlfn.ANCHORARRAY($B$2),_xlfn.ANCHORARRAY($A$2)=$E486))</f>
        <v>#VALUE!</v>
      </c>
    </row>
    <row r="487" spans="6:6" x14ac:dyDescent="0.25">
      <c r="F487" t="e" cm="1" vm="1">
        <f t="array" ref="F487">TRANSPOSE(_xlfn._xlws.FILTER(_xlfn.ANCHORARRAY($B$2),_xlfn.ANCHORARRAY($A$2)=$E487))</f>
        <v>#VALUE!</v>
      </c>
    </row>
    <row r="488" spans="6:6" x14ac:dyDescent="0.25">
      <c r="F488" t="e" cm="1" vm="1">
        <f t="array" ref="F488">TRANSPOSE(_xlfn._xlws.FILTER(_xlfn.ANCHORARRAY($B$2),_xlfn.ANCHORARRAY($A$2)=$E488))</f>
        <v>#VALUE!</v>
      </c>
    </row>
    <row r="489" spans="6:6" x14ac:dyDescent="0.25">
      <c r="F489" t="e" cm="1" vm="1">
        <f t="array" ref="F489">TRANSPOSE(_xlfn._xlws.FILTER(_xlfn.ANCHORARRAY($B$2),_xlfn.ANCHORARRAY($A$2)=$E489))</f>
        <v>#VALUE!</v>
      </c>
    </row>
    <row r="490" spans="6:6" x14ac:dyDescent="0.25">
      <c r="F490" t="e" cm="1" vm="1">
        <f t="array" ref="F490">TRANSPOSE(_xlfn._xlws.FILTER(_xlfn.ANCHORARRAY($B$2),_xlfn.ANCHORARRAY($A$2)=$E490))</f>
        <v>#VALUE!</v>
      </c>
    </row>
    <row r="491" spans="6:6" x14ac:dyDescent="0.25">
      <c r="F491" t="e" cm="1" vm="1">
        <f t="array" ref="F491">TRANSPOSE(_xlfn._xlws.FILTER(_xlfn.ANCHORARRAY($B$2),_xlfn.ANCHORARRAY($A$2)=$E491))</f>
        <v>#VALUE!</v>
      </c>
    </row>
    <row r="492" spans="6:6" x14ac:dyDescent="0.25">
      <c r="F492" t="e" cm="1" vm="1">
        <f t="array" ref="F492">TRANSPOSE(_xlfn._xlws.FILTER(_xlfn.ANCHORARRAY($B$2),_xlfn.ANCHORARRAY($A$2)=$E492))</f>
        <v>#VALUE!</v>
      </c>
    </row>
    <row r="493" spans="6:6" x14ac:dyDescent="0.25">
      <c r="F493" t="e" cm="1" vm="1">
        <f t="array" ref="F493">TRANSPOSE(_xlfn._xlws.FILTER(_xlfn.ANCHORARRAY($B$2),_xlfn.ANCHORARRAY($A$2)=$E493))</f>
        <v>#VALUE!</v>
      </c>
    </row>
    <row r="494" spans="6:6" x14ac:dyDescent="0.25">
      <c r="F494" t="e" cm="1" vm="1">
        <f t="array" ref="F494">TRANSPOSE(_xlfn._xlws.FILTER(_xlfn.ANCHORARRAY($B$2),_xlfn.ANCHORARRAY($A$2)=$E494))</f>
        <v>#VALUE!</v>
      </c>
    </row>
    <row r="495" spans="6:6" x14ac:dyDescent="0.25">
      <c r="F495" t="e" cm="1" vm="1">
        <f t="array" ref="F495">TRANSPOSE(_xlfn._xlws.FILTER(_xlfn.ANCHORARRAY($B$2),_xlfn.ANCHORARRAY($A$2)=$E495))</f>
        <v>#VALUE!</v>
      </c>
    </row>
    <row r="496" spans="6:6" x14ac:dyDescent="0.25">
      <c r="F496" t="e" cm="1" vm="1">
        <f t="array" ref="F496">TRANSPOSE(_xlfn._xlws.FILTER(_xlfn.ANCHORARRAY($B$2),_xlfn.ANCHORARRAY($A$2)=$E496))</f>
        <v>#VALUE!</v>
      </c>
    </row>
    <row r="497" spans="6:6" x14ac:dyDescent="0.25">
      <c r="F497" t="e" cm="1" vm="1">
        <f t="array" ref="F497">TRANSPOSE(_xlfn._xlws.FILTER(_xlfn.ANCHORARRAY($B$2),_xlfn.ANCHORARRAY($A$2)=$E497))</f>
        <v>#VALUE!</v>
      </c>
    </row>
    <row r="498" spans="6:6" x14ac:dyDescent="0.25">
      <c r="F498" t="e" cm="1" vm="1">
        <f t="array" ref="F498">TRANSPOSE(_xlfn._xlws.FILTER(_xlfn.ANCHORARRAY($B$2),_xlfn.ANCHORARRAY($A$2)=$E498))</f>
        <v>#VALUE!</v>
      </c>
    </row>
    <row r="499" spans="6:6" x14ac:dyDescent="0.25">
      <c r="F499" t="e" cm="1" vm="1">
        <f t="array" ref="F499">TRANSPOSE(_xlfn._xlws.FILTER(_xlfn.ANCHORARRAY($B$2),_xlfn.ANCHORARRAY($A$2)=$E499))</f>
        <v>#VALUE!</v>
      </c>
    </row>
    <row r="500" spans="6:6" x14ac:dyDescent="0.25">
      <c r="F500" t="e" cm="1" vm="1">
        <f t="array" ref="F500">TRANSPOSE(_xlfn._xlws.FILTER(_xlfn.ANCHORARRAY($B$2),_xlfn.ANCHORARRAY($A$2)=$E500))</f>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B1D54-B9A0-40F1-8323-405FF2335350}">
  <sheetPr codeName="Sheet8"/>
  <dimension ref="A1:F500"/>
  <sheetViews>
    <sheetView topLeftCell="A474" workbookViewId="0">
      <selection activeCell="F200" sqref="F200:F500"/>
    </sheetView>
  </sheetViews>
  <sheetFormatPr defaultRowHeight="15" x14ac:dyDescent="0.25"/>
  <cols>
    <col min="1" max="1" width="14.7109375" customWidth="1"/>
    <col min="5" max="5" width="34.28515625" bestFit="1" customWidth="1"/>
    <col min="6" max="6" width="17.5703125" bestFit="1" customWidth="1"/>
  </cols>
  <sheetData>
    <row r="1" spans="1:6" x14ac:dyDescent="0.25">
      <c r="A1" t="s">
        <v>1</v>
      </c>
      <c r="B1" t="s">
        <v>242</v>
      </c>
      <c r="D1" cm="1">
        <f t="array" ref="D1:D64">tbl_Extraction[No.]</f>
        <v>1</v>
      </c>
      <c r="E1" t="str" cm="1">
        <f t="array" ref="E1:E64">tbl_Extraction[Model]</f>
        <v>CR113_N_Case1,4_SLS_0.7EI_Hyd_a03BP1.0m</v>
      </c>
      <c r="F1" t="e" cm="1" vm="2">
        <f t="array" ref="F1">TRANSPOSE(_xlfn._xlws.FILTER(_xlfn.ANCHORARRAY($B$2),_xlfn.ANCHORARRAY($A$2)=$E1))</f>
        <v>#VALUE!</v>
      </c>
    </row>
    <row r="2" spans="1:6" x14ac:dyDescent="0.25">
      <c r="A2" t="e" cm="1" vm="1">
        <f t="array" ref="A2">_xlfn._xlws.FILTER(tbl_AllElements[Model],tbl_AllElements[Element Type]=$B$1)</f>
        <v>#VALUE!</v>
      </c>
      <c r="B2" t="e" cm="1" vm="1">
        <f t="array" ref="B2">_xlfn._xlws.FILTER(tbl_AllElements[Element Name],tbl_AllElements[Element Type]=$B$1)</f>
        <v>#VALUE!</v>
      </c>
      <c r="D2">
        <v>2</v>
      </c>
      <c r="E2" t="str">
        <v>CR113_N_Case1,4_SLS_0.7EI_Hyd_a03BP1.0m</v>
      </c>
      <c r="F2" t="e" cm="1" vm="2">
        <f t="array" ref="F2">TRANSPOSE(_xlfn._xlws.FILTER(_xlfn.ANCHORARRAY($B$2),_xlfn.ANCHORARRAY($A$2)=$E2))</f>
        <v>#VALUE!</v>
      </c>
    </row>
    <row r="3" spans="1:6" x14ac:dyDescent="0.25">
      <c r="D3">
        <v>3</v>
      </c>
      <c r="E3" t="str">
        <v>CR113_N_Case1,4_SLS_0.7EI_Hyd_a03BP1.0m</v>
      </c>
      <c r="F3" t="e" cm="1" vm="2">
        <f t="array" ref="F3">TRANSPOSE(_xlfn._xlws.FILTER(_xlfn.ANCHORARRAY($B$2),_xlfn.ANCHORARRAY($A$2)=$E3))</f>
        <v>#VALUE!</v>
      </c>
    </row>
    <row r="4" spans="1:6" x14ac:dyDescent="0.25">
      <c r="D4">
        <v>4</v>
      </c>
      <c r="E4" t="str">
        <v>CR113_N_Case1,4_SLS_0.7EI_Hyd_a03BP1.0m</v>
      </c>
      <c r="F4" t="e" cm="1" vm="2">
        <f t="array" ref="F4">TRANSPOSE(_xlfn._xlws.FILTER(_xlfn.ANCHORARRAY($B$2),_xlfn.ANCHORARRAY($A$2)=$E4))</f>
        <v>#VALUE!</v>
      </c>
    </row>
    <row r="5" spans="1:6" x14ac:dyDescent="0.25">
      <c r="D5">
        <v>5</v>
      </c>
      <c r="E5" t="str">
        <v>CR113_N_Case1,4_SLS_0.7EI_Hyd_a03BP1.0m</v>
      </c>
      <c r="F5" t="e" cm="1" vm="2">
        <f t="array" ref="F5">TRANSPOSE(_xlfn._xlws.FILTER(_xlfn.ANCHORARRAY($B$2),_xlfn.ANCHORARRAY($A$2)=$E5))</f>
        <v>#VALUE!</v>
      </c>
    </row>
    <row r="6" spans="1:6" x14ac:dyDescent="0.25">
      <c r="D6">
        <v>6</v>
      </c>
      <c r="E6" t="str">
        <v>CR113_N_Case1,4_SLS_0.7EI_Hyd_a03BP1.0m</v>
      </c>
      <c r="F6" t="e" cm="1" vm="2">
        <f t="array" ref="F6">TRANSPOSE(_xlfn._xlws.FILTER(_xlfn.ANCHORARRAY($B$2),_xlfn.ANCHORARRAY($A$2)=$E6))</f>
        <v>#VALUE!</v>
      </c>
    </row>
    <row r="7" spans="1:6" x14ac:dyDescent="0.25">
      <c r="D7">
        <v>7</v>
      </c>
      <c r="E7" t="str">
        <v>CR113_N_Case1,4_SLS_0.7EI_Hyd_a03BP1.0m</v>
      </c>
      <c r="F7" t="e" cm="1" vm="2">
        <f t="array" ref="F7">TRANSPOSE(_xlfn._xlws.FILTER(_xlfn.ANCHORARRAY($B$2),_xlfn.ANCHORARRAY($A$2)=$E7))</f>
        <v>#VALUE!</v>
      </c>
    </row>
    <row r="8" spans="1:6" x14ac:dyDescent="0.25">
      <c r="D8">
        <v>8</v>
      </c>
      <c r="E8" t="str">
        <v>CR113_N_Case1,4_SLS_0.7EI_Hyd_a03BP1.0m</v>
      </c>
      <c r="F8" t="e" cm="1" vm="2">
        <f t="array" ref="F8">TRANSPOSE(_xlfn._xlws.FILTER(_xlfn.ANCHORARRAY($B$2),_xlfn.ANCHORARRAY($A$2)=$E8))</f>
        <v>#VALUE!</v>
      </c>
    </row>
    <row r="9" spans="1:6" x14ac:dyDescent="0.25">
      <c r="D9">
        <v>9</v>
      </c>
      <c r="E9" t="str">
        <v>CR113_N_Case1,4_SLS_0.7EI_Hyd_a03BP1.0m</v>
      </c>
      <c r="F9" t="e" cm="1" vm="2">
        <f t="array" ref="F9">TRANSPOSE(_xlfn._xlws.FILTER(_xlfn.ANCHORARRAY($B$2),_xlfn.ANCHORARRAY($A$2)=$E9))</f>
        <v>#VALUE!</v>
      </c>
    </row>
    <row r="10" spans="1:6" x14ac:dyDescent="0.25">
      <c r="D10">
        <v>10</v>
      </c>
      <c r="E10" t="str">
        <v>CR113_N_Case1,4_SLS_0.7EI_Hyd_a03BP1.0m</v>
      </c>
      <c r="F10" t="e" cm="1" vm="2">
        <f t="array" ref="F10">TRANSPOSE(_xlfn._xlws.FILTER(_xlfn.ANCHORARRAY($B$2),_xlfn.ANCHORARRAY($A$2)=$E10))</f>
        <v>#VALUE!</v>
      </c>
    </row>
    <row r="11" spans="1:6" x14ac:dyDescent="0.25">
      <c r="D11">
        <v>11</v>
      </c>
      <c r="E11" t="str">
        <v>CR113_N_Case1,4_SLS_0.7EI_Hyd_a03BP1.0m</v>
      </c>
      <c r="F11" t="e" cm="1" vm="2">
        <f t="array" ref="F11">TRANSPOSE(_xlfn._xlws.FILTER(_xlfn.ANCHORARRAY($B$2),_xlfn.ANCHORARRAY($A$2)=$E11))</f>
        <v>#VALUE!</v>
      </c>
    </row>
    <row r="12" spans="1:6" x14ac:dyDescent="0.25">
      <c r="D12">
        <v>12</v>
      </c>
      <c r="E12" t="str">
        <v>CR113_N_Case1,4_SLS_0.7EI_Hyd_a03BP1.0m</v>
      </c>
      <c r="F12" t="e" cm="1" vm="2">
        <f t="array" ref="F12">TRANSPOSE(_xlfn._xlws.FILTER(_xlfn.ANCHORARRAY($B$2),_xlfn.ANCHORARRAY($A$2)=$E12))</f>
        <v>#VALUE!</v>
      </c>
    </row>
    <row r="13" spans="1:6" x14ac:dyDescent="0.25">
      <c r="D13">
        <v>13</v>
      </c>
      <c r="E13" t="str">
        <v>CR113_N_Case1,4_SLS_0.7EI_Hyd_a03BP1.0m</v>
      </c>
      <c r="F13" t="e" cm="1" vm="2">
        <f t="array" ref="F13">TRANSPOSE(_xlfn._xlws.FILTER(_xlfn.ANCHORARRAY($B$2),_xlfn.ANCHORARRAY($A$2)=$E13))</f>
        <v>#VALUE!</v>
      </c>
    </row>
    <row r="14" spans="1:6" x14ac:dyDescent="0.25">
      <c r="D14">
        <v>14</v>
      </c>
      <c r="E14" t="str">
        <v>CR113_N_Case1,4_SLS_0.7EI_Hyd_a03BP1.0m</v>
      </c>
      <c r="F14" t="e" cm="1" vm="2">
        <f t="array" ref="F14">TRANSPOSE(_xlfn._xlws.FILTER(_xlfn.ANCHORARRAY($B$2),_xlfn.ANCHORARRAY($A$2)=$E14))</f>
        <v>#VALUE!</v>
      </c>
    </row>
    <row r="15" spans="1:6" x14ac:dyDescent="0.25">
      <c r="D15">
        <v>15</v>
      </c>
      <c r="E15" t="str">
        <v>CR113_N_Case1,4_SLS_0.7EI_Hyd_a03BP1.0m</v>
      </c>
      <c r="F15" t="e" cm="1" vm="2">
        <f t="array" ref="F15">TRANSPOSE(_xlfn._xlws.FILTER(_xlfn.ANCHORARRAY($B$2),_xlfn.ANCHORARRAY($A$2)=$E15))</f>
        <v>#VALUE!</v>
      </c>
    </row>
    <row r="16" spans="1:6" x14ac:dyDescent="0.25">
      <c r="D16">
        <v>16</v>
      </c>
      <c r="E16" t="str">
        <v>CR113_N_Case1,4_SLS_0.7EI_Hyd_a03BP1.0m</v>
      </c>
      <c r="F16" t="e" cm="1" vm="2">
        <f t="array" ref="F16">TRANSPOSE(_xlfn._xlws.FILTER(_xlfn.ANCHORARRAY($B$2),_xlfn.ANCHORARRAY($A$2)=$E16))</f>
        <v>#VALUE!</v>
      </c>
    </row>
    <row r="17" spans="4:6" x14ac:dyDescent="0.25">
      <c r="D17">
        <v>17</v>
      </c>
      <c r="E17" t="str">
        <v>CR113_N_Case1,4_SLS_0.7EI_Hyd_a03BP1.0m</v>
      </c>
      <c r="F17" t="e" cm="1" vm="2">
        <f t="array" ref="F17">TRANSPOSE(_xlfn._xlws.FILTER(_xlfn.ANCHORARRAY($B$2),_xlfn.ANCHORARRAY($A$2)=$E17))</f>
        <v>#VALUE!</v>
      </c>
    </row>
    <row r="18" spans="4:6" x14ac:dyDescent="0.25">
      <c r="D18">
        <v>18</v>
      </c>
      <c r="E18" t="str">
        <v>CR113_N_Case1,4_SLS_0.7EI_Hyd_a03BP1.0m</v>
      </c>
      <c r="F18" t="e" cm="1" vm="2">
        <f t="array" ref="F18">TRANSPOSE(_xlfn._xlws.FILTER(_xlfn.ANCHORARRAY($B$2),_xlfn.ANCHORARRAY($A$2)=$E18))</f>
        <v>#VALUE!</v>
      </c>
    </row>
    <row r="19" spans="4:6" x14ac:dyDescent="0.25">
      <c r="D19">
        <v>19</v>
      </c>
      <c r="E19" t="str">
        <v>CR113_N_Case1,4_SLS_0.7EI_Hyd_a03BP1.0m</v>
      </c>
      <c r="F19" t="e" cm="1" vm="2">
        <f t="array" ref="F19">TRANSPOSE(_xlfn._xlws.FILTER(_xlfn.ANCHORARRAY($B$2),_xlfn.ANCHORARRAY($A$2)=$E19))</f>
        <v>#VALUE!</v>
      </c>
    </row>
    <row r="20" spans="4:6" x14ac:dyDescent="0.25">
      <c r="D20">
        <v>20</v>
      </c>
      <c r="E20" t="str">
        <v>CR113_N_Case1,4_SLS_0.7EI_Hyd_a03BP1.0m</v>
      </c>
      <c r="F20" t="e" cm="1" vm="2">
        <f t="array" ref="F20">TRANSPOSE(_xlfn._xlws.FILTER(_xlfn.ANCHORARRAY($B$2),_xlfn.ANCHORARRAY($A$2)=$E20))</f>
        <v>#VALUE!</v>
      </c>
    </row>
    <row r="21" spans="4:6" x14ac:dyDescent="0.25">
      <c r="D21">
        <v>21</v>
      </c>
      <c r="E21" t="str">
        <v>CR113_N_Case1,4_SLS_0.7EI_Hyd_a03BP1.0m</v>
      </c>
      <c r="F21" t="e" cm="1" vm="2">
        <f t="array" ref="F21">TRANSPOSE(_xlfn._xlws.FILTER(_xlfn.ANCHORARRAY($B$2),_xlfn.ANCHORARRAY($A$2)=$E21))</f>
        <v>#VALUE!</v>
      </c>
    </row>
    <row r="22" spans="4:6" x14ac:dyDescent="0.25">
      <c r="D22">
        <v>22</v>
      </c>
      <c r="E22" t="str">
        <v>CR113_N_Case1,4_SLS_0.7EI_Hyd_a03BP1.0m</v>
      </c>
      <c r="F22" t="e" cm="1" vm="2">
        <f t="array" ref="F22">TRANSPOSE(_xlfn._xlws.FILTER(_xlfn.ANCHORARRAY($B$2),_xlfn.ANCHORARRAY($A$2)=$E22))</f>
        <v>#VALUE!</v>
      </c>
    </row>
    <row r="23" spans="4:6" x14ac:dyDescent="0.25">
      <c r="D23">
        <v>23</v>
      </c>
      <c r="E23" t="str">
        <v>CR113_N_Case1,4_SLS_0.7EI_Hyd_a03BP1.0m</v>
      </c>
      <c r="F23" t="e" cm="1" vm="2">
        <f t="array" ref="F23">TRANSPOSE(_xlfn._xlws.FILTER(_xlfn.ANCHORARRAY($B$2),_xlfn.ANCHORARRAY($A$2)=$E23))</f>
        <v>#VALUE!</v>
      </c>
    </row>
    <row r="24" spans="4:6" x14ac:dyDescent="0.25">
      <c r="D24">
        <v>24</v>
      </c>
      <c r="E24" t="str">
        <v>CR113_N_Case1,4_SLS_0.7EI_Hyd_a03BP1.0m</v>
      </c>
      <c r="F24" t="e" cm="1" vm="2">
        <f t="array" ref="F24">TRANSPOSE(_xlfn._xlws.FILTER(_xlfn.ANCHORARRAY($B$2),_xlfn.ANCHORARRAY($A$2)=$E24))</f>
        <v>#VALUE!</v>
      </c>
    </row>
    <row r="25" spans="4:6" x14ac:dyDescent="0.25">
      <c r="D25">
        <v>25</v>
      </c>
      <c r="E25" t="str">
        <v>CR113_N_Case1,4_SLS_0.7EI_Hyd_a03BP1.0m</v>
      </c>
      <c r="F25" t="e" cm="1" vm="2">
        <f t="array" ref="F25">TRANSPOSE(_xlfn._xlws.FILTER(_xlfn.ANCHORARRAY($B$2),_xlfn.ANCHORARRAY($A$2)=$E25))</f>
        <v>#VALUE!</v>
      </c>
    </row>
    <row r="26" spans="4:6" x14ac:dyDescent="0.25">
      <c r="D26">
        <v>26</v>
      </c>
      <c r="E26" t="str">
        <v>CR113_N_Case2_ULS1_1.0EI_Hyd_a03BP1.0m</v>
      </c>
      <c r="F26" t="e" cm="1" vm="2">
        <f t="array" ref="F26">TRANSPOSE(_xlfn._xlws.FILTER(_xlfn.ANCHORARRAY($B$2),_xlfn.ANCHORARRAY($A$2)=$E26))</f>
        <v>#VALUE!</v>
      </c>
    </row>
    <row r="27" spans="4:6" x14ac:dyDescent="0.25">
      <c r="D27">
        <v>27</v>
      </c>
      <c r="E27" t="str">
        <v>CR113_N_Case2_ULS1_1.0EI_Hyd_a03BP1.0m</v>
      </c>
      <c r="F27" t="e" cm="1" vm="2">
        <f t="array" ref="F27">TRANSPOSE(_xlfn._xlws.FILTER(_xlfn.ANCHORARRAY($B$2),_xlfn.ANCHORARRAY($A$2)=$E27))</f>
        <v>#VALUE!</v>
      </c>
    </row>
    <row r="28" spans="4:6" x14ac:dyDescent="0.25">
      <c r="D28">
        <v>28</v>
      </c>
      <c r="E28" t="str">
        <v>CR113_N_Case2_ULS1_1.0EI_Hyd_a03BP1.0m</v>
      </c>
      <c r="F28" t="e" cm="1" vm="2">
        <f t="array" ref="F28">TRANSPOSE(_xlfn._xlws.FILTER(_xlfn.ANCHORARRAY($B$2),_xlfn.ANCHORARRAY($A$2)=$E28))</f>
        <v>#VALUE!</v>
      </c>
    </row>
    <row r="29" spans="4:6" x14ac:dyDescent="0.25">
      <c r="D29">
        <v>29</v>
      </c>
      <c r="E29" t="str">
        <v>CR113_N_Case2_ULS1_1.0EI_Hyd_a03BP1.0m</v>
      </c>
      <c r="F29" t="e" cm="1" vm="2">
        <f t="array" ref="F29">TRANSPOSE(_xlfn._xlws.FILTER(_xlfn.ANCHORARRAY($B$2),_xlfn.ANCHORARRAY($A$2)=$E29))</f>
        <v>#VALUE!</v>
      </c>
    </row>
    <row r="30" spans="4:6" x14ac:dyDescent="0.25">
      <c r="D30">
        <v>30</v>
      </c>
      <c r="E30" t="str">
        <v>CR113_N_Case3_ULS2_1.0EI_Hyd_a03BP1.0m</v>
      </c>
      <c r="F30" t="e" cm="1" vm="2">
        <f t="array" ref="F30">TRANSPOSE(_xlfn._xlws.FILTER(_xlfn.ANCHORARRAY($B$2),_xlfn.ANCHORARRAY($A$2)=$E30))</f>
        <v>#VALUE!</v>
      </c>
    </row>
    <row r="31" spans="4:6" x14ac:dyDescent="0.25">
      <c r="D31">
        <v>31</v>
      </c>
      <c r="E31" t="str">
        <v>CR113_N_Case3_ULS2_1.0EI_Hyd_a03BP1.0m</v>
      </c>
      <c r="F31" t="e" cm="1" vm="2">
        <f t="array" ref="F31">TRANSPOSE(_xlfn._xlws.FILTER(_xlfn.ANCHORARRAY($B$2),_xlfn.ANCHORARRAY($A$2)=$E31))</f>
        <v>#VALUE!</v>
      </c>
    </row>
    <row r="32" spans="4:6" x14ac:dyDescent="0.25">
      <c r="D32">
        <v>32</v>
      </c>
      <c r="E32" t="str">
        <v>CR113_N_Case3_ULS2_1.0EI_Hyd_a03BP1.0m</v>
      </c>
      <c r="F32" t="e" cm="1" vm="2">
        <f t="array" ref="F32">TRANSPOSE(_xlfn._xlws.FILTER(_xlfn.ANCHORARRAY($B$2),_xlfn.ANCHORARRAY($A$2)=$E32))</f>
        <v>#VALUE!</v>
      </c>
    </row>
    <row r="33" spans="4:6" x14ac:dyDescent="0.25">
      <c r="D33">
        <v>33</v>
      </c>
      <c r="E33" t="str">
        <v>CR113_N_Case3_ULS2_1.0EI_Hyd_a03BP1.0m</v>
      </c>
      <c r="F33" t="e" cm="1" vm="2">
        <f t="array" ref="F33">TRANSPOSE(_xlfn._xlws.FILTER(_xlfn.ANCHORARRAY($B$2),_xlfn.ANCHORARRAY($A$2)=$E33))</f>
        <v>#VALUE!</v>
      </c>
    </row>
    <row r="34" spans="4:6" x14ac:dyDescent="0.25">
      <c r="D34">
        <v>34</v>
      </c>
      <c r="E34" t="str">
        <v>CR113_N_Case5,8_SLS_0.7EI_SpG_a03BP1.0m</v>
      </c>
      <c r="F34" t="e" cm="1" vm="2">
        <f t="array" ref="F34">TRANSPOSE(_xlfn._xlws.FILTER(_xlfn.ANCHORARRAY($B$2),_xlfn.ANCHORARRAY($A$2)=$E34))</f>
        <v>#VALUE!</v>
      </c>
    </row>
    <row r="35" spans="4:6" x14ac:dyDescent="0.25">
      <c r="D35">
        <v>35</v>
      </c>
      <c r="E35" t="str">
        <v>CR113_N_Case5,8_SLS_0.7EI_SpG_a03BP1.0m</v>
      </c>
      <c r="F35" t="e" cm="1" vm="2">
        <f t="array" ref="F35">TRANSPOSE(_xlfn._xlws.FILTER(_xlfn.ANCHORARRAY($B$2),_xlfn.ANCHORARRAY($A$2)=$E35))</f>
        <v>#VALUE!</v>
      </c>
    </row>
    <row r="36" spans="4:6" x14ac:dyDescent="0.25">
      <c r="D36">
        <v>36</v>
      </c>
      <c r="E36" t="str">
        <v>CR113_N_Case5,8_SLS_0.7EI_SpG_a03BP1.0m</v>
      </c>
      <c r="F36" t="e" cm="1" vm="2">
        <f t="array" ref="F36">TRANSPOSE(_xlfn._xlws.FILTER(_xlfn.ANCHORARRAY($B$2),_xlfn.ANCHORARRAY($A$2)=$E36))</f>
        <v>#VALUE!</v>
      </c>
    </row>
    <row r="37" spans="4:6" x14ac:dyDescent="0.25">
      <c r="D37">
        <v>37</v>
      </c>
      <c r="E37" t="str">
        <v>CR113_N_Case5,8_SLS_0.7EI_SpG_a03BP1.0m</v>
      </c>
      <c r="F37" t="e" cm="1" vm="2">
        <f t="array" ref="F37">TRANSPOSE(_xlfn._xlws.FILTER(_xlfn.ANCHORARRAY($B$2),_xlfn.ANCHORARRAY($A$2)=$E37))</f>
        <v>#VALUE!</v>
      </c>
    </row>
    <row r="38" spans="4:6" x14ac:dyDescent="0.25">
      <c r="D38">
        <v>38</v>
      </c>
      <c r="E38" t="str">
        <v>CR113_N_Case5,8_SLS_0.7EI_SpG_a03BP1.0m</v>
      </c>
      <c r="F38" t="e" cm="1" vm="2">
        <f t="array" ref="F38">TRANSPOSE(_xlfn._xlws.FILTER(_xlfn.ANCHORARRAY($B$2),_xlfn.ANCHORARRAY($A$2)=$E38))</f>
        <v>#VALUE!</v>
      </c>
    </row>
    <row r="39" spans="4:6" x14ac:dyDescent="0.25">
      <c r="D39">
        <v>39</v>
      </c>
      <c r="E39" t="str">
        <v>CR113_N_Case5,8_SLS_0.7EI_SpG_a03BP1.0m</v>
      </c>
      <c r="F39" t="e" cm="1" vm="2">
        <f t="array" ref="F39">TRANSPOSE(_xlfn._xlws.FILTER(_xlfn.ANCHORARRAY($B$2),_xlfn.ANCHORARRAY($A$2)=$E39))</f>
        <v>#VALUE!</v>
      </c>
    </row>
    <row r="40" spans="4:6" x14ac:dyDescent="0.25">
      <c r="D40">
        <v>40</v>
      </c>
      <c r="E40" t="str">
        <v>CR113_N_Case5,8_SLS_0.7EI_SpG_a03BP1.0m</v>
      </c>
      <c r="F40" t="e" cm="1" vm="2">
        <f t="array" ref="F40">TRANSPOSE(_xlfn._xlws.FILTER(_xlfn.ANCHORARRAY($B$2),_xlfn.ANCHORARRAY($A$2)=$E40))</f>
        <v>#VALUE!</v>
      </c>
    </row>
    <row r="41" spans="4:6" x14ac:dyDescent="0.25">
      <c r="D41">
        <v>41</v>
      </c>
      <c r="E41" t="str">
        <v>CR113_N_Case5,8_SLS_0.7EI_SpG_a03BP1.0m</v>
      </c>
      <c r="F41" t="e" cm="1" vm="2">
        <f t="array" ref="F41">TRANSPOSE(_xlfn._xlws.FILTER(_xlfn.ANCHORARRAY($B$2),_xlfn.ANCHORARRAY($A$2)=$E41))</f>
        <v>#VALUE!</v>
      </c>
    </row>
    <row r="42" spans="4:6" x14ac:dyDescent="0.25">
      <c r="D42">
        <v>42</v>
      </c>
      <c r="E42" t="str">
        <v>CR113_N_Case5,8_SLS_0.7EI_SpG_a03BP1.0m</v>
      </c>
      <c r="F42" t="e" cm="1" vm="2">
        <f t="array" ref="F42">TRANSPOSE(_xlfn._xlws.FILTER(_xlfn.ANCHORARRAY($B$2),_xlfn.ANCHORARRAY($A$2)=$E42))</f>
        <v>#VALUE!</v>
      </c>
    </row>
    <row r="43" spans="4:6" x14ac:dyDescent="0.25">
      <c r="D43">
        <v>43</v>
      </c>
      <c r="E43" t="str">
        <v>CR113_N_Case5,8_SLS_0.7EI_SpG_a03BP1.0m</v>
      </c>
      <c r="F43" t="e" cm="1" vm="2">
        <f t="array" ref="F43">TRANSPOSE(_xlfn._xlws.FILTER(_xlfn.ANCHORARRAY($B$2),_xlfn.ANCHORARRAY($A$2)=$E43))</f>
        <v>#VALUE!</v>
      </c>
    </row>
    <row r="44" spans="4:6" x14ac:dyDescent="0.25">
      <c r="D44">
        <v>44</v>
      </c>
      <c r="E44" t="str">
        <v>CR113_N_Case5,8_SLS_0.7EI_SpG_a03BP1.0m</v>
      </c>
      <c r="F44" t="e" cm="1" vm="2">
        <f t="array" ref="F44">TRANSPOSE(_xlfn._xlws.FILTER(_xlfn.ANCHORARRAY($B$2),_xlfn.ANCHORARRAY($A$2)=$E44))</f>
        <v>#VALUE!</v>
      </c>
    </row>
    <row r="45" spans="4:6" x14ac:dyDescent="0.25">
      <c r="D45">
        <v>45</v>
      </c>
      <c r="E45" t="str">
        <v>CR113_N_Case5,8_SLS_0.7EI_SpG_a03BP1.0m</v>
      </c>
      <c r="F45" t="e" cm="1" vm="2">
        <f t="array" ref="F45">TRANSPOSE(_xlfn._xlws.FILTER(_xlfn.ANCHORARRAY($B$2),_xlfn.ANCHORARRAY($A$2)=$E45))</f>
        <v>#VALUE!</v>
      </c>
    </row>
    <row r="46" spans="4:6" x14ac:dyDescent="0.25">
      <c r="D46">
        <v>46</v>
      </c>
      <c r="E46" t="str">
        <v>CR113_N_Case5,8_SLS_0.7EI_SpG_a03BP1.0m</v>
      </c>
      <c r="F46" t="e" cm="1" vm="2">
        <f t="array" ref="F46">TRANSPOSE(_xlfn._xlws.FILTER(_xlfn.ANCHORARRAY($B$2),_xlfn.ANCHORARRAY($A$2)=$E46))</f>
        <v>#VALUE!</v>
      </c>
    </row>
    <row r="47" spans="4:6" x14ac:dyDescent="0.25">
      <c r="D47">
        <v>47</v>
      </c>
      <c r="E47" t="str">
        <v>CR113_N_Case5,8_SLS_0.7EI_SpG_a03BP1.0m</v>
      </c>
      <c r="F47" t="e" cm="1" vm="2">
        <f t="array" ref="F47">TRANSPOSE(_xlfn._xlws.FILTER(_xlfn.ANCHORARRAY($B$2),_xlfn.ANCHORARRAY($A$2)=$E47))</f>
        <v>#VALUE!</v>
      </c>
    </row>
    <row r="48" spans="4:6" x14ac:dyDescent="0.25">
      <c r="D48">
        <v>48</v>
      </c>
      <c r="E48" t="str">
        <v>CR113_N_Case5,8_SLS_0.7EI_SpG_a03BP1.0m</v>
      </c>
      <c r="F48" t="e" cm="1" vm="2">
        <f t="array" ref="F48">TRANSPOSE(_xlfn._xlws.FILTER(_xlfn.ANCHORARRAY($B$2),_xlfn.ANCHORARRAY($A$2)=$E48))</f>
        <v>#VALUE!</v>
      </c>
    </row>
    <row r="49" spans="4:6" x14ac:dyDescent="0.25">
      <c r="D49">
        <v>49</v>
      </c>
      <c r="E49" t="str">
        <v>CR113_N_Case5,8_SLS_0.7EI_SpG_a03BP1.0m</v>
      </c>
      <c r="F49" t="e" cm="1" vm="2">
        <f t="array" ref="F49">TRANSPOSE(_xlfn._xlws.FILTER(_xlfn.ANCHORARRAY($B$2),_xlfn.ANCHORARRAY($A$2)=$E49))</f>
        <v>#VALUE!</v>
      </c>
    </row>
    <row r="50" spans="4:6" x14ac:dyDescent="0.25">
      <c r="D50">
        <v>50</v>
      </c>
      <c r="E50" t="str">
        <v>CR113_N_Case5,8_SLS_0.7EI_SpG_a03BP1.0m</v>
      </c>
      <c r="F50" t="e" cm="1" vm="2">
        <f t="array" ref="F50">TRANSPOSE(_xlfn._xlws.FILTER(_xlfn.ANCHORARRAY($B$2),_xlfn.ANCHORARRAY($A$2)=$E50))</f>
        <v>#VALUE!</v>
      </c>
    </row>
    <row r="51" spans="4:6" x14ac:dyDescent="0.25">
      <c r="D51">
        <v>51</v>
      </c>
      <c r="E51" t="str">
        <v>CR113_N_Case5,8_SLS_0.7EI_SpG_a03BP1.0m</v>
      </c>
      <c r="F51" t="e" cm="1" vm="2">
        <f t="array" ref="F51">TRANSPOSE(_xlfn._xlws.FILTER(_xlfn.ANCHORARRAY($B$2),_xlfn.ANCHORARRAY($A$2)=$E51))</f>
        <v>#VALUE!</v>
      </c>
    </row>
    <row r="52" spans="4:6" x14ac:dyDescent="0.25">
      <c r="D52">
        <v>52</v>
      </c>
      <c r="E52" t="str">
        <v>CR113_N_Case5,8_SLS_0.7EI_SpG_a03BP1.0m</v>
      </c>
      <c r="F52" t="e" cm="1" vm="2">
        <f t="array" ref="F52">TRANSPOSE(_xlfn._xlws.FILTER(_xlfn.ANCHORARRAY($B$2),_xlfn.ANCHORARRAY($A$2)=$E52))</f>
        <v>#VALUE!</v>
      </c>
    </row>
    <row r="53" spans="4:6" x14ac:dyDescent="0.25">
      <c r="D53">
        <v>53</v>
      </c>
      <c r="E53" t="str">
        <v>CR113_N_Case5,8_SLS_0.7EI_SpG_a03BP1.0m</v>
      </c>
      <c r="F53" t="e" cm="1" vm="2">
        <f t="array" ref="F53">TRANSPOSE(_xlfn._xlws.FILTER(_xlfn.ANCHORARRAY($B$2),_xlfn.ANCHORARRAY($A$2)=$E53))</f>
        <v>#VALUE!</v>
      </c>
    </row>
    <row r="54" spans="4:6" x14ac:dyDescent="0.25">
      <c r="D54">
        <v>54</v>
      </c>
      <c r="E54" t="str">
        <v>CR113_N_Case5,8_SLS_0.7EI_SpG_a03BP1.0m</v>
      </c>
      <c r="F54" t="e" cm="1" vm="2">
        <f t="array" ref="F54">TRANSPOSE(_xlfn._xlws.FILTER(_xlfn.ANCHORARRAY($B$2),_xlfn.ANCHORARRAY($A$2)=$E54))</f>
        <v>#VALUE!</v>
      </c>
    </row>
    <row r="55" spans="4:6" x14ac:dyDescent="0.25">
      <c r="D55">
        <v>55</v>
      </c>
      <c r="E55" t="str">
        <v>CR113_N_Case5,8_SLS_0.7EI_SpG_a03BP1.0m</v>
      </c>
      <c r="F55" t="e" cm="1" vm="2">
        <f t="array" ref="F55">TRANSPOSE(_xlfn._xlws.FILTER(_xlfn.ANCHORARRAY($B$2),_xlfn.ANCHORARRAY($A$2)=$E55))</f>
        <v>#VALUE!</v>
      </c>
    </row>
    <row r="56" spans="4:6" x14ac:dyDescent="0.25">
      <c r="D56">
        <v>56</v>
      </c>
      <c r="E56" t="str">
        <v>CR113_N_Case6,7_ULS1_1.0EI_SpG_a03BP1.0m</v>
      </c>
      <c r="F56" t="e" cm="1" vm="2">
        <f t="array" ref="F56">TRANSPOSE(_xlfn._xlws.FILTER(_xlfn.ANCHORARRAY($B$2),_xlfn.ANCHORARRAY($A$2)=$E56))</f>
        <v>#VALUE!</v>
      </c>
    </row>
    <row r="57" spans="4:6" x14ac:dyDescent="0.25">
      <c r="D57">
        <v>57</v>
      </c>
      <c r="E57" t="str">
        <v>CR113_N_Case6,7_ULS1_1.0EI_SpG_a03BP1.0m</v>
      </c>
      <c r="F57" t="e" cm="1" vm="2">
        <f t="array" ref="F57">TRANSPOSE(_xlfn._xlws.FILTER(_xlfn.ANCHORARRAY($B$2),_xlfn.ANCHORARRAY($A$2)=$E57))</f>
        <v>#VALUE!</v>
      </c>
    </row>
    <row r="58" spans="4:6" x14ac:dyDescent="0.25">
      <c r="D58">
        <v>58</v>
      </c>
      <c r="E58" t="str">
        <v>CR113_N_Case6,7_ULS1_1.0EI_SpG_a03BP1.0m</v>
      </c>
      <c r="F58" t="e" cm="1" vm="2">
        <f t="array" ref="F58">TRANSPOSE(_xlfn._xlws.FILTER(_xlfn.ANCHORARRAY($B$2),_xlfn.ANCHORARRAY($A$2)=$E58))</f>
        <v>#VALUE!</v>
      </c>
    </row>
    <row r="59" spans="4:6" x14ac:dyDescent="0.25">
      <c r="D59">
        <v>59</v>
      </c>
      <c r="E59" t="str">
        <v>CR113_N_Case6,7_ULS1_1.0EI_SpG_a03BP1.0m</v>
      </c>
      <c r="F59" t="e" cm="1" vm="2">
        <f t="array" ref="F59">TRANSPOSE(_xlfn._xlws.FILTER(_xlfn.ANCHORARRAY($B$2),_xlfn.ANCHORARRAY($A$2)=$E59))</f>
        <v>#VALUE!</v>
      </c>
    </row>
    <row r="60" spans="4:6" x14ac:dyDescent="0.25">
      <c r="D60">
        <v>60</v>
      </c>
      <c r="E60" t="str">
        <v>CR113_N_Case6,7_ULS1_1.0EI_SpG_a03BP1.0m</v>
      </c>
      <c r="F60" t="e" cm="1" vm="2">
        <f t="array" ref="F60">TRANSPOSE(_xlfn._xlws.FILTER(_xlfn.ANCHORARRAY($B$2),_xlfn.ANCHORARRAY($A$2)=$E60))</f>
        <v>#VALUE!</v>
      </c>
    </row>
    <row r="61" spans="4:6" x14ac:dyDescent="0.25">
      <c r="D61">
        <v>61</v>
      </c>
      <c r="E61" t="str">
        <v>CR113_N_Case6,7_ULS1_1.0EI_SpG_a03BP1.0m</v>
      </c>
      <c r="F61" t="e" cm="1" vm="2">
        <f t="array" ref="F61">TRANSPOSE(_xlfn._xlws.FILTER(_xlfn.ANCHORARRAY($B$2),_xlfn.ANCHORARRAY($A$2)=$E61))</f>
        <v>#VALUE!</v>
      </c>
    </row>
    <row r="62" spans="4:6" x14ac:dyDescent="0.25">
      <c r="D62">
        <v>62</v>
      </c>
      <c r="E62" t="str">
        <v>CR113_N_Case6,7_ULS1_1.0EI_SpG_a03BP1.0m</v>
      </c>
      <c r="F62" t="e" cm="1" vm="2">
        <f t="array" ref="F62">TRANSPOSE(_xlfn._xlws.FILTER(_xlfn.ANCHORARRAY($B$2),_xlfn.ANCHORARRAY($A$2)=$E62))</f>
        <v>#VALUE!</v>
      </c>
    </row>
    <row r="63" spans="4:6" x14ac:dyDescent="0.25">
      <c r="D63">
        <v>63</v>
      </c>
      <c r="E63" t="str">
        <v>CR113_N_Case6,7_ULS1_1.0EI_SpG_a03BP1.0m</v>
      </c>
      <c r="F63" t="e" cm="1" vm="2">
        <f t="array" ref="F63">TRANSPOSE(_xlfn._xlws.FILTER(_xlfn.ANCHORARRAY($B$2),_xlfn.ANCHORARRAY($A$2)=$E63))</f>
        <v>#VALUE!</v>
      </c>
    </row>
    <row r="64" spans="4:6" x14ac:dyDescent="0.25">
      <c r="D64">
        <v>64</v>
      </c>
      <c r="E64" t="str">
        <v>CR113_N_Case6,7_ULS1_1.0EI_SpG_a03BP1.0m</v>
      </c>
      <c r="F64" t="e" cm="1" vm="2">
        <f t="array" ref="F64">TRANSPOSE(_xlfn._xlws.FILTER(_xlfn.ANCHORARRAY($B$2),_xlfn.ANCHORARRAY($A$2)=$E64))</f>
        <v>#VALUE!</v>
      </c>
    </row>
    <row r="65" spans="6:6" x14ac:dyDescent="0.25">
      <c r="F65" t="e" cm="1" vm="2">
        <f t="array" ref="F65">TRANSPOSE(_xlfn._xlws.FILTER(_xlfn.ANCHORARRAY($B$2),_xlfn.ANCHORARRAY($A$2)=$E65))</f>
        <v>#VALUE!</v>
      </c>
    </row>
    <row r="66" spans="6:6" x14ac:dyDescent="0.25">
      <c r="F66" t="e" cm="1" vm="2">
        <f t="array" ref="F66">TRANSPOSE(_xlfn._xlws.FILTER(_xlfn.ANCHORARRAY($B$2),_xlfn.ANCHORARRAY($A$2)=$E66))</f>
        <v>#VALUE!</v>
      </c>
    </row>
    <row r="67" spans="6:6" x14ac:dyDescent="0.25">
      <c r="F67" t="e" cm="1" vm="2">
        <f t="array" ref="F67">TRANSPOSE(_xlfn._xlws.FILTER(_xlfn.ANCHORARRAY($B$2),_xlfn.ANCHORARRAY($A$2)=$E67))</f>
        <v>#VALUE!</v>
      </c>
    </row>
    <row r="68" spans="6:6" x14ac:dyDescent="0.25">
      <c r="F68" t="e" cm="1" vm="2">
        <f t="array" ref="F68">TRANSPOSE(_xlfn._xlws.FILTER(_xlfn.ANCHORARRAY($B$2),_xlfn.ANCHORARRAY($A$2)=$E68))</f>
        <v>#VALUE!</v>
      </c>
    </row>
    <row r="69" spans="6:6" x14ac:dyDescent="0.25">
      <c r="F69" t="e" cm="1" vm="2">
        <f t="array" ref="F69">TRANSPOSE(_xlfn._xlws.FILTER(_xlfn.ANCHORARRAY($B$2),_xlfn.ANCHORARRAY($A$2)=$E69))</f>
        <v>#VALUE!</v>
      </c>
    </row>
    <row r="70" spans="6:6" x14ac:dyDescent="0.25">
      <c r="F70" t="e" cm="1" vm="2">
        <f t="array" ref="F70">TRANSPOSE(_xlfn._xlws.FILTER(_xlfn.ANCHORARRAY($B$2),_xlfn.ANCHORARRAY($A$2)=$E70))</f>
        <v>#VALUE!</v>
      </c>
    </row>
    <row r="71" spans="6:6" x14ac:dyDescent="0.25">
      <c r="F71" t="e" cm="1" vm="2">
        <f t="array" ref="F71">TRANSPOSE(_xlfn._xlws.FILTER(_xlfn.ANCHORARRAY($B$2),_xlfn.ANCHORARRAY($A$2)=$E71))</f>
        <v>#VALUE!</v>
      </c>
    </row>
    <row r="72" spans="6:6" x14ac:dyDescent="0.25">
      <c r="F72" t="e" cm="1" vm="2">
        <f t="array" ref="F72">TRANSPOSE(_xlfn._xlws.FILTER(_xlfn.ANCHORARRAY($B$2),_xlfn.ANCHORARRAY($A$2)=$E72))</f>
        <v>#VALUE!</v>
      </c>
    </row>
    <row r="73" spans="6:6" x14ac:dyDescent="0.25">
      <c r="F73" t="e" cm="1" vm="2">
        <f t="array" ref="F73">TRANSPOSE(_xlfn._xlws.FILTER(_xlfn.ANCHORARRAY($B$2),_xlfn.ANCHORARRAY($A$2)=$E73))</f>
        <v>#VALUE!</v>
      </c>
    </row>
    <row r="74" spans="6:6" x14ac:dyDescent="0.25">
      <c r="F74" t="e" cm="1" vm="2">
        <f t="array" ref="F74">TRANSPOSE(_xlfn._xlws.FILTER(_xlfn.ANCHORARRAY($B$2),_xlfn.ANCHORARRAY($A$2)=$E74))</f>
        <v>#VALUE!</v>
      </c>
    </row>
    <row r="75" spans="6:6" x14ac:dyDescent="0.25">
      <c r="F75" t="e" cm="1" vm="2">
        <f t="array" ref="F75">TRANSPOSE(_xlfn._xlws.FILTER(_xlfn.ANCHORARRAY($B$2),_xlfn.ANCHORARRAY($A$2)=$E75))</f>
        <v>#VALUE!</v>
      </c>
    </row>
    <row r="76" spans="6:6" x14ac:dyDescent="0.25">
      <c r="F76" t="e" cm="1" vm="2">
        <f t="array" ref="F76">TRANSPOSE(_xlfn._xlws.FILTER(_xlfn.ANCHORARRAY($B$2),_xlfn.ANCHORARRAY($A$2)=$E76))</f>
        <v>#VALUE!</v>
      </c>
    </row>
    <row r="77" spans="6:6" x14ac:dyDescent="0.25">
      <c r="F77" t="e" cm="1" vm="2">
        <f t="array" ref="F77">TRANSPOSE(_xlfn._xlws.FILTER(_xlfn.ANCHORARRAY($B$2),_xlfn.ANCHORARRAY($A$2)=$E77))</f>
        <v>#VALUE!</v>
      </c>
    </row>
    <row r="78" spans="6:6" x14ac:dyDescent="0.25">
      <c r="F78" t="e" cm="1" vm="2">
        <f t="array" ref="F78">TRANSPOSE(_xlfn._xlws.FILTER(_xlfn.ANCHORARRAY($B$2),_xlfn.ANCHORARRAY($A$2)=$E78))</f>
        <v>#VALUE!</v>
      </c>
    </row>
    <row r="79" spans="6:6" x14ac:dyDescent="0.25">
      <c r="F79" t="e" cm="1" vm="2">
        <f t="array" ref="F79">TRANSPOSE(_xlfn._xlws.FILTER(_xlfn.ANCHORARRAY($B$2),_xlfn.ANCHORARRAY($A$2)=$E79))</f>
        <v>#VALUE!</v>
      </c>
    </row>
    <row r="80" spans="6:6" x14ac:dyDescent="0.25">
      <c r="F80" t="e" cm="1" vm="2">
        <f t="array" ref="F80">TRANSPOSE(_xlfn._xlws.FILTER(_xlfn.ANCHORARRAY($B$2),_xlfn.ANCHORARRAY($A$2)=$E80))</f>
        <v>#VALUE!</v>
      </c>
    </row>
    <row r="81" spans="6:6" x14ac:dyDescent="0.25">
      <c r="F81" t="e" cm="1" vm="2">
        <f t="array" ref="F81">TRANSPOSE(_xlfn._xlws.FILTER(_xlfn.ANCHORARRAY($B$2),_xlfn.ANCHORARRAY($A$2)=$E81))</f>
        <v>#VALUE!</v>
      </c>
    </row>
    <row r="82" spans="6:6" x14ac:dyDescent="0.25">
      <c r="F82" t="e" cm="1" vm="2">
        <f t="array" ref="F82">TRANSPOSE(_xlfn._xlws.FILTER(_xlfn.ANCHORARRAY($B$2),_xlfn.ANCHORARRAY($A$2)=$E82))</f>
        <v>#VALUE!</v>
      </c>
    </row>
    <row r="83" spans="6:6" x14ac:dyDescent="0.25">
      <c r="F83" t="e" cm="1" vm="2">
        <f t="array" ref="F83">TRANSPOSE(_xlfn._xlws.FILTER(_xlfn.ANCHORARRAY($B$2),_xlfn.ANCHORARRAY($A$2)=$E83))</f>
        <v>#VALUE!</v>
      </c>
    </row>
    <row r="84" spans="6:6" x14ac:dyDescent="0.25">
      <c r="F84" t="e" cm="1" vm="2">
        <f t="array" ref="F84">TRANSPOSE(_xlfn._xlws.FILTER(_xlfn.ANCHORARRAY($B$2),_xlfn.ANCHORARRAY($A$2)=$E84))</f>
        <v>#VALUE!</v>
      </c>
    </row>
    <row r="85" spans="6:6" x14ac:dyDescent="0.25">
      <c r="F85" t="e" cm="1" vm="2">
        <f t="array" ref="F85">TRANSPOSE(_xlfn._xlws.FILTER(_xlfn.ANCHORARRAY($B$2),_xlfn.ANCHORARRAY($A$2)=$E85))</f>
        <v>#VALUE!</v>
      </c>
    </row>
    <row r="86" spans="6:6" x14ac:dyDescent="0.25">
      <c r="F86" t="e" cm="1" vm="2">
        <f t="array" ref="F86">TRANSPOSE(_xlfn._xlws.FILTER(_xlfn.ANCHORARRAY($B$2),_xlfn.ANCHORARRAY($A$2)=$E86))</f>
        <v>#VALUE!</v>
      </c>
    </row>
    <row r="87" spans="6:6" x14ac:dyDescent="0.25">
      <c r="F87" t="e" cm="1" vm="2">
        <f t="array" ref="F87">TRANSPOSE(_xlfn._xlws.FILTER(_xlfn.ANCHORARRAY($B$2),_xlfn.ANCHORARRAY($A$2)=$E87))</f>
        <v>#VALUE!</v>
      </c>
    </row>
    <row r="88" spans="6:6" x14ac:dyDescent="0.25">
      <c r="F88" t="e" cm="1" vm="2">
        <f t="array" ref="F88">TRANSPOSE(_xlfn._xlws.FILTER(_xlfn.ANCHORARRAY($B$2),_xlfn.ANCHORARRAY($A$2)=$E88))</f>
        <v>#VALUE!</v>
      </c>
    </row>
    <row r="89" spans="6:6" x14ac:dyDescent="0.25">
      <c r="F89" t="e" cm="1" vm="2">
        <f t="array" ref="F89">TRANSPOSE(_xlfn._xlws.FILTER(_xlfn.ANCHORARRAY($B$2),_xlfn.ANCHORARRAY($A$2)=$E89))</f>
        <v>#VALUE!</v>
      </c>
    </row>
    <row r="90" spans="6:6" x14ac:dyDescent="0.25">
      <c r="F90" t="e" cm="1" vm="2">
        <f t="array" ref="F90">TRANSPOSE(_xlfn._xlws.FILTER(_xlfn.ANCHORARRAY($B$2),_xlfn.ANCHORARRAY($A$2)=$E90))</f>
        <v>#VALUE!</v>
      </c>
    </row>
    <row r="91" spans="6:6" x14ac:dyDescent="0.25">
      <c r="F91" t="e" cm="1" vm="2">
        <f t="array" ref="F91">TRANSPOSE(_xlfn._xlws.FILTER(_xlfn.ANCHORARRAY($B$2),_xlfn.ANCHORARRAY($A$2)=$E91))</f>
        <v>#VALUE!</v>
      </c>
    </row>
    <row r="92" spans="6:6" x14ac:dyDescent="0.25">
      <c r="F92" t="e" cm="1" vm="2">
        <f t="array" ref="F92">TRANSPOSE(_xlfn._xlws.FILTER(_xlfn.ANCHORARRAY($B$2),_xlfn.ANCHORARRAY($A$2)=$E92))</f>
        <v>#VALUE!</v>
      </c>
    </row>
    <row r="93" spans="6:6" x14ac:dyDescent="0.25">
      <c r="F93" t="e" cm="1" vm="2">
        <f t="array" ref="F93">TRANSPOSE(_xlfn._xlws.FILTER(_xlfn.ANCHORARRAY($B$2),_xlfn.ANCHORARRAY($A$2)=$E93))</f>
        <v>#VALUE!</v>
      </c>
    </row>
    <row r="94" spans="6:6" x14ac:dyDescent="0.25">
      <c r="F94" t="e" cm="1" vm="2">
        <f t="array" ref="F94">TRANSPOSE(_xlfn._xlws.FILTER(_xlfn.ANCHORARRAY($B$2),_xlfn.ANCHORARRAY($A$2)=$E94))</f>
        <v>#VALUE!</v>
      </c>
    </row>
    <row r="95" spans="6:6" x14ac:dyDescent="0.25">
      <c r="F95" t="e" cm="1" vm="2">
        <f t="array" ref="F95">TRANSPOSE(_xlfn._xlws.FILTER(_xlfn.ANCHORARRAY($B$2),_xlfn.ANCHORARRAY($A$2)=$E95))</f>
        <v>#VALUE!</v>
      </c>
    </row>
    <row r="96" spans="6:6" x14ac:dyDescent="0.25">
      <c r="F96" t="e" cm="1" vm="2">
        <f t="array" ref="F96">TRANSPOSE(_xlfn._xlws.FILTER(_xlfn.ANCHORARRAY($B$2),_xlfn.ANCHORARRAY($A$2)=$E96))</f>
        <v>#VALUE!</v>
      </c>
    </row>
    <row r="97" spans="6:6" x14ac:dyDescent="0.25">
      <c r="F97" t="e" cm="1" vm="2">
        <f t="array" ref="F97">TRANSPOSE(_xlfn._xlws.FILTER(_xlfn.ANCHORARRAY($B$2),_xlfn.ANCHORARRAY($A$2)=$E97))</f>
        <v>#VALUE!</v>
      </c>
    </row>
    <row r="98" spans="6:6" x14ac:dyDescent="0.25">
      <c r="F98" t="e" cm="1" vm="2">
        <f t="array" ref="F98">TRANSPOSE(_xlfn._xlws.FILTER(_xlfn.ANCHORARRAY($B$2),_xlfn.ANCHORARRAY($A$2)=$E98))</f>
        <v>#VALUE!</v>
      </c>
    </row>
    <row r="99" spans="6:6" x14ac:dyDescent="0.25">
      <c r="F99" t="e" cm="1" vm="2">
        <f t="array" ref="F99">TRANSPOSE(_xlfn._xlws.FILTER(_xlfn.ANCHORARRAY($B$2),_xlfn.ANCHORARRAY($A$2)=$E99))</f>
        <v>#VALUE!</v>
      </c>
    </row>
    <row r="100" spans="6:6" x14ac:dyDescent="0.25">
      <c r="F100" t="e" cm="1" vm="2">
        <f t="array" ref="F100">TRANSPOSE(_xlfn._xlws.FILTER(_xlfn.ANCHORARRAY($B$2),_xlfn.ANCHORARRAY($A$2)=$E100))</f>
        <v>#VALUE!</v>
      </c>
    </row>
    <row r="101" spans="6:6" x14ac:dyDescent="0.25">
      <c r="F101" t="e" cm="1" vm="2">
        <f t="array" ref="F101">TRANSPOSE(_xlfn._xlws.FILTER(_xlfn.ANCHORARRAY($B$2),_xlfn.ANCHORARRAY($A$2)=$E101))</f>
        <v>#VALUE!</v>
      </c>
    </row>
    <row r="102" spans="6:6" x14ac:dyDescent="0.25">
      <c r="F102" t="e" cm="1" vm="2">
        <f t="array" ref="F102">TRANSPOSE(_xlfn._xlws.FILTER(_xlfn.ANCHORARRAY($B$2),_xlfn.ANCHORARRAY($A$2)=$E102))</f>
        <v>#VALUE!</v>
      </c>
    </row>
    <row r="103" spans="6:6" x14ac:dyDescent="0.25">
      <c r="F103" t="e" cm="1" vm="2">
        <f t="array" ref="F103">TRANSPOSE(_xlfn._xlws.FILTER(_xlfn.ANCHORARRAY($B$2),_xlfn.ANCHORARRAY($A$2)=$E103))</f>
        <v>#VALUE!</v>
      </c>
    </row>
    <row r="104" spans="6:6" x14ac:dyDescent="0.25">
      <c r="F104" t="e" cm="1" vm="2">
        <f t="array" ref="F104">TRANSPOSE(_xlfn._xlws.FILTER(_xlfn.ANCHORARRAY($B$2),_xlfn.ANCHORARRAY($A$2)=$E104))</f>
        <v>#VALUE!</v>
      </c>
    </row>
    <row r="105" spans="6:6" x14ac:dyDescent="0.25">
      <c r="F105" t="e" cm="1" vm="2">
        <f t="array" ref="F105">TRANSPOSE(_xlfn._xlws.FILTER(_xlfn.ANCHORARRAY($B$2),_xlfn.ANCHORARRAY($A$2)=$E105))</f>
        <v>#VALUE!</v>
      </c>
    </row>
    <row r="106" spans="6:6" x14ac:dyDescent="0.25">
      <c r="F106" t="e" cm="1" vm="2">
        <f t="array" ref="F106">TRANSPOSE(_xlfn._xlws.FILTER(_xlfn.ANCHORARRAY($B$2),_xlfn.ANCHORARRAY($A$2)=$E106))</f>
        <v>#VALUE!</v>
      </c>
    </row>
    <row r="107" spans="6:6" x14ac:dyDescent="0.25">
      <c r="F107" t="e" cm="1" vm="2">
        <f t="array" ref="F107">TRANSPOSE(_xlfn._xlws.FILTER(_xlfn.ANCHORARRAY($B$2),_xlfn.ANCHORARRAY($A$2)=$E107))</f>
        <v>#VALUE!</v>
      </c>
    </row>
    <row r="108" spans="6:6" x14ac:dyDescent="0.25">
      <c r="F108" t="e" cm="1" vm="2">
        <f t="array" ref="F108">TRANSPOSE(_xlfn._xlws.FILTER(_xlfn.ANCHORARRAY($B$2),_xlfn.ANCHORARRAY($A$2)=$E108))</f>
        <v>#VALUE!</v>
      </c>
    </row>
    <row r="109" spans="6:6" x14ac:dyDescent="0.25">
      <c r="F109" t="e" cm="1" vm="2">
        <f t="array" ref="F109">TRANSPOSE(_xlfn._xlws.FILTER(_xlfn.ANCHORARRAY($B$2),_xlfn.ANCHORARRAY($A$2)=$E109))</f>
        <v>#VALUE!</v>
      </c>
    </row>
    <row r="110" spans="6:6" x14ac:dyDescent="0.25">
      <c r="F110" t="e" cm="1" vm="2">
        <f t="array" ref="F110">TRANSPOSE(_xlfn._xlws.FILTER(_xlfn.ANCHORARRAY($B$2),_xlfn.ANCHORARRAY($A$2)=$E110))</f>
        <v>#VALUE!</v>
      </c>
    </row>
    <row r="111" spans="6:6" x14ac:dyDescent="0.25">
      <c r="F111" t="e" cm="1" vm="2">
        <f t="array" ref="F111">TRANSPOSE(_xlfn._xlws.FILTER(_xlfn.ANCHORARRAY($B$2),_xlfn.ANCHORARRAY($A$2)=$E111))</f>
        <v>#VALUE!</v>
      </c>
    </row>
    <row r="112" spans="6:6" x14ac:dyDescent="0.25">
      <c r="F112" t="e" cm="1" vm="2">
        <f t="array" ref="F112">TRANSPOSE(_xlfn._xlws.FILTER(_xlfn.ANCHORARRAY($B$2),_xlfn.ANCHORARRAY($A$2)=$E112))</f>
        <v>#VALUE!</v>
      </c>
    </row>
    <row r="113" spans="6:6" x14ac:dyDescent="0.25">
      <c r="F113" t="e" cm="1" vm="2">
        <f t="array" ref="F113">TRANSPOSE(_xlfn._xlws.FILTER(_xlfn.ANCHORARRAY($B$2),_xlfn.ANCHORARRAY($A$2)=$E113))</f>
        <v>#VALUE!</v>
      </c>
    </row>
    <row r="114" spans="6:6" x14ac:dyDescent="0.25">
      <c r="F114" t="e" cm="1" vm="2">
        <f t="array" ref="F114">TRANSPOSE(_xlfn._xlws.FILTER(_xlfn.ANCHORARRAY($B$2),_xlfn.ANCHORARRAY($A$2)=$E114))</f>
        <v>#VALUE!</v>
      </c>
    </row>
    <row r="115" spans="6:6" x14ac:dyDescent="0.25">
      <c r="F115" t="e" cm="1" vm="2">
        <f t="array" ref="F115">TRANSPOSE(_xlfn._xlws.FILTER(_xlfn.ANCHORARRAY($B$2),_xlfn.ANCHORARRAY($A$2)=$E115))</f>
        <v>#VALUE!</v>
      </c>
    </row>
    <row r="116" spans="6:6" x14ac:dyDescent="0.25">
      <c r="F116" t="e" cm="1" vm="2">
        <f t="array" ref="F116">TRANSPOSE(_xlfn._xlws.FILTER(_xlfn.ANCHORARRAY($B$2),_xlfn.ANCHORARRAY($A$2)=$E116))</f>
        <v>#VALUE!</v>
      </c>
    </row>
    <row r="117" spans="6:6" x14ac:dyDescent="0.25">
      <c r="F117" t="e" cm="1" vm="2">
        <f t="array" ref="F117">TRANSPOSE(_xlfn._xlws.FILTER(_xlfn.ANCHORARRAY($B$2),_xlfn.ANCHORARRAY($A$2)=$E117))</f>
        <v>#VALUE!</v>
      </c>
    </row>
    <row r="118" spans="6:6" x14ac:dyDescent="0.25">
      <c r="F118" t="e" cm="1" vm="2">
        <f t="array" ref="F118">TRANSPOSE(_xlfn._xlws.FILTER(_xlfn.ANCHORARRAY($B$2),_xlfn.ANCHORARRAY($A$2)=$E118))</f>
        <v>#VALUE!</v>
      </c>
    </row>
    <row r="119" spans="6:6" x14ac:dyDescent="0.25">
      <c r="F119" t="e" cm="1" vm="2">
        <f t="array" ref="F119">TRANSPOSE(_xlfn._xlws.FILTER(_xlfn.ANCHORARRAY($B$2),_xlfn.ANCHORARRAY($A$2)=$E119))</f>
        <v>#VALUE!</v>
      </c>
    </row>
    <row r="120" spans="6:6" x14ac:dyDescent="0.25">
      <c r="F120" t="e" cm="1" vm="2">
        <f t="array" ref="F120">TRANSPOSE(_xlfn._xlws.FILTER(_xlfn.ANCHORARRAY($B$2),_xlfn.ANCHORARRAY($A$2)=$E120))</f>
        <v>#VALUE!</v>
      </c>
    </row>
    <row r="121" spans="6:6" x14ac:dyDescent="0.25">
      <c r="F121" t="e" cm="1" vm="2">
        <f t="array" ref="F121">TRANSPOSE(_xlfn._xlws.FILTER(_xlfn.ANCHORARRAY($B$2),_xlfn.ANCHORARRAY($A$2)=$E121))</f>
        <v>#VALUE!</v>
      </c>
    </row>
    <row r="122" spans="6:6" x14ac:dyDescent="0.25">
      <c r="F122" t="e" cm="1" vm="2">
        <f t="array" ref="F122">TRANSPOSE(_xlfn._xlws.FILTER(_xlfn.ANCHORARRAY($B$2),_xlfn.ANCHORARRAY($A$2)=$E122))</f>
        <v>#VALUE!</v>
      </c>
    </row>
    <row r="123" spans="6:6" x14ac:dyDescent="0.25">
      <c r="F123" t="e" cm="1" vm="2">
        <f t="array" ref="F123">TRANSPOSE(_xlfn._xlws.FILTER(_xlfn.ANCHORARRAY($B$2),_xlfn.ANCHORARRAY($A$2)=$E123))</f>
        <v>#VALUE!</v>
      </c>
    </row>
    <row r="124" spans="6:6" x14ac:dyDescent="0.25">
      <c r="F124" t="e" cm="1" vm="2">
        <f t="array" ref="F124">TRANSPOSE(_xlfn._xlws.FILTER(_xlfn.ANCHORARRAY($B$2),_xlfn.ANCHORARRAY($A$2)=$E124))</f>
        <v>#VALUE!</v>
      </c>
    </row>
    <row r="125" spans="6:6" x14ac:dyDescent="0.25">
      <c r="F125" t="e" cm="1" vm="2">
        <f t="array" ref="F125">TRANSPOSE(_xlfn._xlws.FILTER(_xlfn.ANCHORARRAY($B$2),_xlfn.ANCHORARRAY($A$2)=$E125))</f>
        <v>#VALUE!</v>
      </c>
    </row>
    <row r="126" spans="6:6" x14ac:dyDescent="0.25">
      <c r="F126" t="e" cm="1" vm="2">
        <f t="array" ref="F126">TRANSPOSE(_xlfn._xlws.FILTER(_xlfn.ANCHORARRAY($B$2),_xlfn.ANCHORARRAY($A$2)=$E126))</f>
        <v>#VALUE!</v>
      </c>
    </row>
    <row r="127" spans="6:6" x14ac:dyDescent="0.25">
      <c r="F127" t="e" cm="1" vm="2">
        <f t="array" ref="F127">TRANSPOSE(_xlfn._xlws.FILTER(_xlfn.ANCHORARRAY($B$2),_xlfn.ANCHORARRAY($A$2)=$E127))</f>
        <v>#VALUE!</v>
      </c>
    </row>
    <row r="128" spans="6:6" x14ac:dyDescent="0.25">
      <c r="F128" t="e" cm="1" vm="2">
        <f t="array" ref="F128">TRANSPOSE(_xlfn._xlws.FILTER(_xlfn.ANCHORARRAY($B$2),_xlfn.ANCHORARRAY($A$2)=$E128))</f>
        <v>#VALUE!</v>
      </c>
    </row>
    <row r="129" spans="6:6" x14ac:dyDescent="0.25">
      <c r="F129" t="e" cm="1" vm="2">
        <f t="array" ref="F129">TRANSPOSE(_xlfn._xlws.FILTER(_xlfn.ANCHORARRAY($B$2),_xlfn.ANCHORARRAY($A$2)=$E129))</f>
        <v>#VALUE!</v>
      </c>
    </row>
    <row r="130" spans="6:6" x14ac:dyDescent="0.25">
      <c r="F130" t="e" cm="1" vm="2">
        <f t="array" ref="F130">TRANSPOSE(_xlfn._xlws.FILTER(_xlfn.ANCHORARRAY($B$2),_xlfn.ANCHORARRAY($A$2)=$E130))</f>
        <v>#VALUE!</v>
      </c>
    </row>
    <row r="131" spans="6:6" x14ac:dyDescent="0.25">
      <c r="F131" t="e" cm="1" vm="2">
        <f t="array" ref="F131">TRANSPOSE(_xlfn._xlws.FILTER(_xlfn.ANCHORARRAY($B$2),_xlfn.ANCHORARRAY($A$2)=$E131))</f>
        <v>#VALUE!</v>
      </c>
    </row>
    <row r="132" spans="6:6" x14ac:dyDescent="0.25">
      <c r="F132" t="e" cm="1" vm="2">
        <f t="array" ref="F132">TRANSPOSE(_xlfn._xlws.FILTER(_xlfn.ANCHORARRAY($B$2),_xlfn.ANCHORARRAY($A$2)=$E132))</f>
        <v>#VALUE!</v>
      </c>
    </row>
    <row r="133" spans="6:6" x14ac:dyDescent="0.25">
      <c r="F133" t="e" cm="1" vm="2">
        <f t="array" ref="F133">TRANSPOSE(_xlfn._xlws.FILTER(_xlfn.ANCHORARRAY($B$2),_xlfn.ANCHORARRAY($A$2)=$E133))</f>
        <v>#VALUE!</v>
      </c>
    </row>
    <row r="134" spans="6:6" x14ac:dyDescent="0.25">
      <c r="F134" t="e" cm="1" vm="2">
        <f t="array" ref="F134">TRANSPOSE(_xlfn._xlws.FILTER(_xlfn.ANCHORARRAY($B$2),_xlfn.ANCHORARRAY($A$2)=$E134))</f>
        <v>#VALUE!</v>
      </c>
    </row>
    <row r="135" spans="6:6" x14ac:dyDescent="0.25">
      <c r="F135" t="e" cm="1" vm="2">
        <f t="array" ref="F135">TRANSPOSE(_xlfn._xlws.FILTER(_xlfn.ANCHORARRAY($B$2),_xlfn.ANCHORARRAY($A$2)=$E135))</f>
        <v>#VALUE!</v>
      </c>
    </row>
    <row r="136" spans="6:6" x14ac:dyDescent="0.25">
      <c r="F136" t="e" cm="1" vm="2">
        <f t="array" ref="F136">TRANSPOSE(_xlfn._xlws.FILTER(_xlfn.ANCHORARRAY($B$2),_xlfn.ANCHORARRAY($A$2)=$E136))</f>
        <v>#VALUE!</v>
      </c>
    </row>
    <row r="137" spans="6:6" x14ac:dyDescent="0.25">
      <c r="F137" t="e" cm="1" vm="2">
        <f t="array" ref="F137">TRANSPOSE(_xlfn._xlws.FILTER(_xlfn.ANCHORARRAY($B$2),_xlfn.ANCHORARRAY($A$2)=$E137))</f>
        <v>#VALUE!</v>
      </c>
    </row>
    <row r="138" spans="6:6" x14ac:dyDescent="0.25">
      <c r="F138" t="e" cm="1" vm="2">
        <f t="array" ref="F138">TRANSPOSE(_xlfn._xlws.FILTER(_xlfn.ANCHORARRAY($B$2),_xlfn.ANCHORARRAY($A$2)=$E138))</f>
        <v>#VALUE!</v>
      </c>
    </row>
    <row r="139" spans="6:6" x14ac:dyDescent="0.25">
      <c r="F139" t="e" cm="1" vm="2">
        <f t="array" ref="F139">TRANSPOSE(_xlfn._xlws.FILTER(_xlfn.ANCHORARRAY($B$2),_xlfn.ANCHORARRAY($A$2)=$E139))</f>
        <v>#VALUE!</v>
      </c>
    </row>
    <row r="140" spans="6:6" x14ac:dyDescent="0.25">
      <c r="F140" t="e" cm="1" vm="2">
        <f t="array" ref="F140">TRANSPOSE(_xlfn._xlws.FILTER(_xlfn.ANCHORARRAY($B$2),_xlfn.ANCHORARRAY($A$2)=$E140))</f>
        <v>#VALUE!</v>
      </c>
    </row>
    <row r="141" spans="6:6" x14ac:dyDescent="0.25">
      <c r="F141" t="e" cm="1" vm="2">
        <f t="array" ref="F141">TRANSPOSE(_xlfn._xlws.FILTER(_xlfn.ANCHORARRAY($B$2),_xlfn.ANCHORARRAY($A$2)=$E141))</f>
        <v>#VALUE!</v>
      </c>
    </row>
    <row r="142" spans="6:6" x14ac:dyDescent="0.25">
      <c r="F142" t="e" cm="1" vm="2">
        <f t="array" ref="F142">TRANSPOSE(_xlfn._xlws.FILTER(_xlfn.ANCHORARRAY($B$2),_xlfn.ANCHORARRAY($A$2)=$E142))</f>
        <v>#VALUE!</v>
      </c>
    </row>
    <row r="143" spans="6:6" x14ac:dyDescent="0.25">
      <c r="F143" t="e" cm="1" vm="2">
        <f t="array" ref="F143">TRANSPOSE(_xlfn._xlws.FILTER(_xlfn.ANCHORARRAY($B$2),_xlfn.ANCHORARRAY($A$2)=$E143))</f>
        <v>#VALUE!</v>
      </c>
    </row>
    <row r="144" spans="6:6" x14ac:dyDescent="0.25">
      <c r="F144" t="e" cm="1" vm="2">
        <f t="array" ref="F144">TRANSPOSE(_xlfn._xlws.FILTER(_xlfn.ANCHORARRAY($B$2),_xlfn.ANCHORARRAY($A$2)=$E144))</f>
        <v>#VALUE!</v>
      </c>
    </row>
    <row r="145" spans="6:6" x14ac:dyDescent="0.25">
      <c r="F145" t="e" cm="1" vm="2">
        <f t="array" ref="F145">TRANSPOSE(_xlfn._xlws.FILTER(_xlfn.ANCHORARRAY($B$2),_xlfn.ANCHORARRAY($A$2)=$E145))</f>
        <v>#VALUE!</v>
      </c>
    </row>
    <row r="146" spans="6:6" x14ac:dyDescent="0.25">
      <c r="F146" t="e" cm="1" vm="2">
        <f t="array" ref="F146">TRANSPOSE(_xlfn._xlws.FILTER(_xlfn.ANCHORARRAY($B$2),_xlfn.ANCHORARRAY($A$2)=$E146))</f>
        <v>#VALUE!</v>
      </c>
    </row>
    <row r="147" spans="6:6" x14ac:dyDescent="0.25">
      <c r="F147" t="e" cm="1" vm="2">
        <f t="array" ref="F147">TRANSPOSE(_xlfn._xlws.FILTER(_xlfn.ANCHORARRAY($B$2),_xlfn.ANCHORARRAY($A$2)=$E147))</f>
        <v>#VALUE!</v>
      </c>
    </row>
    <row r="148" spans="6:6" x14ac:dyDescent="0.25">
      <c r="F148" t="e" cm="1" vm="2">
        <f t="array" ref="F148">TRANSPOSE(_xlfn._xlws.FILTER(_xlfn.ANCHORARRAY($B$2),_xlfn.ANCHORARRAY($A$2)=$E148))</f>
        <v>#VALUE!</v>
      </c>
    </row>
    <row r="149" spans="6:6" x14ac:dyDescent="0.25">
      <c r="F149" t="e" cm="1" vm="2">
        <f t="array" ref="F149">TRANSPOSE(_xlfn._xlws.FILTER(_xlfn.ANCHORARRAY($B$2),_xlfn.ANCHORARRAY($A$2)=$E149))</f>
        <v>#VALUE!</v>
      </c>
    </row>
    <row r="150" spans="6:6" x14ac:dyDescent="0.25">
      <c r="F150" t="e" cm="1" vm="2">
        <f t="array" ref="F150">TRANSPOSE(_xlfn._xlws.FILTER(_xlfn.ANCHORARRAY($B$2),_xlfn.ANCHORARRAY($A$2)=$E150))</f>
        <v>#VALUE!</v>
      </c>
    </row>
    <row r="151" spans="6:6" x14ac:dyDescent="0.25">
      <c r="F151" t="e" cm="1" vm="2">
        <f t="array" ref="F151">TRANSPOSE(_xlfn._xlws.FILTER(_xlfn.ANCHORARRAY($B$2),_xlfn.ANCHORARRAY($A$2)=$E151))</f>
        <v>#VALUE!</v>
      </c>
    </row>
    <row r="152" spans="6:6" x14ac:dyDescent="0.25">
      <c r="F152" t="e" cm="1" vm="2">
        <f t="array" ref="F152">TRANSPOSE(_xlfn._xlws.FILTER(_xlfn.ANCHORARRAY($B$2),_xlfn.ANCHORARRAY($A$2)=$E152))</f>
        <v>#VALUE!</v>
      </c>
    </row>
    <row r="153" spans="6:6" x14ac:dyDescent="0.25">
      <c r="F153" t="e" cm="1" vm="2">
        <f t="array" ref="F153">TRANSPOSE(_xlfn._xlws.FILTER(_xlfn.ANCHORARRAY($B$2),_xlfn.ANCHORARRAY($A$2)=$E153))</f>
        <v>#VALUE!</v>
      </c>
    </row>
    <row r="154" spans="6:6" x14ac:dyDescent="0.25">
      <c r="F154" t="e" cm="1" vm="2">
        <f t="array" ref="F154">TRANSPOSE(_xlfn._xlws.FILTER(_xlfn.ANCHORARRAY($B$2),_xlfn.ANCHORARRAY($A$2)=$E154))</f>
        <v>#VALUE!</v>
      </c>
    </row>
    <row r="155" spans="6:6" x14ac:dyDescent="0.25">
      <c r="F155" t="e" cm="1" vm="2">
        <f t="array" ref="F155">TRANSPOSE(_xlfn._xlws.FILTER(_xlfn.ANCHORARRAY($B$2),_xlfn.ANCHORARRAY($A$2)=$E155))</f>
        <v>#VALUE!</v>
      </c>
    </row>
    <row r="156" spans="6:6" x14ac:dyDescent="0.25">
      <c r="F156" t="e" cm="1" vm="2">
        <f t="array" ref="F156">TRANSPOSE(_xlfn._xlws.FILTER(_xlfn.ANCHORARRAY($B$2),_xlfn.ANCHORARRAY($A$2)=$E156))</f>
        <v>#VALUE!</v>
      </c>
    </row>
    <row r="157" spans="6:6" x14ac:dyDescent="0.25">
      <c r="F157" t="e" cm="1" vm="2">
        <f t="array" ref="F157">TRANSPOSE(_xlfn._xlws.FILTER(_xlfn.ANCHORARRAY($B$2),_xlfn.ANCHORARRAY($A$2)=$E157))</f>
        <v>#VALUE!</v>
      </c>
    </row>
    <row r="158" spans="6:6" x14ac:dyDescent="0.25">
      <c r="F158" t="e" cm="1" vm="2">
        <f t="array" ref="F158">TRANSPOSE(_xlfn._xlws.FILTER(_xlfn.ANCHORARRAY($B$2),_xlfn.ANCHORARRAY($A$2)=$E158))</f>
        <v>#VALUE!</v>
      </c>
    </row>
    <row r="159" spans="6:6" x14ac:dyDescent="0.25">
      <c r="F159" t="e" cm="1" vm="2">
        <f t="array" ref="F159">TRANSPOSE(_xlfn._xlws.FILTER(_xlfn.ANCHORARRAY($B$2),_xlfn.ANCHORARRAY($A$2)=$E159))</f>
        <v>#VALUE!</v>
      </c>
    </row>
    <row r="160" spans="6:6" x14ac:dyDescent="0.25">
      <c r="F160" t="e" cm="1" vm="2">
        <f t="array" ref="F160">TRANSPOSE(_xlfn._xlws.FILTER(_xlfn.ANCHORARRAY($B$2),_xlfn.ANCHORARRAY($A$2)=$E160))</f>
        <v>#VALUE!</v>
      </c>
    </row>
    <row r="161" spans="6:6" x14ac:dyDescent="0.25">
      <c r="F161" t="e" cm="1" vm="2">
        <f t="array" ref="F161">TRANSPOSE(_xlfn._xlws.FILTER(_xlfn.ANCHORARRAY($B$2),_xlfn.ANCHORARRAY($A$2)=$E161))</f>
        <v>#VALUE!</v>
      </c>
    </row>
    <row r="162" spans="6:6" x14ac:dyDescent="0.25">
      <c r="F162" t="e" cm="1" vm="2">
        <f t="array" ref="F162">TRANSPOSE(_xlfn._xlws.FILTER(_xlfn.ANCHORARRAY($B$2),_xlfn.ANCHORARRAY($A$2)=$E162))</f>
        <v>#VALUE!</v>
      </c>
    </row>
    <row r="163" spans="6:6" x14ac:dyDescent="0.25">
      <c r="F163" t="e" cm="1" vm="2">
        <f t="array" ref="F163">TRANSPOSE(_xlfn._xlws.FILTER(_xlfn.ANCHORARRAY($B$2),_xlfn.ANCHORARRAY($A$2)=$E163))</f>
        <v>#VALUE!</v>
      </c>
    </row>
    <row r="164" spans="6:6" x14ac:dyDescent="0.25">
      <c r="F164" t="e" cm="1" vm="2">
        <f t="array" ref="F164">TRANSPOSE(_xlfn._xlws.FILTER(_xlfn.ANCHORARRAY($B$2),_xlfn.ANCHORARRAY($A$2)=$E164))</f>
        <v>#VALUE!</v>
      </c>
    </row>
    <row r="165" spans="6:6" x14ac:dyDescent="0.25">
      <c r="F165" t="e" cm="1" vm="2">
        <f t="array" ref="F165">TRANSPOSE(_xlfn._xlws.FILTER(_xlfn.ANCHORARRAY($B$2),_xlfn.ANCHORARRAY($A$2)=$E165))</f>
        <v>#VALUE!</v>
      </c>
    </row>
    <row r="166" spans="6:6" x14ac:dyDescent="0.25">
      <c r="F166" t="e" cm="1" vm="2">
        <f t="array" ref="F166">TRANSPOSE(_xlfn._xlws.FILTER(_xlfn.ANCHORARRAY($B$2),_xlfn.ANCHORARRAY($A$2)=$E166))</f>
        <v>#VALUE!</v>
      </c>
    </row>
    <row r="167" spans="6:6" x14ac:dyDescent="0.25">
      <c r="F167" t="e" cm="1" vm="2">
        <f t="array" ref="F167">TRANSPOSE(_xlfn._xlws.FILTER(_xlfn.ANCHORARRAY($B$2),_xlfn.ANCHORARRAY($A$2)=$E167))</f>
        <v>#VALUE!</v>
      </c>
    </row>
    <row r="168" spans="6:6" x14ac:dyDescent="0.25">
      <c r="F168" t="e" cm="1" vm="2">
        <f t="array" ref="F168">TRANSPOSE(_xlfn._xlws.FILTER(_xlfn.ANCHORARRAY($B$2),_xlfn.ANCHORARRAY($A$2)=$E168))</f>
        <v>#VALUE!</v>
      </c>
    </row>
    <row r="169" spans="6:6" x14ac:dyDescent="0.25">
      <c r="F169" t="e" cm="1" vm="2">
        <f t="array" ref="F169">TRANSPOSE(_xlfn._xlws.FILTER(_xlfn.ANCHORARRAY($B$2),_xlfn.ANCHORARRAY($A$2)=$E169))</f>
        <v>#VALUE!</v>
      </c>
    </row>
    <row r="170" spans="6:6" x14ac:dyDescent="0.25">
      <c r="F170" t="e" cm="1" vm="2">
        <f t="array" ref="F170">TRANSPOSE(_xlfn._xlws.FILTER(_xlfn.ANCHORARRAY($B$2),_xlfn.ANCHORARRAY($A$2)=$E170))</f>
        <v>#VALUE!</v>
      </c>
    </row>
    <row r="171" spans="6:6" x14ac:dyDescent="0.25">
      <c r="F171" t="e" cm="1" vm="2">
        <f t="array" ref="F171">TRANSPOSE(_xlfn._xlws.FILTER(_xlfn.ANCHORARRAY($B$2),_xlfn.ANCHORARRAY($A$2)=$E171))</f>
        <v>#VALUE!</v>
      </c>
    </row>
    <row r="172" spans="6:6" x14ac:dyDescent="0.25">
      <c r="F172" t="e" cm="1" vm="2">
        <f t="array" ref="F172">TRANSPOSE(_xlfn._xlws.FILTER(_xlfn.ANCHORARRAY($B$2),_xlfn.ANCHORARRAY($A$2)=$E172))</f>
        <v>#VALUE!</v>
      </c>
    </row>
    <row r="173" spans="6:6" x14ac:dyDescent="0.25">
      <c r="F173" t="e" cm="1" vm="2">
        <f t="array" ref="F173">TRANSPOSE(_xlfn._xlws.FILTER(_xlfn.ANCHORARRAY($B$2),_xlfn.ANCHORARRAY($A$2)=$E173))</f>
        <v>#VALUE!</v>
      </c>
    </row>
    <row r="174" spans="6:6" x14ac:dyDescent="0.25">
      <c r="F174" t="e" cm="1" vm="2">
        <f t="array" ref="F174">TRANSPOSE(_xlfn._xlws.FILTER(_xlfn.ANCHORARRAY($B$2),_xlfn.ANCHORARRAY($A$2)=$E174))</f>
        <v>#VALUE!</v>
      </c>
    </row>
    <row r="175" spans="6:6" x14ac:dyDescent="0.25">
      <c r="F175" t="e" cm="1" vm="2">
        <f t="array" ref="F175">TRANSPOSE(_xlfn._xlws.FILTER(_xlfn.ANCHORARRAY($B$2),_xlfn.ANCHORARRAY($A$2)=$E175))</f>
        <v>#VALUE!</v>
      </c>
    </row>
    <row r="176" spans="6:6" x14ac:dyDescent="0.25">
      <c r="F176" t="e" cm="1" vm="2">
        <f t="array" ref="F176">TRANSPOSE(_xlfn._xlws.FILTER(_xlfn.ANCHORARRAY($B$2),_xlfn.ANCHORARRAY($A$2)=$E176))</f>
        <v>#VALUE!</v>
      </c>
    </row>
    <row r="177" spans="6:6" x14ac:dyDescent="0.25">
      <c r="F177" t="e" cm="1" vm="2">
        <f t="array" ref="F177">TRANSPOSE(_xlfn._xlws.FILTER(_xlfn.ANCHORARRAY($B$2),_xlfn.ANCHORARRAY($A$2)=$E177))</f>
        <v>#VALUE!</v>
      </c>
    </row>
    <row r="178" spans="6:6" x14ac:dyDescent="0.25">
      <c r="F178" t="e" cm="1" vm="2">
        <f t="array" ref="F178">TRANSPOSE(_xlfn._xlws.FILTER(_xlfn.ANCHORARRAY($B$2),_xlfn.ANCHORARRAY($A$2)=$E178))</f>
        <v>#VALUE!</v>
      </c>
    </row>
    <row r="179" spans="6:6" x14ac:dyDescent="0.25">
      <c r="F179" t="e" cm="1" vm="2">
        <f t="array" ref="F179">TRANSPOSE(_xlfn._xlws.FILTER(_xlfn.ANCHORARRAY($B$2),_xlfn.ANCHORARRAY($A$2)=$E179))</f>
        <v>#VALUE!</v>
      </c>
    </row>
    <row r="180" spans="6:6" x14ac:dyDescent="0.25">
      <c r="F180" t="e" cm="1" vm="2">
        <f t="array" ref="F180">TRANSPOSE(_xlfn._xlws.FILTER(_xlfn.ANCHORARRAY($B$2),_xlfn.ANCHORARRAY($A$2)=$E180))</f>
        <v>#VALUE!</v>
      </c>
    </row>
    <row r="181" spans="6:6" x14ac:dyDescent="0.25">
      <c r="F181" t="e" cm="1" vm="2">
        <f t="array" ref="F181">TRANSPOSE(_xlfn._xlws.FILTER(_xlfn.ANCHORARRAY($B$2),_xlfn.ANCHORARRAY($A$2)=$E181))</f>
        <v>#VALUE!</v>
      </c>
    </row>
    <row r="182" spans="6:6" x14ac:dyDescent="0.25">
      <c r="F182" t="e" cm="1" vm="2">
        <f t="array" ref="F182">TRANSPOSE(_xlfn._xlws.FILTER(_xlfn.ANCHORARRAY($B$2),_xlfn.ANCHORARRAY($A$2)=$E182))</f>
        <v>#VALUE!</v>
      </c>
    </row>
    <row r="183" spans="6:6" x14ac:dyDescent="0.25">
      <c r="F183" t="e" cm="1" vm="2">
        <f t="array" ref="F183">TRANSPOSE(_xlfn._xlws.FILTER(_xlfn.ANCHORARRAY($B$2),_xlfn.ANCHORARRAY($A$2)=$E183))</f>
        <v>#VALUE!</v>
      </c>
    </row>
    <row r="184" spans="6:6" x14ac:dyDescent="0.25">
      <c r="F184" t="e" cm="1" vm="2">
        <f t="array" ref="F184">TRANSPOSE(_xlfn._xlws.FILTER(_xlfn.ANCHORARRAY($B$2),_xlfn.ANCHORARRAY($A$2)=$E184))</f>
        <v>#VALUE!</v>
      </c>
    </row>
    <row r="185" spans="6:6" x14ac:dyDescent="0.25">
      <c r="F185" t="e" cm="1" vm="2">
        <f t="array" ref="F185">TRANSPOSE(_xlfn._xlws.FILTER(_xlfn.ANCHORARRAY($B$2),_xlfn.ANCHORARRAY($A$2)=$E185))</f>
        <v>#VALUE!</v>
      </c>
    </row>
    <row r="186" spans="6:6" x14ac:dyDescent="0.25">
      <c r="F186" t="e" cm="1" vm="2">
        <f t="array" ref="F186">TRANSPOSE(_xlfn._xlws.FILTER(_xlfn.ANCHORARRAY($B$2),_xlfn.ANCHORARRAY($A$2)=$E186))</f>
        <v>#VALUE!</v>
      </c>
    </row>
    <row r="187" spans="6:6" x14ac:dyDescent="0.25">
      <c r="F187" t="e" cm="1" vm="2">
        <f t="array" ref="F187">TRANSPOSE(_xlfn._xlws.FILTER(_xlfn.ANCHORARRAY($B$2),_xlfn.ANCHORARRAY($A$2)=$E187))</f>
        <v>#VALUE!</v>
      </c>
    </row>
    <row r="188" spans="6:6" x14ac:dyDescent="0.25">
      <c r="F188" t="e" cm="1" vm="2">
        <f t="array" ref="F188">TRANSPOSE(_xlfn._xlws.FILTER(_xlfn.ANCHORARRAY($B$2),_xlfn.ANCHORARRAY($A$2)=$E188))</f>
        <v>#VALUE!</v>
      </c>
    </row>
    <row r="189" spans="6:6" x14ac:dyDescent="0.25">
      <c r="F189" t="e" cm="1" vm="2">
        <f t="array" ref="F189">TRANSPOSE(_xlfn._xlws.FILTER(_xlfn.ANCHORARRAY($B$2),_xlfn.ANCHORARRAY($A$2)=$E189))</f>
        <v>#VALUE!</v>
      </c>
    </row>
    <row r="190" spans="6:6" x14ac:dyDescent="0.25">
      <c r="F190" t="e" cm="1" vm="2">
        <f t="array" ref="F190">TRANSPOSE(_xlfn._xlws.FILTER(_xlfn.ANCHORARRAY($B$2),_xlfn.ANCHORARRAY($A$2)=$E190))</f>
        <v>#VALUE!</v>
      </c>
    </row>
    <row r="191" spans="6:6" x14ac:dyDescent="0.25">
      <c r="F191" t="e" cm="1" vm="2">
        <f t="array" ref="F191">TRANSPOSE(_xlfn._xlws.FILTER(_xlfn.ANCHORARRAY($B$2),_xlfn.ANCHORARRAY($A$2)=$E191))</f>
        <v>#VALUE!</v>
      </c>
    </row>
    <row r="192" spans="6:6" x14ac:dyDescent="0.25">
      <c r="F192" t="e" cm="1" vm="2">
        <f t="array" ref="F192">TRANSPOSE(_xlfn._xlws.FILTER(_xlfn.ANCHORARRAY($B$2),_xlfn.ANCHORARRAY($A$2)=$E192))</f>
        <v>#VALUE!</v>
      </c>
    </row>
    <row r="193" spans="6:6" x14ac:dyDescent="0.25">
      <c r="F193" t="e" cm="1" vm="2">
        <f t="array" ref="F193">TRANSPOSE(_xlfn._xlws.FILTER(_xlfn.ANCHORARRAY($B$2),_xlfn.ANCHORARRAY($A$2)=$E193))</f>
        <v>#VALUE!</v>
      </c>
    </row>
    <row r="194" spans="6:6" x14ac:dyDescent="0.25">
      <c r="F194" t="e" cm="1" vm="2">
        <f t="array" ref="F194">TRANSPOSE(_xlfn._xlws.FILTER(_xlfn.ANCHORARRAY($B$2),_xlfn.ANCHORARRAY($A$2)=$E194))</f>
        <v>#VALUE!</v>
      </c>
    </row>
    <row r="195" spans="6:6" x14ac:dyDescent="0.25">
      <c r="F195" t="e" cm="1" vm="2">
        <f t="array" ref="F195">TRANSPOSE(_xlfn._xlws.FILTER(_xlfn.ANCHORARRAY($B$2),_xlfn.ANCHORARRAY($A$2)=$E195))</f>
        <v>#VALUE!</v>
      </c>
    </row>
    <row r="196" spans="6:6" x14ac:dyDescent="0.25">
      <c r="F196" t="e" cm="1" vm="2">
        <f t="array" ref="F196">TRANSPOSE(_xlfn._xlws.FILTER(_xlfn.ANCHORARRAY($B$2),_xlfn.ANCHORARRAY($A$2)=$E196))</f>
        <v>#VALUE!</v>
      </c>
    </row>
    <row r="197" spans="6:6" x14ac:dyDescent="0.25">
      <c r="F197" t="e" cm="1" vm="2">
        <f t="array" ref="F197">TRANSPOSE(_xlfn._xlws.FILTER(_xlfn.ANCHORARRAY($B$2),_xlfn.ANCHORARRAY($A$2)=$E197))</f>
        <v>#VALUE!</v>
      </c>
    </row>
    <row r="198" spans="6:6" x14ac:dyDescent="0.25">
      <c r="F198" t="e" cm="1" vm="2">
        <f t="array" ref="F198">TRANSPOSE(_xlfn._xlws.FILTER(_xlfn.ANCHORARRAY($B$2),_xlfn.ANCHORARRAY($A$2)=$E198))</f>
        <v>#VALUE!</v>
      </c>
    </row>
    <row r="199" spans="6:6" x14ac:dyDescent="0.25">
      <c r="F199" t="e" cm="1" vm="2">
        <f t="array" ref="F199">TRANSPOSE(_xlfn._xlws.FILTER(_xlfn.ANCHORARRAY($B$2),_xlfn.ANCHORARRAY($A$2)=$E199))</f>
        <v>#VALUE!</v>
      </c>
    </row>
    <row r="200" spans="6:6" x14ac:dyDescent="0.25">
      <c r="F200" t="e" cm="1" vm="2">
        <f t="array" ref="F200">TRANSPOSE(_xlfn._xlws.FILTER(_xlfn.ANCHORARRAY($B$2),_xlfn.ANCHORARRAY($A$2)=$E200))</f>
        <v>#VALUE!</v>
      </c>
    </row>
    <row r="201" spans="6:6" x14ac:dyDescent="0.25">
      <c r="F201" t="e" cm="1" vm="2">
        <f t="array" ref="F201">TRANSPOSE(_xlfn._xlws.FILTER(_xlfn.ANCHORARRAY($B$2),_xlfn.ANCHORARRAY($A$2)=$E201))</f>
        <v>#VALUE!</v>
      </c>
    </row>
    <row r="202" spans="6:6" x14ac:dyDescent="0.25">
      <c r="F202" t="e" cm="1" vm="2">
        <f t="array" ref="F202">TRANSPOSE(_xlfn._xlws.FILTER(_xlfn.ANCHORARRAY($B$2),_xlfn.ANCHORARRAY($A$2)=$E202))</f>
        <v>#VALUE!</v>
      </c>
    </row>
    <row r="203" spans="6:6" x14ac:dyDescent="0.25">
      <c r="F203" t="e" cm="1" vm="2">
        <f t="array" ref="F203">TRANSPOSE(_xlfn._xlws.FILTER(_xlfn.ANCHORARRAY($B$2),_xlfn.ANCHORARRAY($A$2)=$E203))</f>
        <v>#VALUE!</v>
      </c>
    </row>
    <row r="204" spans="6:6" x14ac:dyDescent="0.25">
      <c r="F204" t="e" cm="1" vm="2">
        <f t="array" ref="F204">TRANSPOSE(_xlfn._xlws.FILTER(_xlfn.ANCHORARRAY($B$2),_xlfn.ANCHORARRAY($A$2)=$E204))</f>
        <v>#VALUE!</v>
      </c>
    </row>
    <row r="205" spans="6:6" x14ac:dyDescent="0.25">
      <c r="F205" t="e" cm="1" vm="2">
        <f t="array" ref="F205">TRANSPOSE(_xlfn._xlws.FILTER(_xlfn.ANCHORARRAY($B$2),_xlfn.ANCHORARRAY($A$2)=$E205))</f>
        <v>#VALUE!</v>
      </c>
    </row>
    <row r="206" spans="6:6" x14ac:dyDescent="0.25">
      <c r="F206" t="e" cm="1" vm="2">
        <f t="array" ref="F206">TRANSPOSE(_xlfn._xlws.FILTER(_xlfn.ANCHORARRAY($B$2),_xlfn.ANCHORARRAY($A$2)=$E206))</f>
        <v>#VALUE!</v>
      </c>
    </row>
    <row r="207" spans="6:6" x14ac:dyDescent="0.25">
      <c r="F207" t="e" cm="1" vm="2">
        <f t="array" ref="F207">TRANSPOSE(_xlfn._xlws.FILTER(_xlfn.ANCHORARRAY($B$2),_xlfn.ANCHORARRAY($A$2)=$E207))</f>
        <v>#VALUE!</v>
      </c>
    </row>
    <row r="208" spans="6:6" x14ac:dyDescent="0.25">
      <c r="F208" t="e" cm="1" vm="2">
        <f t="array" ref="F208">TRANSPOSE(_xlfn._xlws.FILTER(_xlfn.ANCHORARRAY($B$2),_xlfn.ANCHORARRAY($A$2)=$E208))</f>
        <v>#VALUE!</v>
      </c>
    </row>
    <row r="209" spans="6:6" x14ac:dyDescent="0.25">
      <c r="F209" t="e" cm="1" vm="2">
        <f t="array" ref="F209">TRANSPOSE(_xlfn._xlws.FILTER(_xlfn.ANCHORARRAY($B$2),_xlfn.ANCHORARRAY($A$2)=$E209))</f>
        <v>#VALUE!</v>
      </c>
    </row>
    <row r="210" spans="6:6" x14ac:dyDescent="0.25">
      <c r="F210" t="e" cm="1" vm="2">
        <f t="array" ref="F210">TRANSPOSE(_xlfn._xlws.FILTER(_xlfn.ANCHORARRAY($B$2),_xlfn.ANCHORARRAY($A$2)=$E210))</f>
        <v>#VALUE!</v>
      </c>
    </row>
    <row r="211" spans="6:6" x14ac:dyDescent="0.25">
      <c r="F211" t="e" cm="1" vm="2">
        <f t="array" ref="F211">TRANSPOSE(_xlfn._xlws.FILTER(_xlfn.ANCHORARRAY($B$2),_xlfn.ANCHORARRAY($A$2)=$E211))</f>
        <v>#VALUE!</v>
      </c>
    </row>
    <row r="212" spans="6:6" x14ac:dyDescent="0.25">
      <c r="F212" t="e" cm="1" vm="2">
        <f t="array" ref="F212">TRANSPOSE(_xlfn._xlws.FILTER(_xlfn.ANCHORARRAY($B$2),_xlfn.ANCHORARRAY($A$2)=$E212))</f>
        <v>#VALUE!</v>
      </c>
    </row>
    <row r="213" spans="6:6" x14ac:dyDescent="0.25">
      <c r="F213" t="e" cm="1" vm="2">
        <f t="array" ref="F213">TRANSPOSE(_xlfn._xlws.FILTER(_xlfn.ANCHORARRAY($B$2),_xlfn.ANCHORARRAY($A$2)=$E213))</f>
        <v>#VALUE!</v>
      </c>
    </row>
    <row r="214" spans="6:6" x14ac:dyDescent="0.25">
      <c r="F214" t="e" cm="1" vm="2">
        <f t="array" ref="F214">TRANSPOSE(_xlfn._xlws.FILTER(_xlfn.ANCHORARRAY($B$2),_xlfn.ANCHORARRAY($A$2)=$E214))</f>
        <v>#VALUE!</v>
      </c>
    </row>
    <row r="215" spans="6:6" x14ac:dyDescent="0.25">
      <c r="F215" t="e" cm="1" vm="2">
        <f t="array" ref="F215">TRANSPOSE(_xlfn._xlws.FILTER(_xlfn.ANCHORARRAY($B$2),_xlfn.ANCHORARRAY($A$2)=$E215))</f>
        <v>#VALUE!</v>
      </c>
    </row>
    <row r="216" spans="6:6" x14ac:dyDescent="0.25">
      <c r="F216" t="e" cm="1" vm="2">
        <f t="array" ref="F216">TRANSPOSE(_xlfn._xlws.FILTER(_xlfn.ANCHORARRAY($B$2),_xlfn.ANCHORARRAY($A$2)=$E216))</f>
        <v>#VALUE!</v>
      </c>
    </row>
    <row r="217" spans="6:6" x14ac:dyDescent="0.25">
      <c r="F217" t="e" cm="1" vm="2">
        <f t="array" ref="F217">TRANSPOSE(_xlfn._xlws.FILTER(_xlfn.ANCHORARRAY($B$2),_xlfn.ANCHORARRAY($A$2)=$E217))</f>
        <v>#VALUE!</v>
      </c>
    </row>
    <row r="218" spans="6:6" x14ac:dyDescent="0.25">
      <c r="F218" t="e" cm="1" vm="2">
        <f t="array" ref="F218">TRANSPOSE(_xlfn._xlws.FILTER(_xlfn.ANCHORARRAY($B$2),_xlfn.ANCHORARRAY($A$2)=$E218))</f>
        <v>#VALUE!</v>
      </c>
    </row>
    <row r="219" spans="6:6" x14ac:dyDescent="0.25">
      <c r="F219" t="e" cm="1" vm="2">
        <f t="array" ref="F219">TRANSPOSE(_xlfn._xlws.FILTER(_xlfn.ANCHORARRAY($B$2),_xlfn.ANCHORARRAY($A$2)=$E219))</f>
        <v>#VALUE!</v>
      </c>
    </row>
    <row r="220" spans="6:6" x14ac:dyDescent="0.25">
      <c r="F220" t="e" cm="1" vm="2">
        <f t="array" ref="F220">TRANSPOSE(_xlfn._xlws.FILTER(_xlfn.ANCHORARRAY($B$2),_xlfn.ANCHORARRAY($A$2)=$E220))</f>
        <v>#VALUE!</v>
      </c>
    </row>
    <row r="221" spans="6:6" x14ac:dyDescent="0.25">
      <c r="F221" t="e" cm="1" vm="2">
        <f t="array" ref="F221">TRANSPOSE(_xlfn._xlws.FILTER(_xlfn.ANCHORARRAY($B$2),_xlfn.ANCHORARRAY($A$2)=$E221))</f>
        <v>#VALUE!</v>
      </c>
    </row>
    <row r="222" spans="6:6" x14ac:dyDescent="0.25">
      <c r="F222" t="e" cm="1" vm="2">
        <f t="array" ref="F222">TRANSPOSE(_xlfn._xlws.FILTER(_xlfn.ANCHORARRAY($B$2),_xlfn.ANCHORARRAY($A$2)=$E222))</f>
        <v>#VALUE!</v>
      </c>
    </row>
    <row r="223" spans="6:6" x14ac:dyDescent="0.25">
      <c r="F223" t="e" cm="1" vm="2">
        <f t="array" ref="F223">TRANSPOSE(_xlfn._xlws.FILTER(_xlfn.ANCHORARRAY($B$2),_xlfn.ANCHORARRAY($A$2)=$E223))</f>
        <v>#VALUE!</v>
      </c>
    </row>
    <row r="224" spans="6:6" x14ac:dyDescent="0.25">
      <c r="F224" t="e" cm="1" vm="2">
        <f t="array" ref="F224">TRANSPOSE(_xlfn._xlws.FILTER(_xlfn.ANCHORARRAY($B$2),_xlfn.ANCHORARRAY($A$2)=$E224))</f>
        <v>#VALUE!</v>
      </c>
    </row>
    <row r="225" spans="6:6" x14ac:dyDescent="0.25">
      <c r="F225" t="e" cm="1" vm="2">
        <f t="array" ref="F225">TRANSPOSE(_xlfn._xlws.FILTER(_xlfn.ANCHORARRAY($B$2),_xlfn.ANCHORARRAY($A$2)=$E225))</f>
        <v>#VALUE!</v>
      </c>
    </row>
    <row r="226" spans="6:6" x14ac:dyDescent="0.25">
      <c r="F226" t="e" cm="1" vm="2">
        <f t="array" ref="F226">TRANSPOSE(_xlfn._xlws.FILTER(_xlfn.ANCHORARRAY($B$2),_xlfn.ANCHORARRAY($A$2)=$E226))</f>
        <v>#VALUE!</v>
      </c>
    </row>
    <row r="227" spans="6:6" x14ac:dyDescent="0.25">
      <c r="F227" t="e" cm="1" vm="2">
        <f t="array" ref="F227">TRANSPOSE(_xlfn._xlws.FILTER(_xlfn.ANCHORARRAY($B$2),_xlfn.ANCHORARRAY($A$2)=$E227))</f>
        <v>#VALUE!</v>
      </c>
    </row>
    <row r="228" spans="6:6" x14ac:dyDescent="0.25">
      <c r="F228" t="e" cm="1" vm="2">
        <f t="array" ref="F228">TRANSPOSE(_xlfn._xlws.FILTER(_xlfn.ANCHORARRAY($B$2),_xlfn.ANCHORARRAY($A$2)=$E228))</f>
        <v>#VALUE!</v>
      </c>
    </row>
    <row r="229" spans="6:6" x14ac:dyDescent="0.25">
      <c r="F229" t="e" cm="1" vm="2">
        <f t="array" ref="F229">TRANSPOSE(_xlfn._xlws.FILTER(_xlfn.ANCHORARRAY($B$2),_xlfn.ANCHORARRAY($A$2)=$E229))</f>
        <v>#VALUE!</v>
      </c>
    </row>
    <row r="230" spans="6:6" x14ac:dyDescent="0.25">
      <c r="F230" t="e" cm="1" vm="2">
        <f t="array" ref="F230">TRANSPOSE(_xlfn._xlws.FILTER(_xlfn.ANCHORARRAY($B$2),_xlfn.ANCHORARRAY($A$2)=$E230))</f>
        <v>#VALUE!</v>
      </c>
    </row>
    <row r="231" spans="6:6" x14ac:dyDescent="0.25">
      <c r="F231" t="e" cm="1" vm="2">
        <f t="array" ref="F231">TRANSPOSE(_xlfn._xlws.FILTER(_xlfn.ANCHORARRAY($B$2),_xlfn.ANCHORARRAY($A$2)=$E231))</f>
        <v>#VALUE!</v>
      </c>
    </row>
    <row r="232" spans="6:6" x14ac:dyDescent="0.25">
      <c r="F232" t="e" cm="1" vm="2">
        <f t="array" ref="F232">TRANSPOSE(_xlfn._xlws.FILTER(_xlfn.ANCHORARRAY($B$2),_xlfn.ANCHORARRAY($A$2)=$E232))</f>
        <v>#VALUE!</v>
      </c>
    </row>
    <row r="233" spans="6:6" x14ac:dyDescent="0.25">
      <c r="F233" t="e" cm="1" vm="2">
        <f t="array" ref="F233">TRANSPOSE(_xlfn._xlws.FILTER(_xlfn.ANCHORARRAY($B$2),_xlfn.ANCHORARRAY($A$2)=$E233))</f>
        <v>#VALUE!</v>
      </c>
    </row>
    <row r="234" spans="6:6" x14ac:dyDescent="0.25">
      <c r="F234" t="e" cm="1" vm="2">
        <f t="array" ref="F234">TRANSPOSE(_xlfn._xlws.FILTER(_xlfn.ANCHORARRAY($B$2),_xlfn.ANCHORARRAY($A$2)=$E234))</f>
        <v>#VALUE!</v>
      </c>
    </row>
    <row r="235" spans="6:6" x14ac:dyDescent="0.25">
      <c r="F235" t="e" cm="1" vm="2">
        <f t="array" ref="F235">TRANSPOSE(_xlfn._xlws.FILTER(_xlfn.ANCHORARRAY($B$2),_xlfn.ANCHORARRAY($A$2)=$E235))</f>
        <v>#VALUE!</v>
      </c>
    </row>
    <row r="236" spans="6:6" x14ac:dyDescent="0.25">
      <c r="F236" t="e" cm="1" vm="2">
        <f t="array" ref="F236">TRANSPOSE(_xlfn._xlws.FILTER(_xlfn.ANCHORARRAY($B$2),_xlfn.ANCHORARRAY($A$2)=$E236))</f>
        <v>#VALUE!</v>
      </c>
    </row>
    <row r="237" spans="6:6" x14ac:dyDescent="0.25">
      <c r="F237" t="e" cm="1" vm="2">
        <f t="array" ref="F237">TRANSPOSE(_xlfn._xlws.FILTER(_xlfn.ANCHORARRAY($B$2),_xlfn.ANCHORARRAY($A$2)=$E237))</f>
        <v>#VALUE!</v>
      </c>
    </row>
    <row r="238" spans="6:6" x14ac:dyDescent="0.25">
      <c r="F238" t="e" cm="1" vm="2">
        <f t="array" ref="F238">TRANSPOSE(_xlfn._xlws.FILTER(_xlfn.ANCHORARRAY($B$2),_xlfn.ANCHORARRAY($A$2)=$E238))</f>
        <v>#VALUE!</v>
      </c>
    </row>
    <row r="239" spans="6:6" x14ac:dyDescent="0.25">
      <c r="F239" t="e" cm="1" vm="2">
        <f t="array" ref="F239">TRANSPOSE(_xlfn._xlws.FILTER(_xlfn.ANCHORARRAY($B$2),_xlfn.ANCHORARRAY($A$2)=$E239))</f>
        <v>#VALUE!</v>
      </c>
    </row>
    <row r="240" spans="6:6" x14ac:dyDescent="0.25">
      <c r="F240" t="e" cm="1" vm="2">
        <f t="array" ref="F240">TRANSPOSE(_xlfn._xlws.FILTER(_xlfn.ANCHORARRAY($B$2),_xlfn.ANCHORARRAY($A$2)=$E240))</f>
        <v>#VALUE!</v>
      </c>
    </row>
    <row r="241" spans="6:6" x14ac:dyDescent="0.25">
      <c r="F241" t="e" cm="1" vm="2">
        <f t="array" ref="F241">TRANSPOSE(_xlfn._xlws.FILTER(_xlfn.ANCHORARRAY($B$2),_xlfn.ANCHORARRAY($A$2)=$E241))</f>
        <v>#VALUE!</v>
      </c>
    </row>
    <row r="242" spans="6:6" x14ac:dyDescent="0.25">
      <c r="F242" t="e" cm="1" vm="2">
        <f t="array" ref="F242">TRANSPOSE(_xlfn._xlws.FILTER(_xlfn.ANCHORARRAY($B$2),_xlfn.ANCHORARRAY($A$2)=$E242))</f>
        <v>#VALUE!</v>
      </c>
    </row>
    <row r="243" spans="6:6" x14ac:dyDescent="0.25">
      <c r="F243" t="e" cm="1" vm="2">
        <f t="array" ref="F243">TRANSPOSE(_xlfn._xlws.FILTER(_xlfn.ANCHORARRAY($B$2),_xlfn.ANCHORARRAY($A$2)=$E243))</f>
        <v>#VALUE!</v>
      </c>
    </row>
    <row r="244" spans="6:6" x14ac:dyDescent="0.25">
      <c r="F244" t="e" cm="1" vm="2">
        <f t="array" ref="F244">TRANSPOSE(_xlfn._xlws.FILTER(_xlfn.ANCHORARRAY($B$2),_xlfn.ANCHORARRAY($A$2)=$E244))</f>
        <v>#VALUE!</v>
      </c>
    </row>
    <row r="245" spans="6:6" x14ac:dyDescent="0.25">
      <c r="F245" t="e" cm="1" vm="2">
        <f t="array" ref="F245">TRANSPOSE(_xlfn._xlws.FILTER(_xlfn.ANCHORARRAY($B$2),_xlfn.ANCHORARRAY($A$2)=$E245))</f>
        <v>#VALUE!</v>
      </c>
    </row>
    <row r="246" spans="6:6" x14ac:dyDescent="0.25">
      <c r="F246" t="e" cm="1" vm="2">
        <f t="array" ref="F246">TRANSPOSE(_xlfn._xlws.FILTER(_xlfn.ANCHORARRAY($B$2),_xlfn.ANCHORARRAY($A$2)=$E246))</f>
        <v>#VALUE!</v>
      </c>
    </row>
    <row r="247" spans="6:6" x14ac:dyDescent="0.25">
      <c r="F247" t="e" cm="1" vm="2">
        <f t="array" ref="F247">TRANSPOSE(_xlfn._xlws.FILTER(_xlfn.ANCHORARRAY($B$2),_xlfn.ANCHORARRAY($A$2)=$E247))</f>
        <v>#VALUE!</v>
      </c>
    </row>
    <row r="248" spans="6:6" x14ac:dyDescent="0.25">
      <c r="F248" t="e" cm="1" vm="2">
        <f t="array" ref="F248">TRANSPOSE(_xlfn._xlws.FILTER(_xlfn.ANCHORARRAY($B$2),_xlfn.ANCHORARRAY($A$2)=$E248))</f>
        <v>#VALUE!</v>
      </c>
    </row>
    <row r="249" spans="6:6" x14ac:dyDescent="0.25">
      <c r="F249" t="e" cm="1" vm="2">
        <f t="array" ref="F249">TRANSPOSE(_xlfn._xlws.FILTER(_xlfn.ANCHORARRAY($B$2),_xlfn.ANCHORARRAY($A$2)=$E249))</f>
        <v>#VALUE!</v>
      </c>
    </row>
    <row r="250" spans="6:6" x14ac:dyDescent="0.25">
      <c r="F250" t="e" cm="1" vm="2">
        <f t="array" ref="F250">TRANSPOSE(_xlfn._xlws.FILTER(_xlfn.ANCHORARRAY($B$2),_xlfn.ANCHORARRAY($A$2)=$E250))</f>
        <v>#VALUE!</v>
      </c>
    </row>
    <row r="251" spans="6:6" x14ac:dyDescent="0.25">
      <c r="F251" t="e" cm="1" vm="2">
        <f t="array" ref="F251">TRANSPOSE(_xlfn._xlws.FILTER(_xlfn.ANCHORARRAY($B$2),_xlfn.ANCHORARRAY($A$2)=$E251))</f>
        <v>#VALUE!</v>
      </c>
    </row>
    <row r="252" spans="6:6" x14ac:dyDescent="0.25">
      <c r="F252" t="e" cm="1" vm="2">
        <f t="array" ref="F252">TRANSPOSE(_xlfn._xlws.FILTER(_xlfn.ANCHORARRAY($B$2),_xlfn.ANCHORARRAY($A$2)=$E252))</f>
        <v>#VALUE!</v>
      </c>
    </row>
    <row r="253" spans="6:6" x14ac:dyDescent="0.25">
      <c r="F253" t="e" cm="1" vm="2">
        <f t="array" ref="F253">TRANSPOSE(_xlfn._xlws.FILTER(_xlfn.ANCHORARRAY($B$2),_xlfn.ANCHORARRAY($A$2)=$E253))</f>
        <v>#VALUE!</v>
      </c>
    </row>
    <row r="254" spans="6:6" x14ac:dyDescent="0.25">
      <c r="F254" t="e" cm="1" vm="2">
        <f t="array" ref="F254">TRANSPOSE(_xlfn._xlws.FILTER(_xlfn.ANCHORARRAY($B$2),_xlfn.ANCHORARRAY($A$2)=$E254))</f>
        <v>#VALUE!</v>
      </c>
    </row>
    <row r="255" spans="6:6" x14ac:dyDescent="0.25">
      <c r="F255" t="e" cm="1" vm="2">
        <f t="array" ref="F255">TRANSPOSE(_xlfn._xlws.FILTER(_xlfn.ANCHORARRAY($B$2),_xlfn.ANCHORARRAY($A$2)=$E255))</f>
        <v>#VALUE!</v>
      </c>
    </row>
    <row r="256" spans="6:6" x14ac:dyDescent="0.25">
      <c r="F256" t="e" cm="1" vm="2">
        <f t="array" ref="F256">TRANSPOSE(_xlfn._xlws.FILTER(_xlfn.ANCHORARRAY($B$2),_xlfn.ANCHORARRAY($A$2)=$E256))</f>
        <v>#VALUE!</v>
      </c>
    </row>
    <row r="257" spans="6:6" x14ac:dyDescent="0.25">
      <c r="F257" t="e" cm="1" vm="2">
        <f t="array" ref="F257">TRANSPOSE(_xlfn._xlws.FILTER(_xlfn.ANCHORARRAY($B$2),_xlfn.ANCHORARRAY($A$2)=$E257))</f>
        <v>#VALUE!</v>
      </c>
    </row>
    <row r="258" spans="6:6" x14ac:dyDescent="0.25">
      <c r="F258" t="e" cm="1" vm="2">
        <f t="array" ref="F258">TRANSPOSE(_xlfn._xlws.FILTER(_xlfn.ANCHORARRAY($B$2),_xlfn.ANCHORARRAY($A$2)=$E258))</f>
        <v>#VALUE!</v>
      </c>
    </row>
    <row r="259" spans="6:6" x14ac:dyDescent="0.25">
      <c r="F259" t="e" cm="1" vm="2">
        <f t="array" ref="F259">TRANSPOSE(_xlfn._xlws.FILTER(_xlfn.ANCHORARRAY($B$2),_xlfn.ANCHORARRAY($A$2)=$E259))</f>
        <v>#VALUE!</v>
      </c>
    </row>
    <row r="260" spans="6:6" x14ac:dyDescent="0.25">
      <c r="F260" t="e" cm="1" vm="2">
        <f t="array" ref="F260">TRANSPOSE(_xlfn._xlws.FILTER(_xlfn.ANCHORARRAY($B$2),_xlfn.ANCHORARRAY($A$2)=$E260))</f>
        <v>#VALUE!</v>
      </c>
    </row>
    <row r="261" spans="6:6" x14ac:dyDescent="0.25">
      <c r="F261" t="e" cm="1" vm="2">
        <f t="array" ref="F261">TRANSPOSE(_xlfn._xlws.FILTER(_xlfn.ANCHORARRAY($B$2),_xlfn.ANCHORARRAY($A$2)=$E261))</f>
        <v>#VALUE!</v>
      </c>
    </row>
    <row r="262" spans="6:6" x14ac:dyDescent="0.25">
      <c r="F262" t="e" cm="1" vm="2">
        <f t="array" ref="F262">TRANSPOSE(_xlfn._xlws.FILTER(_xlfn.ANCHORARRAY($B$2),_xlfn.ANCHORARRAY($A$2)=$E262))</f>
        <v>#VALUE!</v>
      </c>
    </row>
    <row r="263" spans="6:6" x14ac:dyDescent="0.25">
      <c r="F263" t="e" cm="1" vm="2">
        <f t="array" ref="F263">TRANSPOSE(_xlfn._xlws.FILTER(_xlfn.ANCHORARRAY($B$2),_xlfn.ANCHORARRAY($A$2)=$E263))</f>
        <v>#VALUE!</v>
      </c>
    </row>
    <row r="264" spans="6:6" x14ac:dyDescent="0.25">
      <c r="F264" t="e" cm="1" vm="2">
        <f t="array" ref="F264">TRANSPOSE(_xlfn._xlws.FILTER(_xlfn.ANCHORARRAY($B$2),_xlfn.ANCHORARRAY($A$2)=$E264))</f>
        <v>#VALUE!</v>
      </c>
    </row>
    <row r="265" spans="6:6" x14ac:dyDescent="0.25">
      <c r="F265" t="e" cm="1" vm="2">
        <f t="array" ref="F265">TRANSPOSE(_xlfn._xlws.FILTER(_xlfn.ANCHORARRAY($B$2),_xlfn.ANCHORARRAY($A$2)=$E265))</f>
        <v>#VALUE!</v>
      </c>
    </row>
    <row r="266" spans="6:6" x14ac:dyDescent="0.25">
      <c r="F266" t="e" cm="1" vm="2">
        <f t="array" ref="F266">TRANSPOSE(_xlfn._xlws.FILTER(_xlfn.ANCHORARRAY($B$2),_xlfn.ANCHORARRAY($A$2)=$E266))</f>
        <v>#VALUE!</v>
      </c>
    </row>
    <row r="267" spans="6:6" x14ac:dyDescent="0.25">
      <c r="F267" t="e" cm="1" vm="2">
        <f t="array" ref="F267">TRANSPOSE(_xlfn._xlws.FILTER(_xlfn.ANCHORARRAY($B$2),_xlfn.ANCHORARRAY($A$2)=$E267))</f>
        <v>#VALUE!</v>
      </c>
    </row>
    <row r="268" spans="6:6" x14ac:dyDescent="0.25">
      <c r="F268" t="e" cm="1" vm="2">
        <f t="array" ref="F268">TRANSPOSE(_xlfn._xlws.FILTER(_xlfn.ANCHORARRAY($B$2),_xlfn.ANCHORARRAY($A$2)=$E268))</f>
        <v>#VALUE!</v>
      </c>
    </row>
    <row r="269" spans="6:6" x14ac:dyDescent="0.25">
      <c r="F269" t="e" cm="1" vm="2">
        <f t="array" ref="F269">TRANSPOSE(_xlfn._xlws.FILTER(_xlfn.ANCHORARRAY($B$2),_xlfn.ANCHORARRAY($A$2)=$E269))</f>
        <v>#VALUE!</v>
      </c>
    </row>
    <row r="270" spans="6:6" x14ac:dyDescent="0.25">
      <c r="F270" t="e" cm="1" vm="2">
        <f t="array" ref="F270">TRANSPOSE(_xlfn._xlws.FILTER(_xlfn.ANCHORARRAY($B$2),_xlfn.ANCHORARRAY($A$2)=$E270))</f>
        <v>#VALUE!</v>
      </c>
    </row>
    <row r="271" spans="6:6" x14ac:dyDescent="0.25">
      <c r="F271" t="e" cm="1" vm="2">
        <f t="array" ref="F271">TRANSPOSE(_xlfn._xlws.FILTER(_xlfn.ANCHORARRAY($B$2),_xlfn.ANCHORARRAY($A$2)=$E271))</f>
        <v>#VALUE!</v>
      </c>
    </row>
    <row r="272" spans="6:6" x14ac:dyDescent="0.25">
      <c r="F272" t="e" cm="1" vm="2">
        <f t="array" ref="F272">TRANSPOSE(_xlfn._xlws.FILTER(_xlfn.ANCHORARRAY($B$2),_xlfn.ANCHORARRAY($A$2)=$E272))</f>
        <v>#VALUE!</v>
      </c>
    </row>
    <row r="273" spans="6:6" x14ac:dyDescent="0.25">
      <c r="F273" t="e" cm="1" vm="2">
        <f t="array" ref="F273">TRANSPOSE(_xlfn._xlws.FILTER(_xlfn.ANCHORARRAY($B$2),_xlfn.ANCHORARRAY($A$2)=$E273))</f>
        <v>#VALUE!</v>
      </c>
    </row>
    <row r="274" spans="6:6" x14ac:dyDescent="0.25">
      <c r="F274" t="e" cm="1" vm="2">
        <f t="array" ref="F274">TRANSPOSE(_xlfn._xlws.FILTER(_xlfn.ANCHORARRAY($B$2),_xlfn.ANCHORARRAY($A$2)=$E274))</f>
        <v>#VALUE!</v>
      </c>
    </row>
    <row r="275" spans="6:6" x14ac:dyDescent="0.25">
      <c r="F275" t="e" cm="1" vm="2">
        <f t="array" ref="F275">TRANSPOSE(_xlfn._xlws.FILTER(_xlfn.ANCHORARRAY($B$2),_xlfn.ANCHORARRAY($A$2)=$E275))</f>
        <v>#VALUE!</v>
      </c>
    </row>
    <row r="276" spans="6:6" x14ac:dyDescent="0.25">
      <c r="F276" t="e" cm="1" vm="2">
        <f t="array" ref="F276">TRANSPOSE(_xlfn._xlws.FILTER(_xlfn.ANCHORARRAY($B$2),_xlfn.ANCHORARRAY($A$2)=$E276))</f>
        <v>#VALUE!</v>
      </c>
    </row>
    <row r="277" spans="6:6" x14ac:dyDescent="0.25">
      <c r="F277" t="e" cm="1" vm="2">
        <f t="array" ref="F277">TRANSPOSE(_xlfn._xlws.FILTER(_xlfn.ANCHORARRAY($B$2),_xlfn.ANCHORARRAY($A$2)=$E277))</f>
        <v>#VALUE!</v>
      </c>
    </row>
    <row r="278" spans="6:6" x14ac:dyDescent="0.25">
      <c r="F278" t="e" cm="1" vm="2">
        <f t="array" ref="F278">TRANSPOSE(_xlfn._xlws.FILTER(_xlfn.ANCHORARRAY($B$2),_xlfn.ANCHORARRAY($A$2)=$E278))</f>
        <v>#VALUE!</v>
      </c>
    </row>
    <row r="279" spans="6:6" x14ac:dyDescent="0.25">
      <c r="F279" t="e" cm="1" vm="2">
        <f t="array" ref="F279">TRANSPOSE(_xlfn._xlws.FILTER(_xlfn.ANCHORARRAY($B$2),_xlfn.ANCHORARRAY($A$2)=$E279))</f>
        <v>#VALUE!</v>
      </c>
    </row>
    <row r="280" spans="6:6" x14ac:dyDescent="0.25">
      <c r="F280" t="e" cm="1" vm="2">
        <f t="array" ref="F280">TRANSPOSE(_xlfn._xlws.FILTER(_xlfn.ANCHORARRAY($B$2),_xlfn.ANCHORARRAY($A$2)=$E280))</f>
        <v>#VALUE!</v>
      </c>
    </row>
    <row r="281" spans="6:6" x14ac:dyDescent="0.25">
      <c r="F281" t="e" cm="1" vm="2">
        <f t="array" ref="F281">TRANSPOSE(_xlfn._xlws.FILTER(_xlfn.ANCHORARRAY($B$2),_xlfn.ANCHORARRAY($A$2)=$E281))</f>
        <v>#VALUE!</v>
      </c>
    </row>
    <row r="282" spans="6:6" x14ac:dyDescent="0.25">
      <c r="F282" t="e" cm="1" vm="2">
        <f t="array" ref="F282">TRANSPOSE(_xlfn._xlws.FILTER(_xlfn.ANCHORARRAY($B$2),_xlfn.ANCHORARRAY($A$2)=$E282))</f>
        <v>#VALUE!</v>
      </c>
    </row>
    <row r="283" spans="6:6" x14ac:dyDescent="0.25">
      <c r="F283" t="e" cm="1" vm="2">
        <f t="array" ref="F283">TRANSPOSE(_xlfn._xlws.FILTER(_xlfn.ANCHORARRAY($B$2),_xlfn.ANCHORARRAY($A$2)=$E283))</f>
        <v>#VALUE!</v>
      </c>
    </row>
    <row r="284" spans="6:6" x14ac:dyDescent="0.25">
      <c r="F284" t="e" cm="1" vm="2">
        <f t="array" ref="F284">TRANSPOSE(_xlfn._xlws.FILTER(_xlfn.ANCHORARRAY($B$2),_xlfn.ANCHORARRAY($A$2)=$E284))</f>
        <v>#VALUE!</v>
      </c>
    </row>
    <row r="285" spans="6:6" x14ac:dyDescent="0.25">
      <c r="F285" t="e" cm="1" vm="2">
        <f t="array" ref="F285">TRANSPOSE(_xlfn._xlws.FILTER(_xlfn.ANCHORARRAY($B$2),_xlfn.ANCHORARRAY($A$2)=$E285))</f>
        <v>#VALUE!</v>
      </c>
    </row>
    <row r="286" spans="6:6" x14ac:dyDescent="0.25">
      <c r="F286" t="e" cm="1" vm="2">
        <f t="array" ref="F286">TRANSPOSE(_xlfn._xlws.FILTER(_xlfn.ANCHORARRAY($B$2),_xlfn.ANCHORARRAY($A$2)=$E286))</f>
        <v>#VALUE!</v>
      </c>
    </row>
    <row r="287" spans="6:6" x14ac:dyDescent="0.25">
      <c r="F287" t="e" cm="1" vm="2">
        <f t="array" ref="F287">TRANSPOSE(_xlfn._xlws.FILTER(_xlfn.ANCHORARRAY($B$2),_xlfn.ANCHORARRAY($A$2)=$E287))</f>
        <v>#VALUE!</v>
      </c>
    </row>
    <row r="288" spans="6:6" x14ac:dyDescent="0.25">
      <c r="F288" t="e" cm="1" vm="2">
        <f t="array" ref="F288">TRANSPOSE(_xlfn._xlws.FILTER(_xlfn.ANCHORARRAY($B$2),_xlfn.ANCHORARRAY($A$2)=$E288))</f>
        <v>#VALUE!</v>
      </c>
    </row>
    <row r="289" spans="6:6" x14ac:dyDescent="0.25">
      <c r="F289" t="e" cm="1" vm="2">
        <f t="array" ref="F289">TRANSPOSE(_xlfn._xlws.FILTER(_xlfn.ANCHORARRAY($B$2),_xlfn.ANCHORARRAY($A$2)=$E289))</f>
        <v>#VALUE!</v>
      </c>
    </row>
    <row r="290" spans="6:6" x14ac:dyDescent="0.25">
      <c r="F290" t="e" cm="1" vm="2">
        <f t="array" ref="F290">TRANSPOSE(_xlfn._xlws.FILTER(_xlfn.ANCHORARRAY($B$2),_xlfn.ANCHORARRAY($A$2)=$E290))</f>
        <v>#VALUE!</v>
      </c>
    </row>
    <row r="291" spans="6:6" x14ac:dyDescent="0.25">
      <c r="F291" t="e" cm="1" vm="2">
        <f t="array" ref="F291">TRANSPOSE(_xlfn._xlws.FILTER(_xlfn.ANCHORARRAY($B$2),_xlfn.ANCHORARRAY($A$2)=$E291))</f>
        <v>#VALUE!</v>
      </c>
    </row>
    <row r="292" spans="6:6" x14ac:dyDescent="0.25">
      <c r="F292" t="e" cm="1" vm="2">
        <f t="array" ref="F292">TRANSPOSE(_xlfn._xlws.FILTER(_xlfn.ANCHORARRAY($B$2),_xlfn.ANCHORARRAY($A$2)=$E292))</f>
        <v>#VALUE!</v>
      </c>
    </row>
    <row r="293" spans="6:6" x14ac:dyDescent="0.25">
      <c r="F293" t="e" cm="1" vm="2">
        <f t="array" ref="F293">TRANSPOSE(_xlfn._xlws.FILTER(_xlfn.ANCHORARRAY($B$2),_xlfn.ANCHORARRAY($A$2)=$E293))</f>
        <v>#VALUE!</v>
      </c>
    </row>
    <row r="294" spans="6:6" x14ac:dyDescent="0.25">
      <c r="F294" t="e" cm="1" vm="2">
        <f t="array" ref="F294">TRANSPOSE(_xlfn._xlws.FILTER(_xlfn.ANCHORARRAY($B$2),_xlfn.ANCHORARRAY($A$2)=$E294))</f>
        <v>#VALUE!</v>
      </c>
    </row>
    <row r="295" spans="6:6" x14ac:dyDescent="0.25">
      <c r="F295" t="e" cm="1" vm="2">
        <f t="array" ref="F295">TRANSPOSE(_xlfn._xlws.FILTER(_xlfn.ANCHORARRAY($B$2),_xlfn.ANCHORARRAY($A$2)=$E295))</f>
        <v>#VALUE!</v>
      </c>
    </row>
    <row r="296" spans="6:6" x14ac:dyDescent="0.25">
      <c r="F296" t="e" cm="1" vm="2">
        <f t="array" ref="F296">TRANSPOSE(_xlfn._xlws.FILTER(_xlfn.ANCHORARRAY($B$2),_xlfn.ANCHORARRAY($A$2)=$E296))</f>
        <v>#VALUE!</v>
      </c>
    </row>
    <row r="297" spans="6:6" x14ac:dyDescent="0.25">
      <c r="F297" t="e" cm="1" vm="2">
        <f t="array" ref="F297">TRANSPOSE(_xlfn._xlws.FILTER(_xlfn.ANCHORARRAY($B$2),_xlfn.ANCHORARRAY($A$2)=$E297))</f>
        <v>#VALUE!</v>
      </c>
    </row>
    <row r="298" spans="6:6" x14ac:dyDescent="0.25">
      <c r="F298" t="e" cm="1" vm="2">
        <f t="array" ref="F298">TRANSPOSE(_xlfn._xlws.FILTER(_xlfn.ANCHORARRAY($B$2),_xlfn.ANCHORARRAY($A$2)=$E298))</f>
        <v>#VALUE!</v>
      </c>
    </row>
    <row r="299" spans="6:6" x14ac:dyDescent="0.25">
      <c r="F299" t="e" cm="1" vm="2">
        <f t="array" ref="F299">TRANSPOSE(_xlfn._xlws.FILTER(_xlfn.ANCHORARRAY($B$2),_xlfn.ANCHORARRAY($A$2)=$E299))</f>
        <v>#VALUE!</v>
      </c>
    </row>
    <row r="300" spans="6:6" x14ac:dyDescent="0.25">
      <c r="F300" t="e" cm="1" vm="2">
        <f t="array" ref="F300">TRANSPOSE(_xlfn._xlws.FILTER(_xlfn.ANCHORARRAY($B$2),_xlfn.ANCHORARRAY($A$2)=$E300))</f>
        <v>#VALUE!</v>
      </c>
    </row>
    <row r="301" spans="6:6" x14ac:dyDescent="0.25">
      <c r="F301" t="e" cm="1" vm="2">
        <f t="array" ref="F301">TRANSPOSE(_xlfn._xlws.FILTER(_xlfn.ANCHORARRAY($B$2),_xlfn.ANCHORARRAY($A$2)=$E301))</f>
        <v>#VALUE!</v>
      </c>
    </row>
    <row r="302" spans="6:6" x14ac:dyDescent="0.25">
      <c r="F302" t="e" cm="1" vm="2">
        <f t="array" ref="F302">TRANSPOSE(_xlfn._xlws.FILTER(_xlfn.ANCHORARRAY($B$2),_xlfn.ANCHORARRAY($A$2)=$E302))</f>
        <v>#VALUE!</v>
      </c>
    </row>
    <row r="303" spans="6:6" x14ac:dyDescent="0.25">
      <c r="F303" t="e" cm="1" vm="2">
        <f t="array" ref="F303">TRANSPOSE(_xlfn._xlws.FILTER(_xlfn.ANCHORARRAY($B$2),_xlfn.ANCHORARRAY($A$2)=$E303))</f>
        <v>#VALUE!</v>
      </c>
    </row>
    <row r="304" spans="6:6" x14ac:dyDescent="0.25">
      <c r="F304" t="e" cm="1" vm="2">
        <f t="array" ref="F304">TRANSPOSE(_xlfn._xlws.FILTER(_xlfn.ANCHORARRAY($B$2),_xlfn.ANCHORARRAY($A$2)=$E304))</f>
        <v>#VALUE!</v>
      </c>
    </row>
    <row r="305" spans="6:6" x14ac:dyDescent="0.25">
      <c r="F305" t="e" cm="1" vm="2">
        <f t="array" ref="F305">TRANSPOSE(_xlfn._xlws.FILTER(_xlfn.ANCHORARRAY($B$2),_xlfn.ANCHORARRAY($A$2)=$E305))</f>
        <v>#VALUE!</v>
      </c>
    </row>
    <row r="306" spans="6:6" x14ac:dyDescent="0.25">
      <c r="F306" t="e" cm="1" vm="2">
        <f t="array" ref="F306">TRANSPOSE(_xlfn._xlws.FILTER(_xlfn.ANCHORARRAY($B$2),_xlfn.ANCHORARRAY($A$2)=$E306))</f>
        <v>#VALUE!</v>
      </c>
    </row>
    <row r="307" spans="6:6" x14ac:dyDescent="0.25">
      <c r="F307" t="e" cm="1" vm="2">
        <f t="array" ref="F307">TRANSPOSE(_xlfn._xlws.FILTER(_xlfn.ANCHORARRAY($B$2),_xlfn.ANCHORARRAY($A$2)=$E307))</f>
        <v>#VALUE!</v>
      </c>
    </row>
    <row r="308" spans="6:6" x14ac:dyDescent="0.25">
      <c r="F308" t="e" cm="1" vm="2">
        <f t="array" ref="F308">TRANSPOSE(_xlfn._xlws.FILTER(_xlfn.ANCHORARRAY($B$2),_xlfn.ANCHORARRAY($A$2)=$E308))</f>
        <v>#VALUE!</v>
      </c>
    </row>
    <row r="309" spans="6:6" x14ac:dyDescent="0.25">
      <c r="F309" t="e" cm="1" vm="2">
        <f t="array" ref="F309">TRANSPOSE(_xlfn._xlws.FILTER(_xlfn.ANCHORARRAY($B$2),_xlfn.ANCHORARRAY($A$2)=$E309))</f>
        <v>#VALUE!</v>
      </c>
    </row>
    <row r="310" spans="6:6" x14ac:dyDescent="0.25">
      <c r="F310" t="e" cm="1" vm="2">
        <f t="array" ref="F310">TRANSPOSE(_xlfn._xlws.FILTER(_xlfn.ANCHORARRAY($B$2),_xlfn.ANCHORARRAY($A$2)=$E310))</f>
        <v>#VALUE!</v>
      </c>
    </row>
    <row r="311" spans="6:6" x14ac:dyDescent="0.25">
      <c r="F311" t="e" cm="1" vm="2">
        <f t="array" ref="F311">TRANSPOSE(_xlfn._xlws.FILTER(_xlfn.ANCHORARRAY($B$2),_xlfn.ANCHORARRAY($A$2)=$E311))</f>
        <v>#VALUE!</v>
      </c>
    </row>
    <row r="312" spans="6:6" x14ac:dyDescent="0.25">
      <c r="F312" t="e" cm="1" vm="2">
        <f t="array" ref="F312">TRANSPOSE(_xlfn._xlws.FILTER(_xlfn.ANCHORARRAY($B$2),_xlfn.ANCHORARRAY($A$2)=$E312))</f>
        <v>#VALUE!</v>
      </c>
    </row>
    <row r="313" spans="6:6" x14ac:dyDescent="0.25">
      <c r="F313" t="e" cm="1" vm="2">
        <f t="array" ref="F313">TRANSPOSE(_xlfn._xlws.FILTER(_xlfn.ANCHORARRAY($B$2),_xlfn.ANCHORARRAY($A$2)=$E313))</f>
        <v>#VALUE!</v>
      </c>
    </row>
    <row r="314" spans="6:6" x14ac:dyDescent="0.25">
      <c r="F314" t="e" cm="1" vm="2">
        <f t="array" ref="F314">TRANSPOSE(_xlfn._xlws.FILTER(_xlfn.ANCHORARRAY($B$2),_xlfn.ANCHORARRAY($A$2)=$E314))</f>
        <v>#VALUE!</v>
      </c>
    </row>
    <row r="315" spans="6:6" x14ac:dyDescent="0.25">
      <c r="F315" t="e" cm="1" vm="2">
        <f t="array" ref="F315">TRANSPOSE(_xlfn._xlws.FILTER(_xlfn.ANCHORARRAY($B$2),_xlfn.ANCHORARRAY($A$2)=$E315))</f>
        <v>#VALUE!</v>
      </c>
    </row>
    <row r="316" spans="6:6" x14ac:dyDescent="0.25">
      <c r="F316" t="e" cm="1" vm="2">
        <f t="array" ref="F316">TRANSPOSE(_xlfn._xlws.FILTER(_xlfn.ANCHORARRAY($B$2),_xlfn.ANCHORARRAY($A$2)=$E316))</f>
        <v>#VALUE!</v>
      </c>
    </row>
    <row r="317" spans="6:6" x14ac:dyDescent="0.25">
      <c r="F317" t="e" cm="1" vm="2">
        <f t="array" ref="F317">TRANSPOSE(_xlfn._xlws.FILTER(_xlfn.ANCHORARRAY($B$2),_xlfn.ANCHORARRAY($A$2)=$E317))</f>
        <v>#VALUE!</v>
      </c>
    </row>
    <row r="318" spans="6:6" x14ac:dyDescent="0.25">
      <c r="F318" t="e" cm="1" vm="2">
        <f t="array" ref="F318">TRANSPOSE(_xlfn._xlws.FILTER(_xlfn.ANCHORARRAY($B$2),_xlfn.ANCHORARRAY($A$2)=$E318))</f>
        <v>#VALUE!</v>
      </c>
    </row>
    <row r="319" spans="6:6" x14ac:dyDescent="0.25">
      <c r="F319" t="e" cm="1" vm="2">
        <f t="array" ref="F319">TRANSPOSE(_xlfn._xlws.FILTER(_xlfn.ANCHORARRAY($B$2),_xlfn.ANCHORARRAY($A$2)=$E319))</f>
        <v>#VALUE!</v>
      </c>
    </row>
    <row r="320" spans="6:6" x14ac:dyDescent="0.25">
      <c r="F320" t="e" cm="1" vm="2">
        <f t="array" ref="F320">TRANSPOSE(_xlfn._xlws.FILTER(_xlfn.ANCHORARRAY($B$2),_xlfn.ANCHORARRAY($A$2)=$E320))</f>
        <v>#VALUE!</v>
      </c>
    </row>
    <row r="321" spans="6:6" x14ac:dyDescent="0.25">
      <c r="F321" t="e" cm="1" vm="2">
        <f t="array" ref="F321">TRANSPOSE(_xlfn._xlws.FILTER(_xlfn.ANCHORARRAY($B$2),_xlfn.ANCHORARRAY($A$2)=$E321))</f>
        <v>#VALUE!</v>
      </c>
    </row>
    <row r="322" spans="6:6" x14ac:dyDescent="0.25">
      <c r="F322" t="e" cm="1" vm="2">
        <f t="array" ref="F322">TRANSPOSE(_xlfn._xlws.FILTER(_xlfn.ANCHORARRAY($B$2),_xlfn.ANCHORARRAY($A$2)=$E322))</f>
        <v>#VALUE!</v>
      </c>
    </row>
    <row r="323" spans="6:6" x14ac:dyDescent="0.25">
      <c r="F323" t="e" cm="1" vm="2">
        <f t="array" ref="F323">TRANSPOSE(_xlfn._xlws.FILTER(_xlfn.ANCHORARRAY($B$2),_xlfn.ANCHORARRAY($A$2)=$E323))</f>
        <v>#VALUE!</v>
      </c>
    </row>
    <row r="324" spans="6:6" x14ac:dyDescent="0.25">
      <c r="F324" t="e" cm="1" vm="2">
        <f t="array" ref="F324">TRANSPOSE(_xlfn._xlws.FILTER(_xlfn.ANCHORARRAY($B$2),_xlfn.ANCHORARRAY($A$2)=$E324))</f>
        <v>#VALUE!</v>
      </c>
    </row>
    <row r="325" spans="6:6" x14ac:dyDescent="0.25">
      <c r="F325" t="e" cm="1" vm="2">
        <f t="array" ref="F325">TRANSPOSE(_xlfn._xlws.FILTER(_xlfn.ANCHORARRAY($B$2),_xlfn.ANCHORARRAY($A$2)=$E325))</f>
        <v>#VALUE!</v>
      </c>
    </row>
    <row r="326" spans="6:6" x14ac:dyDescent="0.25">
      <c r="F326" t="e" cm="1" vm="2">
        <f t="array" ref="F326">TRANSPOSE(_xlfn._xlws.FILTER(_xlfn.ANCHORARRAY($B$2),_xlfn.ANCHORARRAY($A$2)=$E326))</f>
        <v>#VALUE!</v>
      </c>
    </row>
    <row r="327" spans="6:6" x14ac:dyDescent="0.25">
      <c r="F327" t="e" cm="1" vm="2">
        <f t="array" ref="F327">TRANSPOSE(_xlfn._xlws.FILTER(_xlfn.ANCHORARRAY($B$2),_xlfn.ANCHORARRAY($A$2)=$E327))</f>
        <v>#VALUE!</v>
      </c>
    </row>
    <row r="328" spans="6:6" x14ac:dyDescent="0.25">
      <c r="F328" t="e" cm="1" vm="2">
        <f t="array" ref="F328">TRANSPOSE(_xlfn._xlws.FILTER(_xlfn.ANCHORARRAY($B$2),_xlfn.ANCHORARRAY($A$2)=$E328))</f>
        <v>#VALUE!</v>
      </c>
    </row>
    <row r="329" spans="6:6" x14ac:dyDescent="0.25">
      <c r="F329" t="e" cm="1" vm="2">
        <f t="array" ref="F329">TRANSPOSE(_xlfn._xlws.FILTER(_xlfn.ANCHORARRAY($B$2),_xlfn.ANCHORARRAY($A$2)=$E329))</f>
        <v>#VALUE!</v>
      </c>
    </row>
    <row r="330" spans="6:6" x14ac:dyDescent="0.25">
      <c r="F330" t="e" cm="1" vm="2">
        <f t="array" ref="F330">TRANSPOSE(_xlfn._xlws.FILTER(_xlfn.ANCHORARRAY($B$2),_xlfn.ANCHORARRAY($A$2)=$E330))</f>
        <v>#VALUE!</v>
      </c>
    </row>
    <row r="331" spans="6:6" x14ac:dyDescent="0.25">
      <c r="F331" t="e" cm="1" vm="2">
        <f t="array" ref="F331">TRANSPOSE(_xlfn._xlws.FILTER(_xlfn.ANCHORARRAY($B$2),_xlfn.ANCHORARRAY($A$2)=$E331))</f>
        <v>#VALUE!</v>
      </c>
    </row>
    <row r="332" spans="6:6" x14ac:dyDescent="0.25">
      <c r="F332" t="e" cm="1" vm="2">
        <f t="array" ref="F332">TRANSPOSE(_xlfn._xlws.FILTER(_xlfn.ANCHORARRAY($B$2),_xlfn.ANCHORARRAY($A$2)=$E332))</f>
        <v>#VALUE!</v>
      </c>
    </row>
    <row r="333" spans="6:6" x14ac:dyDescent="0.25">
      <c r="F333" t="e" cm="1" vm="2">
        <f t="array" ref="F333">TRANSPOSE(_xlfn._xlws.FILTER(_xlfn.ANCHORARRAY($B$2),_xlfn.ANCHORARRAY($A$2)=$E333))</f>
        <v>#VALUE!</v>
      </c>
    </row>
    <row r="334" spans="6:6" x14ac:dyDescent="0.25">
      <c r="F334" t="e" cm="1" vm="2">
        <f t="array" ref="F334">TRANSPOSE(_xlfn._xlws.FILTER(_xlfn.ANCHORARRAY($B$2),_xlfn.ANCHORARRAY($A$2)=$E334))</f>
        <v>#VALUE!</v>
      </c>
    </row>
    <row r="335" spans="6:6" x14ac:dyDescent="0.25">
      <c r="F335" t="e" cm="1" vm="2">
        <f t="array" ref="F335">TRANSPOSE(_xlfn._xlws.FILTER(_xlfn.ANCHORARRAY($B$2),_xlfn.ANCHORARRAY($A$2)=$E335))</f>
        <v>#VALUE!</v>
      </c>
    </row>
    <row r="336" spans="6:6" x14ac:dyDescent="0.25">
      <c r="F336" t="e" cm="1" vm="2">
        <f t="array" ref="F336">TRANSPOSE(_xlfn._xlws.FILTER(_xlfn.ANCHORARRAY($B$2),_xlfn.ANCHORARRAY($A$2)=$E336))</f>
        <v>#VALUE!</v>
      </c>
    </row>
    <row r="337" spans="6:6" x14ac:dyDescent="0.25">
      <c r="F337" t="e" cm="1" vm="2">
        <f t="array" ref="F337">TRANSPOSE(_xlfn._xlws.FILTER(_xlfn.ANCHORARRAY($B$2),_xlfn.ANCHORARRAY($A$2)=$E337))</f>
        <v>#VALUE!</v>
      </c>
    </row>
    <row r="338" spans="6:6" x14ac:dyDescent="0.25">
      <c r="F338" t="e" cm="1" vm="2">
        <f t="array" ref="F338">TRANSPOSE(_xlfn._xlws.FILTER(_xlfn.ANCHORARRAY($B$2),_xlfn.ANCHORARRAY($A$2)=$E338))</f>
        <v>#VALUE!</v>
      </c>
    </row>
    <row r="339" spans="6:6" x14ac:dyDescent="0.25">
      <c r="F339" t="e" cm="1" vm="2">
        <f t="array" ref="F339">TRANSPOSE(_xlfn._xlws.FILTER(_xlfn.ANCHORARRAY($B$2),_xlfn.ANCHORARRAY($A$2)=$E339))</f>
        <v>#VALUE!</v>
      </c>
    </row>
    <row r="340" spans="6:6" x14ac:dyDescent="0.25">
      <c r="F340" t="e" cm="1" vm="2">
        <f t="array" ref="F340">TRANSPOSE(_xlfn._xlws.FILTER(_xlfn.ANCHORARRAY($B$2),_xlfn.ANCHORARRAY($A$2)=$E340))</f>
        <v>#VALUE!</v>
      </c>
    </row>
    <row r="341" spans="6:6" x14ac:dyDescent="0.25">
      <c r="F341" t="e" cm="1" vm="2">
        <f t="array" ref="F341">TRANSPOSE(_xlfn._xlws.FILTER(_xlfn.ANCHORARRAY($B$2),_xlfn.ANCHORARRAY($A$2)=$E341))</f>
        <v>#VALUE!</v>
      </c>
    </row>
    <row r="342" spans="6:6" x14ac:dyDescent="0.25">
      <c r="F342" t="e" cm="1" vm="2">
        <f t="array" ref="F342">TRANSPOSE(_xlfn._xlws.FILTER(_xlfn.ANCHORARRAY($B$2),_xlfn.ANCHORARRAY($A$2)=$E342))</f>
        <v>#VALUE!</v>
      </c>
    </row>
    <row r="343" spans="6:6" x14ac:dyDescent="0.25">
      <c r="F343" t="e" cm="1" vm="2">
        <f t="array" ref="F343">TRANSPOSE(_xlfn._xlws.FILTER(_xlfn.ANCHORARRAY($B$2),_xlfn.ANCHORARRAY($A$2)=$E343))</f>
        <v>#VALUE!</v>
      </c>
    </row>
    <row r="344" spans="6:6" x14ac:dyDescent="0.25">
      <c r="F344" t="e" cm="1" vm="2">
        <f t="array" ref="F344">TRANSPOSE(_xlfn._xlws.FILTER(_xlfn.ANCHORARRAY($B$2),_xlfn.ANCHORARRAY($A$2)=$E344))</f>
        <v>#VALUE!</v>
      </c>
    </row>
    <row r="345" spans="6:6" x14ac:dyDescent="0.25">
      <c r="F345" t="e" cm="1" vm="2">
        <f t="array" ref="F345">TRANSPOSE(_xlfn._xlws.FILTER(_xlfn.ANCHORARRAY($B$2),_xlfn.ANCHORARRAY($A$2)=$E345))</f>
        <v>#VALUE!</v>
      </c>
    </row>
    <row r="346" spans="6:6" x14ac:dyDescent="0.25">
      <c r="F346" t="e" cm="1" vm="2">
        <f t="array" ref="F346">TRANSPOSE(_xlfn._xlws.FILTER(_xlfn.ANCHORARRAY($B$2),_xlfn.ANCHORARRAY($A$2)=$E346))</f>
        <v>#VALUE!</v>
      </c>
    </row>
    <row r="347" spans="6:6" x14ac:dyDescent="0.25">
      <c r="F347" t="e" cm="1" vm="2">
        <f t="array" ref="F347">TRANSPOSE(_xlfn._xlws.FILTER(_xlfn.ANCHORARRAY($B$2),_xlfn.ANCHORARRAY($A$2)=$E347))</f>
        <v>#VALUE!</v>
      </c>
    </row>
    <row r="348" spans="6:6" x14ac:dyDescent="0.25">
      <c r="F348" t="e" cm="1" vm="2">
        <f t="array" ref="F348">TRANSPOSE(_xlfn._xlws.FILTER(_xlfn.ANCHORARRAY($B$2),_xlfn.ANCHORARRAY($A$2)=$E348))</f>
        <v>#VALUE!</v>
      </c>
    </row>
    <row r="349" spans="6:6" x14ac:dyDescent="0.25">
      <c r="F349" t="e" cm="1" vm="2">
        <f t="array" ref="F349">TRANSPOSE(_xlfn._xlws.FILTER(_xlfn.ANCHORARRAY($B$2),_xlfn.ANCHORARRAY($A$2)=$E349))</f>
        <v>#VALUE!</v>
      </c>
    </row>
    <row r="350" spans="6:6" x14ac:dyDescent="0.25">
      <c r="F350" t="e" cm="1" vm="2">
        <f t="array" ref="F350">TRANSPOSE(_xlfn._xlws.FILTER(_xlfn.ANCHORARRAY($B$2),_xlfn.ANCHORARRAY($A$2)=$E350))</f>
        <v>#VALUE!</v>
      </c>
    </row>
    <row r="351" spans="6:6" x14ac:dyDescent="0.25">
      <c r="F351" t="e" cm="1" vm="2">
        <f t="array" ref="F351">TRANSPOSE(_xlfn._xlws.FILTER(_xlfn.ANCHORARRAY($B$2),_xlfn.ANCHORARRAY($A$2)=$E351))</f>
        <v>#VALUE!</v>
      </c>
    </row>
    <row r="352" spans="6:6" x14ac:dyDescent="0.25">
      <c r="F352" t="e" cm="1" vm="2">
        <f t="array" ref="F352">TRANSPOSE(_xlfn._xlws.FILTER(_xlfn.ANCHORARRAY($B$2),_xlfn.ANCHORARRAY($A$2)=$E352))</f>
        <v>#VALUE!</v>
      </c>
    </row>
    <row r="353" spans="6:6" x14ac:dyDescent="0.25">
      <c r="F353" t="e" cm="1" vm="2">
        <f t="array" ref="F353">TRANSPOSE(_xlfn._xlws.FILTER(_xlfn.ANCHORARRAY($B$2),_xlfn.ANCHORARRAY($A$2)=$E353))</f>
        <v>#VALUE!</v>
      </c>
    </row>
    <row r="354" spans="6:6" x14ac:dyDescent="0.25">
      <c r="F354" t="e" cm="1" vm="2">
        <f t="array" ref="F354">TRANSPOSE(_xlfn._xlws.FILTER(_xlfn.ANCHORARRAY($B$2),_xlfn.ANCHORARRAY($A$2)=$E354))</f>
        <v>#VALUE!</v>
      </c>
    </row>
    <row r="355" spans="6:6" x14ac:dyDescent="0.25">
      <c r="F355" t="e" cm="1" vm="2">
        <f t="array" ref="F355">TRANSPOSE(_xlfn._xlws.FILTER(_xlfn.ANCHORARRAY($B$2),_xlfn.ANCHORARRAY($A$2)=$E355))</f>
        <v>#VALUE!</v>
      </c>
    </row>
    <row r="356" spans="6:6" x14ac:dyDescent="0.25">
      <c r="F356" t="e" cm="1" vm="2">
        <f t="array" ref="F356">TRANSPOSE(_xlfn._xlws.FILTER(_xlfn.ANCHORARRAY($B$2),_xlfn.ANCHORARRAY($A$2)=$E356))</f>
        <v>#VALUE!</v>
      </c>
    </row>
    <row r="357" spans="6:6" x14ac:dyDescent="0.25">
      <c r="F357" t="e" cm="1" vm="2">
        <f t="array" ref="F357">TRANSPOSE(_xlfn._xlws.FILTER(_xlfn.ANCHORARRAY($B$2),_xlfn.ANCHORARRAY($A$2)=$E357))</f>
        <v>#VALUE!</v>
      </c>
    </row>
    <row r="358" spans="6:6" x14ac:dyDescent="0.25">
      <c r="F358" t="e" cm="1" vm="2">
        <f t="array" ref="F358">TRANSPOSE(_xlfn._xlws.FILTER(_xlfn.ANCHORARRAY($B$2),_xlfn.ANCHORARRAY($A$2)=$E358))</f>
        <v>#VALUE!</v>
      </c>
    </row>
    <row r="359" spans="6:6" x14ac:dyDescent="0.25">
      <c r="F359" t="e" cm="1" vm="2">
        <f t="array" ref="F359">TRANSPOSE(_xlfn._xlws.FILTER(_xlfn.ANCHORARRAY($B$2),_xlfn.ANCHORARRAY($A$2)=$E359))</f>
        <v>#VALUE!</v>
      </c>
    </row>
    <row r="360" spans="6:6" x14ac:dyDescent="0.25">
      <c r="F360" t="e" cm="1" vm="2">
        <f t="array" ref="F360">TRANSPOSE(_xlfn._xlws.FILTER(_xlfn.ANCHORARRAY($B$2),_xlfn.ANCHORARRAY($A$2)=$E360))</f>
        <v>#VALUE!</v>
      </c>
    </row>
    <row r="361" spans="6:6" x14ac:dyDescent="0.25">
      <c r="F361" t="e" cm="1" vm="2">
        <f t="array" ref="F361">TRANSPOSE(_xlfn._xlws.FILTER(_xlfn.ANCHORARRAY($B$2),_xlfn.ANCHORARRAY($A$2)=$E361))</f>
        <v>#VALUE!</v>
      </c>
    </row>
    <row r="362" spans="6:6" x14ac:dyDescent="0.25">
      <c r="F362" t="e" cm="1" vm="2">
        <f t="array" ref="F362">TRANSPOSE(_xlfn._xlws.FILTER(_xlfn.ANCHORARRAY($B$2),_xlfn.ANCHORARRAY($A$2)=$E362))</f>
        <v>#VALUE!</v>
      </c>
    </row>
    <row r="363" spans="6:6" x14ac:dyDescent="0.25">
      <c r="F363" t="e" cm="1" vm="2">
        <f t="array" ref="F363">TRANSPOSE(_xlfn._xlws.FILTER(_xlfn.ANCHORARRAY($B$2),_xlfn.ANCHORARRAY($A$2)=$E363))</f>
        <v>#VALUE!</v>
      </c>
    </row>
    <row r="364" spans="6:6" x14ac:dyDescent="0.25">
      <c r="F364" t="e" cm="1" vm="2">
        <f t="array" ref="F364">TRANSPOSE(_xlfn._xlws.FILTER(_xlfn.ANCHORARRAY($B$2),_xlfn.ANCHORARRAY($A$2)=$E364))</f>
        <v>#VALUE!</v>
      </c>
    </row>
    <row r="365" spans="6:6" x14ac:dyDescent="0.25">
      <c r="F365" t="e" cm="1" vm="2">
        <f t="array" ref="F365">TRANSPOSE(_xlfn._xlws.FILTER(_xlfn.ANCHORARRAY($B$2),_xlfn.ANCHORARRAY($A$2)=$E365))</f>
        <v>#VALUE!</v>
      </c>
    </row>
    <row r="366" spans="6:6" x14ac:dyDescent="0.25">
      <c r="F366" t="e" cm="1" vm="2">
        <f t="array" ref="F366">TRANSPOSE(_xlfn._xlws.FILTER(_xlfn.ANCHORARRAY($B$2),_xlfn.ANCHORARRAY($A$2)=$E366))</f>
        <v>#VALUE!</v>
      </c>
    </row>
    <row r="367" spans="6:6" x14ac:dyDescent="0.25">
      <c r="F367" t="e" cm="1" vm="2">
        <f t="array" ref="F367">TRANSPOSE(_xlfn._xlws.FILTER(_xlfn.ANCHORARRAY($B$2),_xlfn.ANCHORARRAY($A$2)=$E367))</f>
        <v>#VALUE!</v>
      </c>
    </row>
    <row r="368" spans="6:6" x14ac:dyDescent="0.25">
      <c r="F368" t="e" cm="1" vm="2">
        <f t="array" ref="F368">TRANSPOSE(_xlfn._xlws.FILTER(_xlfn.ANCHORARRAY($B$2),_xlfn.ANCHORARRAY($A$2)=$E368))</f>
        <v>#VALUE!</v>
      </c>
    </row>
    <row r="369" spans="6:6" x14ac:dyDescent="0.25">
      <c r="F369" t="e" cm="1" vm="2">
        <f t="array" ref="F369">TRANSPOSE(_xlfn._xlws.FILTER(_xlfn.ANCHORARRAY($B$2),_xlfn.ANCHORARRAY($A$2)=$E369))</f>
        <v>#VALUE!</v>
      </c>
    </row>
    <row r="370" spans="6:6" x14ac:dyDescent="0.25">
      <c r="F370" t="e" cm="1" vm="2">
        <f t="array" ref="F370">TRANSPOSE(_xlfn._xlws.FILTER(_xlfn.ANCHORARRAY($B$2),_xlfn.ANCHORARRAY($A$2)=$E370))</f>
        <v>#VALUE!</v>
      </c>
    </row>
    <row r="371" spans="6:6" x14ac:dyDescent="0.25">
      <c r="F371" t="e" cm="1" vm="2">
        <f t="array" ref="F371">TRANSPOSE(_xlfn._xlws.FILTER(_xlfn.ANCHORARRAY($B$2),_xlfn.ANCHORARRAY($A$2)=$E371))</f>
        <v>#VALUE!</v>
      </c>
    </row>
    <row r="372" spans="6:6" x14ac:dyDescent="0.25">
      <c r="F372" t="e" cm="1" vm="2">
        <f t="array" ref="F372">TRANSPOSE(_xlfn._xlws.FILTER(_xlfn.ANCHORARRAY($B$2),_xlfn.ANCHORARRAY($A$2)=$E372))</f>
        <v>#VALUE!</v>
      </c>
    </row>
    <row r="373" spans="6:6" x14ac:dyDescent="0.25">
      <c r="F373" t="e" cm="1" vm="2">
        <f t="array" ref="F373">TRANSPOSE(_xlfn._xlws.FILTER(_xlfn.ANCHORARRAY($B$2),_xlfn.ANCHORARRAY($A$2)=$E373))</f>
        <v>#VALUE!</v>
      </c>
    </row>
    <row r="374" spans="6:6" x14ac:dyDescent="0.25">
      <c r="F374" t="e" cm="1" vm="2">
        <f t="array" ref="F374">TRANSPOSE(_xlfn._xlws.FILTER(_xlfn.ANCHORARRAY($B$2),_xlfn.ANCHORARRAY($A$2)=$E374))</f>
        <v>#VALUE!</v>
      </c>
    </row>
    <row r="375" spans="6:6" x14ac:dyDescent="0.25">
      <c r="F375" t="e" cm="1" vm="2">
        <f t="array" ref="F375">TRANSPOSE(_xlfn._xlws.FILTER(_xlfn.ANCHORARRAY($B$2),_xlfn.ANCHORARRAY($A$2)=$E375))</f>
        <v>#VALUE!</v>
      </c>
    </row>
    <row r="376" spans="6:6" x14ac:dyDescent="0.25">
      <c r="F376" t="e" cm="1" vm="2">
        <f t="array" ref="F376">TRANSPOSE(_xlfn._xlws.FILTER(_xlfn.ANCHORARRAY($B$2),_xlfn.ANCHORARRAY($A$2)=$E376))</f>
        <v>#VALUE!</v>
      </c>
    </row>
    <row r="377" spans="6:6" x14ac:dyDescent="0.25">
      <c r="F377" t="e" cm="1" vm="2">
        <f t="array" ref="F377">TRANSPOSE(_xlfn._xlws.FILTER(_xlfn.ANCHORARRAY($B$2),_xlfn.ANCHORARRAY($A$2)=$E377))</f>
        <v>#VALUE!</v>
      </c>
    </row>
    <row r="378" spans="6:6" x14ac:dyDescent="0.25">
      <c r="F378" t="e" cm="1" vm="2">
        <f t="array" ref="F378">TRANSPOSE(_xlfn._xlws.FILTER(_xlfn.ANCHORARRAY($B$2),_xlfn.ANCHORARRAY($A$2)=$E378))</f>
        <v>#VALUE!</v>
      </c>
    </row>
    <row r="379" spans="6:6" x14ac:dyDescent="0.25">
      <c r="F379" t="e" cm="1" vm="2">
        <f t="array" ref="F379">TRANSPOSE(_xlfn._xlws.FILTER(_xlfn.ANCHORARRAY($B$2),_xlfn.ANCHORARRAY($A$2)=$E379))</f>
        <v>#VALUE!</v>
      </c>
    </row>
    <row r="380" spans="6:6" x14ac:dyDescent="0.25">
      <c r="F380" t="e" cm="1" vm="2">
        <f t="array" ref="F380">TRANSPOSE(_xlfn._xlws.FILTER(_xlfn.ANCHORARRAY($B$2),_xlfn.ANCHORARRAY($A$2)=$E380))</f>
        <v>#VALUE!</v>
      </c>
    </row>
    <row r="381" spans="6:6" x14ac:dyDescent="0.25">
      <c r="F381" t="e" cm="1" vm="2">
        <f t="array" ref="F381">TRANSPOSE(_xlfn._xlws.FILTER(_xlfn.ANCHORARRAY($B$2),_xlfn.ANCHORARRAY($A$2)=$E381))</f>
        <v>#VALUE!</v>
      </c>
    </row>
    <row r="382" spans="6:6" x14ac:dyDescent="0.25">
      <c r="F382" t="e" cm="1" vm="2">
        <f t="array" ref="F382">TRANSPOSE(_xlfn._xlws.FILTER(_xlfn.ANCHORARRAY($B$2),_xlfn.ANCHORARRAY($A$2)=$E382))</f>
        <v>#VALUE!</v>
      </c>
    </row>
    <row r="383" spans="6:6" x14ac:dyDescent="0.25">
      <c r="F383" t="e" cm="1" vm="2">
        <f t="array" ref="F383">TRANSPOSE(_xlfn._xlws.FILTER(_xlfn.ANCHORARRAY($B$2),_xlfn.ANCHORARRAY($A$2)=$E383))</f>
        <v>#VALUE!</v>
      </c>
    </row>
    <row r="384" spans="6:6" x14ac:dyDescent="0.25">
      <c r="F384" t="e" cm="1" vm="2">
        <f t="array" ref="F384">TRANSPOSE(_xlfn._xlws.FILTER(_xlfn.ANCHORARRAY($B$2),_xlfn.ANCHORARRAY($A$2)=$E384))</f>
        <v>#VALUE!</v>
      </c>
    </row>
    <row r="385" spans="6:6" x14ac:dyDescent="0.25">
      <c r="F385" t="e" cm="1" vm="2">
        <f t="array" ref="F385">TRANSPOSE(_xlfn._xlws.FILTER(_xlfn.ANCHORARRAY($B$2),_xlfn.ANCHORARRAY($A$2)=$E385))</f>
        <v>#VALUE!</v>
      </c>
    </row>
    <row r="386" spans="6:6" x14ac:dyDescent="0.25">
      <c r="F386" t="e" cm="1" vm="2">
        <f t="array" ref="F386">TRANSPOSE(_xlfn._xlws.FILTER(_xlfn.ANCHORARRAY($B$2),_xlfn.ANCHORARRAY($A$2)=$E386))</f>
        <v>#VALUE!</v>
      </c>
    </row>
    <row r="387" spans="6:6" x14ac:dyDescent="0.25">
      <c r="F387" t="e" cm="1" vm="2">
        <f t="array" ref="F387">TRANSPOSE(_xlfn._xlws.FILTER(_xlfn.ANCHORARRAY($B$2),_xlfn.ANCHORARRAY($A$2)=$E387))</f>
        <v>#VALUE!</v>
      </c>
    </row>
    <row r="388" spans="6:6" x14ac:dyDescent="0.25">
      <c r="F388" t="e" cm="1" vm="2">
        <f t="array" ref="F388">TRANSPOSE(_xlfn._xlws.FILTER(_xlfn.ANCHORARRAY($B$2),_xlfn.ANCHORARRAY($A$2)=$E388))</f>
        <v>#VALUE!</v>
      </c>
    </row>
    <row r="389" spans="6:6" x14ac:dyDescent="0.25">
      <c r="F389" t="e" cm="1" vm="2">
        <f t="array" ref="F389">TRANSPOSE(_xlfn._xlws.FILTER(_xlfn.ANCHORARRAY($B$2),_xlfn.ANCHORARRAY($A$2)=$E389))</f>
        <v>#VALUE!</v>
      </c>
    </row>
    <row r="390" spans="6:6" x14ac:dyDescent="0.25">
      <c r="F390" t="e" cm="1" vm="2">
        <f t="array" ref="F390">TRANSPOSE(_xlfn._xlws.FILTER(_xlfn.ANCHORARRAY($B$2),_xlfn.ANCHORARRAY($A$2)=$E390))</f>
        <v>#VALUE!</v>
      </c>
    </row>
    <row r="391" spans="6:6" x14ac:dyDescent="0.25">
      <c r="F391" t="e" cm="1" vm="2">
        <f t="array" ref="F391">TRANSPOSE(_xlfn._xlws.FILTER(_xlfn.ANCHORARRAY($B$2),_xlfn.ANCHORARRAY($A$2)=$E391))</f>
        <v>#VALUE!</v>
      </c>
    </row>
    <row r="392" spans="6:6" x14ac:dyDescent="0.25">
      <c r="F392" t="e" cm="1" vm="2">
        <f t="array" ref="F392">TRANSPOSE(_xlfn._xlws.FILTER(_xlfn.ANCHORARRAY($B$2),_xlfn.ANCHORARRAY($A$2)=$E392))</f>
        <v>#VALUE!</v>
      </c>
    </row>
    <row r="393" spans="6:6" x14ac:dyDescent="0.25">
      <c r="F393" t="e" cm="1" vm="2">
        <f t="array" ref="F393">TRANSPOSE(_xlfn._xlws.FILTER(_xlfn.ANCHORARRAY($B$2),_xlfn.ANCHORARRAY($A$2)=$E393))</f>
        <v>#VALUE!</v>
      </c>
    </row>
    <row r="394" spans="6:6" x14ac:dyDescent="0.25">
      <c r="F394" t="e" cm="1" vm="2">
        <f t="array" ref="F394">TRANSPOSE(_xlfn._xlws.FILTER(_xlfn.ANCHORARRAY($B$2),_xlfn.ANCHORARRAY($A$2)=$E394))</f>
        <v>#VALUE!</v>
      </c>
    </row>
    <row r="395" spans="6:6" x14ac:dyDescent="0.25">
      <c r="F395" t="e" cm="1" vm="2">
        <f t="array" ref="F395">TRANSPOSE(_xlfn._xlws.FILTER(_xlfn.ANCHORARRAY($B$2),_xlfn.ANCHORARRAY($A$2)=$E395))</f>
        <v>#VALUE!</v>
      </c>
    </row>
    <row r="396" spans="6:6" x14ac:dyDescent="0.25">
      <c r="F396" t="e" cm="1" vm="2">
        <f t="array" ref="F396">TRANSPOSE(_xlfn._xlws.FILTER(_xlfn.ANCHORARRAY($B$2),_xlfn.ANCHORARRAY($A$2)=$E396))</f>
        <v>#VALUE!</v>
      </c>
    </row>
    <row r="397" spans="6:6" x14ac:dyDescent="0.25">
      <c r="F397" t="e" cm="1" vm="2">
        <f t="array" ref="F397">TRANSPOSE(_xlfn._xlws.FILTER(_xlfn.ANCHORARRAY($B$2),_xlfn.ANCHORARRAY($A$2)=$E397))</f>
        <v>#VALUE!</v>
      </c>
    </row>
    <row r="398" spans="6:6" x14ac:dyDescent="0.25">
      <c r="F398" t="e" cm="1" vm="2">
        <f t="array" ref="F398">TRANSPOSE(_xlfn._xlws.FILTER(_xlfn.ANCHORARRAY($B$2),_xlfn.ANCHORARRAY($A$2)=$E398))</f>
        <v>#VALUE!</v>
      </c>
    </row>
    <row r="399" spans="6:6" x14ac:dyDescent="0.25">
      <c r="F399" t="e" cm="1" vm="2">
        <f t="array" ref="F399">TRANSPOSE(_xlfn._xlws.FILTER(_xlfn.ANCHORARRAY($B$2),_xlfn.ANCHORARRAY($A$2)=$E399))</f>
        <v>#VALUE!</v>
      </c>
    </row>
    <row r="400" spans="6:6" x14ac:dyDescent="0.25">
      <c r="F400" t="e" cm="1" vm="2">
        <f t="array" ref="F400">TRANSPOSE(_xlfn._xlws.FILTER(_xlfn.ANCHORARRAY($B$2),_xlfn.ANCHORARRAY($A$2)=$E400))</f>
        <v>#VALUE!</v>
      </c>
    </row>
    <row r="401" spans="6:6" x14ac:dyDescent="0.25">
      <c r="F401" t="e" cm="1" vm="2">
        <f t="array" ref="F401">TRANSPOSE(_xlfn._xlws.FILTER(_xlfn.ANCHORARRAY($B$2),_xlfn.ANCHORARRAY($A$2)=$E401))</f>
        <v>#VALUE!</v>
      </c>
    </row>
    <row r="402" spans="6:6" x14ac:dyDescent="0.25">
      <c r="F402" t="e" cm="1" vm="2">
        <f t="array" ref="F402">TRANSPOSE(_xlfn._xlws.FILTER(_xlfn.ANCHORARRAY($B$2),_xlfn.ANCHORARRAY($A$2)=$E402))</f>
        <v>#VALUE!</v>
      </c>
    </row>
    <row r="403" spans="6:6" x14ac:dyDescent="0.25">
      <c r="F403" t="e" cm="1" vm="2">
        <f t="array" ref="F403">TRANSPOSE(_xlfn._xlws.FILTER(_xlfn.ANCHORARRAY($B$2),_xlfn.ANCHORARRAY($A$2)=$E403))</f>
        <v>#VALUE!</v>
      </c>
    </row>
    <row r="404" spans="6:6" x14ac:dyDescent="0.25">
      <c r="F404" t="e" cm="1" vm="2">
        <f t="array" ref="F404">TRANSPOSE(_xlfn._xlws.FILTER(_xlfn.ANCHORARRAY($B$2),_xlfn.ANCHORARRAY($A$2)=$E404))</f>
        <v>#VALUE!</v>
      </c>
    </row>
    <row r="405" spans="6:6" x14ac:dyDescent="0.25">
      <c r="F405" t="e" cm="1" vm="2">
        <f t="array" ref="F405">TRANSPOSE(_xlfn._xlws.FILTER(_xlfn.ANCHORARRAY($B$2),_xlfn.ANCHORARRAY($A$2)=$E405))</f>
        <v>#VALUE!</v>
      </c>
    </row>
    <row r="406" spans="6:6" x14ac:dyDescent="0.25">
      <c r="F406" t="e" cm="1" vm="2">
        <f t="array" ref="F406">TRANSPOSE(_xlfn._xlws.FILTER(_xlfn.ANCHORARRAY($B$2),_xlfn.ANCHORARRAY($A$2)=$E406))</f>
        <v>#VALUE!</v>
      </c>
    </row>
    <row r="407" spans="6:6" x14ac:dyDescent="0.25">
      <c r="F407" t="e" cm="1" vm="2">
        <f t="array" ref="F407">TRANSPOSE(_xlfn._xlws.FILTER(_xlfn.ANCHORARRAY($B$2),_xlfn.ANCHORARRAY($A$2)=$E407))</f>
        <v>#VALUE!</v>
      </c>
    </row>
    <row r="408" spans="6:6" x14ac:dyDescent="0.25">
      <c r="F408" t="e" cm="1" vm="2">
        <f t="array" ref="F408">TRANSPOSE(_xlfn._xlws.FILTER(_xlfn.ANCHORARRAY($B$2),_xlfn.ANCHORARRAY($A$2)=$E408))</f>
        <v>#VALUE!</v>
      </c>
    </row>
    <row r="409" spans="6:6" x14ac:dyDescent="0.25">
      <c r="F409" t="e" cm="1" vm="2">
        <f t="array" ref="F409">TRANSPOSE(_xlfn._xlws.FILTER(_xlfn.ANCHORARRAY($B$2),_xlfn.ANCHORARRAY($A$2)=$E409))</f>
        <v>#VALUE!</v>
      </c>
    </row>
    <row r="410" spans="6:6" x14ac:dyDescent="0.25">
      <c r="F410" t="e" cm="1" vm="2">
        <f t="array" ref="F410">TRANSPOSE(_xlfn._xlws.FILTER(_xlfn.ANCHORARRAY($B$2),_xlfn.ANCHORARRAY($A$2)=$E410))</f>
        <v>#VALUE!</v>
      </c>
    </row>
    <row r="411" spans="6:6" x14ac:dyDescent="0.25">
      <c r="F411" t="e" cm="1" vm="2">
        <f t="array" ref="F411">TRANSPOSE(_xlfn._xlws.FILTER(_xlfn.ANCHORARRAY($B$2),_xlfn.ANCHORARRAY($A$2)=$E411))</f>
        <v>#VALUE!</v>
      </c>
    </row>
    <row r="412" spans="6:6" x14ac:dyDescent="0.25">
      <c r="F412" t="e" cm="1" vm="2">
        <f t="array" ref="F412">TRANSPOSE(_xlfn._xlws.FILTER(_xlfn.ANCHORARRAY($B$2),_xlfn.ANCHORARRAY($A$2)=$E412))</f>
        <v>#VALUE!</v>
      </c>
    </row>
    <row r="413" spans="6:6" x14ac:dyDescent="0.25">
      <c r="F413" t="e" cm="1" vm="2">
        <f t="array" ref="F413">TRANSPOSE(_xlfn._xlws.FILTER(_xlfn.ANCHORARRAY($B$2),_xlfn.ANCHORARRAY($A$2)=$E413))</f>
        <v>#VALUE!</v>
      </c>
    </row>
    <row r="414" spans="6:6" x14ac:dyDescent="0.25">
      <c r="F414" t="e" cm="1" vm="2">
        <f t="array" ref="F414">TRANSPOSE(_xlfn._xlws.FILTER(_xlfn.ANCHORARRAY($B$2),_xlfn.ANCHORARRAY($A$2)=$E414))</f>
        <v>#VALUE!</v>
      </c>
    </row>
    <row r="415" spans="6:6" x14ac:dyDescent="0.25">
      <c r="F415" t="e" cm="1" vm="2">
        <f t="array" ref="F415">TRANSPOSE(_xlfn._xlws.FILTER(_xlfn.ANCHORARRAY($B$2),_xlfn.ANCHORARRAY($A$2)=$E415))</f>
        <v>#VALUE!</v>
      </c>
    </row>
    <row r="416" spans="6:6" x14ac:dyDescent="0.25">
      <c r="F416" t="e" cm="1" vm="2">
        <f t="array" ref="F416">TRANSPOSE(_xlfn._xlws.FILTER(_xlfn.ANCHORARRAY($B$2),_xlfn.ANCHORARRAY($A$2)=$E416))</f>
        <v>#VALUE!</v>
      </c>
    </row>
    <row r="417" spans="6:6" x14ac:dyDescent="0.25">
      <c r="F417" t="e" cm="1" vm="2">
        <f t="array" ref="F417">TRANSPOSE(_xlfn._xlws.FILTER(_xlfn.ANCHORARRAY($B$2),_xlfn.ANCHORARRAY($A$2)=$E417))</f>
        <v>#VALUE!</v>
      </c>
    </row>
    <row r="418" spans="6:6" x14ac:dyDescent="0.25">
      <c r="F418" t="e" cm="1" vm="2">
        <f t="array" ref="F418">TRANSPOSE(_xlfn._xlws.FILTER(_xlfn.ANCHORARRAY($B$2),_xlfn.ANCHORARRAY($A$2)=$E418))</f>
        <v>#VALUE!</v>
      </c>
    </row>
    <row r="419" spans="6:6" x14ac:dyDescent="0.25">
      <c r="F419" t="e" cm="1" vm="2">
        <f t="array" ref="F419">TRANSPOSE(_xlfn._xlws.FILTER(_xlfn.ANCHORARRAY($B$2),_xlfn.ANCHORARRAY($A$2)=$E419))</f>
        <v>#VALUE!</v>
      </c>
    </row>
    <row r="420" spans="6:6" x14ac:dyDescent="0.25">
      <c r="F420" t="e" cm="1" vm="2">
        <f t="array" ref="F420">TRANSPOSE(_xlfn._xlws.FILTER(_xlfn.ANCHORARRAY($B$2),_xlfn.ANCHORARRAY($A$2)=$E420))</f>
        <v>#VALUE!</v>
      </c>
    </row>
    <row r="421" spans="6:6" x14ac:dyDescent="0.25">
      <c r="F421" t="e" cm="1" vm="2">
        <f t="array" ref="F421">TRANSPOSE(_xlfn._xlws.FILTER(_xlfn.ANCHORARRAY($B$2),_xlfn.ANCHORARRAY($A$2)=$E421))</f>
        <v>#VALUE!</v>
      </c>
    </row>
    <row r="422" spans="6:6" x14ac:dyDescent="0.25">
      <c r="F422" t="e" cm="1" vm="2">
        <f t="array" ref="F422">TRANSPOSE(_xlfn._xlws.FILTER(_xlfn.ANCHORARRAY($B$2),_xlfn.ANCHORARRAY($A$2)=$E422))</f>
        <v>#VALUE!</v>
      </c>
    </row>
    <row r="423" spans="6:6" x14ac:dyDescent="0.25">
      <c r="F423" t="e" cm="1" vm="2">
        <f t="array" ref="F423">TRANSPOSE(_xlfn._xlws.FILTER(_xlfn.ANCHORARRAY($B$2),_xlfn.ANCHORARRAY($A$2)=$E423))</f>
        <v>#VALUE!</v>
      </c>
    </row>
    <row r="424" spans="6:6" x14ac:dyDescent="0.25">
      <c r="F424" t="e" cm="1" vm="2">
        <f t="array" ref="F424">TRANSPOSE(_xlfn._xlws.FILTER(_xlfn.ANCHORARRAY($B$2),_xlfn.ANCHORARRAY($A$2)=$E424))</f>
        <v>#VALUE!</v>
      </c>
    </row>
    <row r="425" spans="6:6" x14ac:dyDescent="0.25">
      <c r="F425" t="e" cm="1" vm="2">
        <f t="array" ref="F425">TRANSPOSE(_xlfn._xlws.FILTER(_xlfn.ANCHORARRAY($B$2),_xlfn.ANCHORARRAY($A$2)=$E425))</f>
        <v>#VALUE!</v>
      </c>
    </row>
    <row r="426" spans="6:6" x14ac:dyDescent="0.25">
      <c r="F426" t="e" cm="1" vm="2">
        <f t="array" ref="F426">TRANSPOSE(_xlfn._xlws.FILTER(_xlfn.ANCHORARRAY($B$2),_xlfn.ANCHORARRAY($A$2)=$E426))</f>
        <v>#VALUE!</v>
      </c>
    </row>
    <row r="427" spans="6:6" x14ac:dyDescent="0.25">
      <c r="F427" t="e" cm="1" vm="2">
        <f t="array" ref="F427">TRANSPOSE(_xlfn._xlws.FILTER(_xlfn.ANCHORARRAY($B$2),_xlfn.ANCHORARRAY($A$2)=$E427))</f>
        <v>#VALUE!</v>
      </c>
    </row>
    <row r="428" spans="6:6" x14ac:dyDescent="0.25">
      <c r="F428" t="e" cm="1" vm="2">
        <f t="array" ref="F428">TRANSPOSE(_xlfn._xlws.FILTER(_xlfn.ANCHORARRAY($B$2),_xlfn.ANCHORARRAY($A$2)=$E428))</f>
        <v>#VALUE!</v>
      </c>
    </row>
    <row r="429" spans="6:6" x14ac:dyDescent="0.25">
      <c r="F429" t="e" cm="1" vm="2">
        <f t="array" ref="F429">TRANSPOSE(_xlfn._xlws.FILTER(_xlfn.ANCHORARRAY($B$2),_xlfn.ANCHORARRAY($A$2)=$E429))</f>
        <v>#VALUE!</v>
      </c>
    </row>
    <row r="430" spans="6:6" x14ac:dyDescent="0.25">
      <c r="F430" t="e" cm="1" vm="2">
        <f t="array" ref="F430">TRANSPOSE(_xlfn._xlws.FILTER(_xlfn.ANCHORARRAY($B$2),_xlfn.ANCHORARRAY($A$2)=$E430))</f>
        <v>#VALUE!</v>
      </c>
    </row>
    <row r="431" spans="6:6" x14ac:dyDescent="0.25">
      <c r="F431" t="e" cm="1" vm="2">
        <f t="array" ref="F431">TRANSPOSE(_xlfn._xlws.FILTER(_xlfn.ANCHORARRAY($B$2),_xlfn.ANCHORARRAY($A$2)=$E431))</f>
        <v>#VALUE!</v>
      </c>
    </row>
    <row r="432" spans="6:6" x14ac:dyDescent="0.25">
      <c r="F432" t="e" cm="1" vm="2">
        <f t="array" ref="F432">TRANSPOSE(_xlfn._xlws.FILTER(_xlfn.ANCHORARRAY($B$2),_xlfn.ANCHORARRAY($A$2)=$E432))</f>
        <v>#VALUE!</v>
      </c>
    </row>
    <row r="433" spans="6:6" x14ac:dyDescent="0.25">
      <c r="F433" t="e" cm="1" vm="2">
        <f t="array" ref="F433">TRANSPOSE(_xlfn._xlws.FILTER(_xlfn.ANCHORARRAY($B$2),_xlfn.ANCHORARRAY($A$2)=$E433))</f>
        <v>#VALUE!</v>
      </c>
    </row>
    <row r="434" spans="6:6" x14ac:dyDescent="0.25">
      <c r="F434" t="e" cm="1" vm="2">
        <f t="array" ref="F434">TRANSPOSE(_xlfn._xlws.FILTER(_xlfn.ANCHORARRAY($B$2),_xlfn.ANCHORARRAY($A$2)=$E434))</f>
        <v>#VALUE!</v>
      </c>
    </row>
    <row r="435" spans="6:6" x14ac:dyDescent="0.25">
      <c r="F435" t="e" cm="1" vm="2">
        <f t="array" ref="F435">TRANSPOSE(_xlfn._xlws.FILTER(_xlfn.ANCHORARRAY($B$2),_xlfn.ANCHORARRAY($A$2)=$E435))</f>
        <v>#VALUE!</v>
      </c>
    </row>
    <row r="436" spans="6:6" x14ac:dyDescent="0.25">
      <c r="F436" t="e" cm="1" vm="2">
        <f t="array" ref="F436">TRANSPOSE(_xlfn._xlws.FILTER(_xlfn.ANCHORARRAY($B$2),_xlfn.ANCHORARRAY($A$2)=$E436))</f>
        <v>#VALUE!</v>
      </c>
    </row>
    <row r="437" spans="6:6" x14ac:dyDescent="0.25">
      <c r="F437" t="e" cm="1" vm="2">
        <f t="array" ref="F437">TRANSPOSE(_xlfn._xlws.FILTER(_xlfn.ANCHORARRAY($B$2),_xlfn.ANCHORARRAY($A$2)=$E437))</f>
        <v>#VALUE!</v>
      </c>
    </row>
    <row r="438" spans="6:6" x14ac:dyDescent="0.25">
      <c r="F438" t="e" cm="1" vm="2">
        <f t="array" ref="F438">TRANSPOSE(_xlfn._xlws.FILTER(_xlfn.ANCHORARRAY($B$2),_xlfn.ANCHORARRAY($A$2)=$E438))</f>
        <v>#VALUE!</v>
      </c>
    </row>
    <row r="439" spans="6:6" x14ac:dyDescent="0.25">
      <c r="F439" t="e" cm="1" vm="2">
        <f t="array" ref="F439">TRANSPOSE(_xlfn._xlws.FILTER(_xlfn.ANCHORARRAY($B$2),_xlfn.ANCHORARRAY($A$2)=$E439))</f>
        <v>#VALUE!</v>
      </c>
    </row>
    <row r="440" spans="6:6" x14ac:dyDescent="0.25">
      <c r="F440" t="e" cm="1" vm="2">
        <f t="array" ref="F440">TRANSPOSE(_xlfn._xlws.FILTER(_xlfn.ANCHORARRAY($B$2),_xlfn.ANCHORARRAY($A$2)=$E440))</f>
        <v>#VALUE!</v>
      </c>
    </row>
    <row r="441" spans="6:6" x14ac:dyDescent="0.25">
      <c r="F441" t="e" cm="1" vm="2">
        <f t="array" ref="F441">TRANSPOSE(_xlfn._xlws.FILTER(_xlfn.ANCHORARRAY($B$2),_xlfn.ANCHORARRAY($A$2)=$E441))</f>
        <v>#VALUE!</v>
      </c>
    </row>
    <row r="442" spans="6:6" x14ac:dyDescent="0.25">
      <c r="F442" t="e" cm="1" vm="2">
        <f t="array" ref="F442">TRANSPOSE(_xlfn._xlws.FILTER(_xlfn.ANCHORARRAY($B$2),_xlfn.ANCHORARRAY($A$2)=$E442))</f>
        <v>#VALUE!</v>
      </c>
    </row>
    <row r="443" spans="6:6" x14ac:dyDescent="0.25">
      <c r="F443" t="e" cm="1" vm="2">
        <f t="array" ref="F443">TRANSPOSE(_xlfn._xlws.FILTER(_xlfn.ANCHORARRAY($B$2),_xlfn.ANCHORARRAY($A$2)=$E443))</f>
        <v>#VALUE!</v>
      </c>
    </row>
    <row r="444" spans="6:6" x14ac:dyDescent="0.25">
      <c r="F444" t="e" cm="1" vm="2">
        <f t="array" ref="F444">TRANSPOSE(_xlfn._xlws.FILTER(_xlfn.ANCHORARRAY($B$2),_xlfn.ANCHORARRAY($A$2)=$E444))</f>
        <v>#VALUE!</v>
      </c>
    </row>
    <row r="445" spans="6:6" x14ac:dyDescent="0.25">
      <c r="F445" t="e" cm="1" vm="2">
        <f t="array" ref="F445">TRANSPOSE(_xlfn._xlws.FILTER(_xlfn.ANCHORARRAY($B$2),_xlfn.ANCHORARRAY($A$2)=$E445))</f>
        <v>#VALUE!</v>
      </c>
    </row>
    <row r="446" spans="6:6" x14ac:dyDescent="0.25">
      <c r="F446" t="e" cm="1" vm="2">
        <f t="array" ref="F446">TRANSPOSE(_xlfn._xlws.FILTER(_xlfn.ANCHORARRAY($B$2),_xlfn.ANCHORARRAY($A$2)=$E446))</f>
        <v>#VALUE!</v>
      </c>
    </row>
    <row r="447" spans="6:6" x14ac:dyDescent="0.25">
      <c r="F447" t="e" cm="1" vm="2">
        <f t="array" ref="F447">TRANSPOSE(_xlfn._xlws.FILTER(_xlfn.ANCHORARRAY($B$2),_xlfn.ANCHORARRAY($A$2)=$E447))</f>
        <v>#VALUE!</v>
      </c>
    </row>
    <row r="448" spans="6:6" x14ac:dyDescent="0.25">
      <c r="F448" t="e" cm="1" vm="2">
        <f t="array" ref="F448">TRANSPOSE(_xlfn._xlws.FILTER(_xlfn.ANCHORARRAY($B$2),_xlfn.ANCHORARRAY($A$2)=$E448))</f>
        <v>#VALUE!</v>
      </c>
    </row>
    <row r="449" spans="6:6" x14ac:dyDescent="0.25">
      <c r="F449" t="e" cm="1" vm="2">
        <f t="array" ref="F449">TRANSPOSE(_xlfn._xlws.FILTER(_xlfn.ANCHORARRAY($B$2),_xlfn.ANCHORARRAY($A$2)=$E449))</f>
        <v>#VALUE!</v>
      </c>
    </row>
    <row r="450" spans="6:6" x14ac:dyDescent="0.25">
      <c r="F450" t="e" cm="1" vm="2">
        <f t="array" ref="F450">TRANSPOSE(_xlfn._xlws.FILTER(_xlfn.ANCHORARRAY($B$2),_xlfn.ANCHORARRAY($A$2)=$E450))</f>
        <v>#VALUE!</v>
      </c>
    </row>
    <row r="451" spans="6:6" x14ac:dyDescent="0.25">
      <c r="F451" t="e" cm="1" vm="2">
        <f t="array" ref="F451">TRANSPOSE(_xlfn._xlws.FILTER(_xlfn.ANCHORARRAY($B$2),_xlfn.ANCHORARRAY($A$2)=$E451))</f>
        <v>#VALUE!</v>
      </c>
    </row>
    <row r="452" spans="6:6" x14ac:dyDescent="0.25">
      <c r="F452" t="e" cm="1" vm="2">
        <f t="array" ref="F452">TRANSPOSE(_xlfn._xlws.FILTER(_xlfn.ANCHORARRAY($B$2),_xlfn.ANCHORARRAY($A$2)=$E452))</f>
        <v>#VALUE!</v>
      </c>
    </row>
    <row r="453" spans="6:6" x14ac:dyDescent="0.25">
      <c r="F453" t="e" cm="1" vm="2">
        <f t="array" ref="F453">TRANSPOSE(_xlfn._xlws.FILTER(_xlfn.ANCHORARRAY($B$2),_xlfn.ANCHORARRAY($A$2)=$E453))</f>
        <v>#VALUE!</v>
      </c>
    </row>
    <row r="454" spans="6:6" x14ac:dyDescent="0.25">
      <c r="F454" t="e" cm="1" vm="2">
        <f t="array" ref="F454">TRANSPOSE(_xlfn._xlws.FILTER(_xlfn.ANCHORARRAY($B$2),_xlfn.ANCHORARRAY($A$2)=$E454))</f>
        <v>#VALUE!</v>
      </c>
    </row>
    <row r="455" spans="6:6" x14ac:dyDescent="0.25">
      <c r="F455" t="e" cm="1" vm="2">
        <f t="array" ref="F455">TRANSPOSE(_xlfn._xlws.FILTER(_xlfn.ANCHORARRAY($B$2),_xlfn.ANCHORARRAY($A$2)=$E455))</f>
        <v>#VALUE!</v>
      </c>
    </row>
    <row r="456" spans="6:6" x14ac:dyDescent="0.25">
      <c r="F456" t="e" cm="1" vm="2">
        <f t="array" ref="F456">TRANSPOSE(_xlfn._xlws.FILTER(_xlfn.ANCHORARRAY($B$2),_xlfn.ANCHORARRAY($A$2)=$E456))</f>
        <v>#VALUE!</v>
      </c>
    </row>
    <row r="457" spans="6:6" x14ac:dyDescent="0.25">
      <c r="F457" t="e" cm="1" vm="2">
        <f t="array" ref="F457">TRANSPOSE(_xlfn._xlws.FILTER(_xlfn.ANCHORARRAY($B$2),_xlfn.ANCHORARRAY($A$2)=$E457))</f>
        <v>#VALUE!</v>
      </c>
    </row>
    <row r="458" spans="6:6" x14ac:dyDescent="0.25">
      <c r="F458" t="e" cm="1" vm="2">
        <f t="array" ref="F458">TRANSPOSE(_xlfn._xlws.FILTER(_xlfn.ANCHORARRAY($B$2),_xlfn.ANCHORARRAY($A$2)=$E458))</f>
        <v>#VALUE!</v>
      </c>
    </row>
    <row r="459" spans="6:6" x14ac:dyDescent="0.25">
      <c r="F459" t="e" cm="1" vm="2">
        <f t="array" ref="F459">TRANSPOSE(_xlfn._xlws.FILTER(_xlfn.ANCHORARRAY($B$2),_xlfn.ANCHORARRAY($A$2)=$E459))</f>
        <v>#VALUE!</v>
      </c>
    </row>
    <row r="460" spans="6:6" x14ac:dyDescent="0.25">
      <c r="F460" t="e" cm="1" vm="2">
        <f t="array" ref="F460">TRANSPOSE(_xlfn._xlws.FILTER(_xlfn.ANCHORARRAY($B$2),_xlfn.ANCHORARRAY($A$2)=$E460))</f>
        <v>#VALUE!</v>
      </c>
    </row>
    <row r="461" spans="6:6" x14ac:dyDescent="0.25">
      <c r="F461" t="e" cm="1" vm="2">
        <f t="array" ref="F461">TRANSPOSE(_xlfn._xlws.FILTER(_xlfn.ANCHORARRAY($B$2),_xlfn.ANCHORARRAY($A$2)=$E461))</f>
        <v>#VALUE!</v>
      </c>
    </row>
    <row r="462" spans="6:6" x14ac:dyDescent="0.25">
      <c r="F462" t="e" cm="1" vm="2">
        <f t="array" ref="F462">TRANSPOSE(_xlfn._xlws.FILTER(_xlfn.ANCHORARRAY($B$2),_xlfn.ANCHORARRAY($A$2)=$E462))</f>
        <v>#VALUE!</v>
      </c>
    </row>
    <row r="463" spans="6:6" x14ac:dyDescent="0.25">
      <c r="F463" t="e" cm="1" vm="2">
        <f t="array" ref="F463">TRANSPOSE(_xlfn._xlws.FILTER(_xlfn.ANCHORARRAY($B$2),_xlfn.ANCHORARRAY($A$2)=$E463))</f>
        <v>#VALUE!</v>
      </c>
    </row>
    <row r="464" spans="6:6" x14ac:dyDescent="0.25">
      <c r="F464" t="e" cm="1" vm="2">
        <f t="array" ref="F464">TRANSPOSE(_xlfn._xlws.FILTER(_xlfn.ANCHORARRAY($B$2),_xlfn.ANCHORARRAY($A$2)=$E464))</f>
        <v>#VALUE!</v>
      </c>
    </row>
    <row r="465" spans="6:6" x14ac:dyDescent="0.25">
      <c r="F465" t="e" cm="1" vm="2">
        <f t="array" ref="F465">TRANSPOSE(_xlfn._xlws.FILTER(_xlfn.ANCHORARRAY($B$2),_xlfn.ANCHORARRAY($A$2)=$E465))</f>
        <v>#VALUE!</v>
      </c>
    </row>
    <row r="466" spans="6:6" x14ac:dyDescent="0.25">
      <c r="F466" t="e" cm="1" vm="2">
        <f t="array" ref="F466">TRANSPOSE(_xlfn._xlws.FILTER(_xlfn.ANCHORARRAY($B$2),_xlfn.ANCHORARRAY($A$2)=$E466))</f>
        <v>#VALUE!</v>
      </c>
    </row>
    <row r="467" spans="6:6" x14ac:dyDescent="0.25">
      <c r="F467" t="e" cm="1" vm="2">
        <f t="array" ref="F467">TRANSPOSE(_xlfn._xlws.FILTER(_xlfn.ANCHORARRAY($B$2),_xlfn.ANCHORARRAY($A$2)=$E467))</f>
        <v>#VALUE!</v>
      </c>
    </row>
    <row r="468" spans="6:6" x14ac:dyDescent="0.25">
      <c r="F468" t="e" cm="1" vm="2">
        <f t="array" ref="F468">TRANSPOSE(_xlfn._xlws.FILTER(_xlfn.ANCHORARRAY($B$2),_xlfn.ANCHORARRAY($A$2)=$E468))</f>
        <v>#VALUE!</v>
      </c>
    </row>
    <row r="469" spans="6:6" x14ac:dyDescent="0.25">
      <c r="F469" t="e" cm="1" vm="2">
        <f t="array" ref="F469">TRANSPOSE(_xlfn._xlws.FILTER(_xlfn.ANCHORARRAY($B$2),_xlfn.ANCHORARRAY($A$2)=$E469))</f>
        <v>#VALUE!</v>
      </c>
    </row>
    <row r="470" spans="6:6" x14ac:dyDescent="0.25">
      <c r="F470" t="e" cm="1" vm="2">
        <f t="array" ref="F470">TRANSPOSE(_xlfn._xlws.FILTER(_xlfn.ANCHORARRAY($B$2),_xlfn.ANCHORARRAY($A$2)=$E470))</f>
        <v>#VALUE!</v>
      </c>
    </row>
    <row r="471" spans="6:6" x14ac:dyDescent="0.25">
      <c r="F471" t="e" cm="1" vm="2">
        <f t="array" ref="F471">TRANSPOSE(_xlfn._xlws.FILTER(_xlfn.ANCHORARRAY($B$2),_xlfn.ANCHORARRAY($A$2)=$E471))</f>
        <v>#VALUE!</v>
      </c>
    </row>
    <row r="472" spans="6:6" x14ac:dyDescent="0.25">
      <c r="F472" t="e" cm="1" vm="2">
        <f t="array" ref="F472">TRANSPOSE(_xlfn._xlws.FILTER(_xlfn.ANCHORARRAY($B$2),_xlfn.ANCHORARRAY($A$2)=$E472))</f>
        <v>#VALUE!</v>
      </c>
    </row>
    <row r="473" spans="6:6" x14ac:dyDescent="0.25">
      <c r="F473" t="e" cm="1" vm="2">
        <f t="array" ref="F473">TRANSPOSE(_xlfn._xlws.FILTER(_xlfn.ANCHORARRAY($B$2),_xlfn.ANCHORARRAY($A$2)=$E473))</f>
        <v>#VALUE!</v>
      </c>
    </row>
    <row r="474" spans="6:6" x14ac:dyDescent="0.25">
      <c r="F474" t="e" cm="1" vm="2">
        <f t="array" ref="F474">TRANSPOSE(_xlfn._xlws.FILTER(_xlfn.ANCHORARRAY($B$2),_xlfn.ANCHORARRAY($A$2)=$E474))</f>
        <v>#VALUE!</v>
      </c>
    </row>
    <row r="475" spans="6:6" x14ac:dyDescent="0.25">
      <c r="F475" t="e" cm="1" vm="2">
        <f t="array" ref="F475">TRANSPOSE(_xlfn._xlws.FILTER(_xlfn.ANCHORARRAY($B$2),_xlfn.ANCHORARRAY($A$2)=$E475))</f>
        <v>#VALUE!</v>
      </c>
    </row>
    <row r="476" spans="6:6" x14ac:dyDescent="0.25">
      <c r="F476" t="e" cm="1" vm="2">
        <f t="array" ref="F476">TRANSPOSE(_xlfn._xlws.FILTER(_xlfn.ANCHORARRAY($B$2),_xlfn.ANCHORARRAY($A$2)=$E476))</f>
        <v>#VALUE!</v>
      </c>
    </row>
    <row r="477" spans="6:6" x14ac:dyDescent="0.25">
      <c r="F477" t="e" cm="1" vm="2">
        <f t="array" ref="F477">TRANSPOSE(_xlfn._xlws.FILTER(_xlfn.ANCHORARRAY($B$2),_xlfn.ANCHORARRAY($A$2)=$E477))</f>
        <v>#VALUE!</v>
      </c>
    </row>
    <row r="478" spans="6:6" x14ac:dyDescent="0.25">
      <c r="F478" t="e" cm="1" vm="2">
        <f t="array" ref="F478">TRANSPOSE(_xlfn._xlws.FILTER(_xlfn.ANCHORARRAY($B$2),_xlfn.ANCHORARRAY($A$2)=$E478))</f>
        <v>#VALUE!</v>
      </c>
    </row>
    <row r="479" spans="6:6" x14ac:dyDescent="0.25">
      <c r="F479" t="e" cm="1" vm="2">
        <f t="array" ref="F479">TRANSPOSE(_xlfn._xlws.FILTER(_xlfn.ANCHORARRAY($B$2),_xlfn.ANCHORARRAY($A$2)=$E479))</f>
        <v>#VALUE!</v>
      </c>
    </row>
    <row r="480" spans="6:6" x14ac:dyDescent="0.25">
      <c r="F480" t="e" cm="1" vm="2">
        <f t="array" ref="F480">TRANSPOSE(_xlfn._xlws.FILTER(_xlfn.ANCHORARRAY($B$2),_xlfn.ANCHORARRAY($A$2)=$E480))</f>
        <v>#VALUE!</v>
      </c>
    </row>
    <row r="481" spans="6:6" x14ac:dyDescent="0.25">
      <c r="F481" t="e" cm="1" vm="2">
        <f t="array" ref="F481">TRANSPOSE(_xlfn._xlws.FILTER(_xlfn.ANCHORARRAY($B$2),_xlfn.ANCHORARRAY($A$2)=$E481))</f>
        <v>#VALUE!</v>
      </c>
    </row>
    <row r="482" spans="6:6" x14ac:dyDescent="0.25">
      <c r="F482" t="e" cm="1" vm="2">
        <f t="array" ref="F482">TRANSPOSE(_xlfn._xlws.FILTER(_xlfn.ANCHORARRAY($B$2),_xlfn.ANCHORARRAY($A$2)=$E482))</f>
        <v>#VALUE!</v>
      </c>
    </row>
    <row r="483" spans="6:6" x14ac:dyDescent="0.25">
      <c r="F483" t="e" cm="1" vm="2">
        <f t="array" ref="F483">TRANSPOSE(_xlfn._xlws.FILTER(_xlfn.ANCHORARRAY($B$2),_xlfn.ANCHORARRAY($A$2)=$E483))</f>
        <v>#VALUE!</v>
      </c>
    </row>
    <row r="484" spans="6:6" x14ac:dyDescent="0.25">
      <c r="F484" t="e" cm="1" vm="2">
        <f t="array" ref="F484">TRANSPOSE(_xlfn._xlws.FILTER(_xlfn.ANCHORARRAY($B$2),_xlfn.ANCHORARRAY($A$2)=$E484))</f>
        <v>#VALUE!</v>
      </c>
    </row>
    <row r="485" spans="6:6" x14ac:dyDescent="0.25">
      <c r="F485" t="e" cm="1" vm="2">
        <f t="array" ref="F485">TRANSPOSE(_xlfn._xlws.FILTER(_xlfn.ANCHORARRAY($B$2),_xlfn.ANCHORARRAY($A$2)=$E485))</f>
        <v>#VALUE!</v>
      </c>
    </row>
    <row r="486" spans="6:6" x14ac:dyDescent="0.25">
      <c r="F486" t="e" cm="1" vm="2">
        <f t="array" ref="F486">TRANSPOSE(_xlfn._xlws.FILTER(_xlfn.ANCHORARRAY($B$2),_xlfn.ANCHORARRAY($A$2)=$E486))</f>
        <v>#VALUE!</v>
      </c>
    </row>
    <row r="487" spans="6:6" x14ac:dyDescent="0.25">
      <c r="F487" t="e" cm="1" vm="2">
        <f t="array" ref="F487">TRANSPOSE(_xlfn._xlws.FILTER(_xlfn.ANCHORARRAY($B$2),_xlfn.ANCHORARRAY($A$2)=$E487))</f>
        <v>#VALUE!</v>
      </c>
    </row>
    <row r="488" spans="6:6" x14ac:dyDescent="0.25">
      <c r="F488" t="e" cm="1" vm="2">
        <f t="array" ref="F488">TRANSPOSE(_xlfn._xlws.FILTER(_xlfn.ANCHORARRAY($B$2),_xlfn.ANCHORARRAY($A$2)=$E488))</f>
        <v>#VALUE!</v>
      </c>
    </row>
    <row r="489" spans="6:6" x14ac:dyDescent="0.25">
      <c r="F489" t="e" cm="1" vm="2">
        <f t="array" ref="F489">TRANSPOSE(_xlfn._xlws.FILTER(_xlfn.ANCHORARRAY($B$2),_xlfn.ANCHORARRAY($A$2)=$E489))</f>
        <v>#VALUE!</v>
      </c>
    </row>
    <row r="490" spans="6:6" x14ac:dyDescent="0.25">
      <c r="F490" t="e" cm="1" vm="2">
        <f t="array" ref="F490">TRANSPOSE(_xlfn._xlws.FILTER(_xlfn.ANCHORARRAY($B$2),_xlfn.ANCHORARRAY($A$2)=$E490))</f>
        <v>#VALUE!</v>
      </c>
    </row>
    <row r="491" spans="6:6" x14ac:dyDescent="0.25">
      <c r="F491" t="e" cm="1" vm="2">
        <f t="array" ref="F491">TRANSPOSE(_xlfn._xlws.FILTER(_xlfn.ANCHORARRAY($B$2),_xlfn.ANCHORARRAY($A$2)=$E491))</f>
        <v>#VALUE!</v>
      </c>
    </row>
    <row r="492" spans="6:6" x14ac:dyDescent="0.25">
      <c r="F492" t="e" cm="1" vm="2">
        <f t="array" ref="F492">TRANSPOSE(_xlfn._xlws.FILTER(_xlfn.ANCHORARRAY($B$2),_xlfn.ANCHORARRAY($A$2)=$E492))</f>
        <v>#VALUE!</v>
      </c>
    </row>
    <row r="493" spans="6:6" x14ac:dyDescent="0.25">
      <c r="F493" t="e" cm="1" vm="2">
        <f t="array" ref="F493">TRANSPOSE(_xlfn._xlws.FILTER(_xlfn.ANCHORARRAY($B$2),_xlfn.ANCHORARRAY($A$2)=$E493))</f>
        <v>#VALUE!</v>
      </c>
    </row>
    <row r="494" spans="6:6" x14ac:dyDescent="0.25">
      <c r="F494" t="e" cm="1" vm="2">
        <f t="array" ref="F494">TRANSPOSE(_xlfn._xlws.FILTER(_xlfn.ANCHORARRAY($B$2),_xlfn.ANCHORARRAY($A$2)=$E494))</f>
        <v>#VALUE!</v>
      </c>
    </row>
    <row r="495" spans="6:6" x14ac:dyDescent="0.25">
      <c r="F495" t="e" cm="1" vm="2">
        <f t="array" ref="F495">TRANSPOSE(_xlfn._xlws.FILTER(_xlfn.ANCHORARRAY($B$2),_xlfn.ANCHORARRAY($A$2)=$E495))</f>
        <v>#VALUE!</v>
      </c>
    </row>
    <row r="496" spans="6:6" x14ac:dyDescent="0.25">
      <c r="F496" t="e" cm="1" vm="2">
        <f t="array" ref="F496">TRANSPOSE(_xlfn._xlws.FILTER(_xlfn.ANCHORARRAY($B$2),_xlfn.ANCHORARRAY($A$2)=$E496))</f>
        <v>#VALUE!</v>
      </c>
    </row>
    <row r="497" spans="6:6" x14ac:dyDescent="0.25">
      <c r="F497" t="e" cm="1" vm="2">
        <f t="array" ref="F497">TRANSPOSE(_xlfn._xlws.FILTER(_xlfn.ANCHORARRAY($B$2),_xlfn.ANCHORARRAY($A$2)=$E497))</f>
        <v>#VALUE!</v>
      </c>
    </row>
    <row r="498" spans="6:6" x14ac:dyDescent="0.25">
      <c r="F498" t="e" cm="1" vm="2">
        <f t="array" ref="F498">TRANSPOSE(_xlfn._xlws.FILTER(_xlfn.ANCHORARRAY($B$2),_xlfn.ANCHORARRAY($A$2)=$E498))</f>
        <v>#VALUE!</v>
      </c>
    </row>
    <row r="499" spans="6:6" x14ac:dyDescent="0.25">
      <c r="F499" t="e" cm="1" vm="2">
        <f t="array" ref="F499">TRANSPOSE(_xlfn._xlws.FILTER(_xlfn.ANCHORARRAY($B$2),_xlfn.ANCHORARRAY($A$2)=$E499))</f>
        <v>#VALUE!</v>
      </c>
    </row>
    <row r="500" spans="6:6" x14ac:dyDescent="0.25">
      <c r="F500" t="e" cm="1" vm="2">
        <f t="array" ref="F500">TRANSPOSE(_xlfn._xlws.FILTER(_xlfn.ANCHORARRAY($B$2),_xlfn.ANCHORARRAY($A$2)=$E500))</f>
        <v>#VALUE!</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33181-D3F7-4ABA-BEB3-094BFB770C0C}">
  <sheetPr codeName="Sheet9"/>
  <dimension ref="A1:K500"/>
  <sheetViews>
    <sheetView topLeftCell="A499" workbookViewId="0">
      <selection activeCell="F200" sqref="F200:F500"/>
    </sheetView>
  </sheetViews>
  <sheetFormatPr defaultRowHeight="15" x14ac:dyDescent="0.25"/>
  <cols>
    <col min="1" max="1" width="14.7109375" customWidth="1"/>
    <col min="5" max="5" width="34.28515625" bestFit="1" customWidth="1"/>
    <col min="6" max="6" width="17.5703125" bestFit="1" customWidth="1"/>
  </cols>
  <sheetData>
    <row r="1" spans="1:11" x14ac:dyDescent="0.25">
      <c r="A1" t="s">
        <v>1</v>
      </c>
      <c r="B1" t="s">
        <v>243</v>
      </c>
      <c r="D1" cm="1">
        <f t="array" ref="D1:D64">tbl_Extraction[No.]</f>
        <v>1</v>
      </c>
      <c r="E1" t="str" cm="1">
        <f t="array" ref="E1:E64">tbl_Extraction[Model]</f>
        <v>CR113_N_Case1,4_SLS_0.7EI_Hyd_a03BP1.0m</v>
      </c>
      <c r="F1" t="str" cm="1">
        <f t="array" ref="F1:K1">TRANSPOSE(_xlfn._xlws.FILTER(_xlfn.ANCHORARRAY($B$2),_xlfn.ANCHORARRAY($A$2)=$E1))</f>
        <v>NegativeInterface_1</v>
      </c>
      <c r="G1" t="str">
        <v>NegativeInterface_2</v>
      </c>
      <c r="H1" t="str">
        <v>NegativeInterface_3</v>
      </c>
      <c r="I1" t="str">
        <v>PositiveInterface_1</v>
      </c>
      <c r="J1" t="str">
        <v>PositiveInterface_2</v>
      </c>
      <c r="K1" t="str">
        <v>PositiveInterface_3</v>
      </c>
    </row>
    <row r="2" spans="1:11" x14ac:dyDescent="0.25">
      <c r="A2" t="str" cm="1">
        <f t="array" ref="A2:A37">_xlfn._xlws.FILTER(tbl_AllElements[Model],(tbl_AllElements[Element Type]="NegativeInterface")+(tbl_AllElements[Element Type]="PositiveInterface"))</f>
        <v>CR113_N_Case1,4_SLS_0.7EI_Hyd_a03BP1.0m</v>
      </c>
      <c r="B2" t="str" cm="1">
        <f t="array" ref="B2:B37">_xlfn._xlws.FILTER(tbl_AllElements[Element Name],(tbl_AllElements[Element Type]="NegativeInterface")+(tbl_AllElements[Element Type]="PositiveInterface"))</f>
        <v>NegativeInterface_1</v>
      </c>
      <c r="D2">
        <v>2</v>
      </c>
      <c r="E2" t="str">
        <v>CR113_N_Case1,4_SLS_0.7EI_Hyd_a03BP1.0m</v>
      </c>
      <c r="F2" t="str" cm="1">
        <f t="array" ref="F2:K2">TRANSPOSE(_xlfn._xlws.FILTER(_xlfn.ANCHORARRAY($B$2),_xlfn.ANCHORARRAY($A$2)=$E2))</f>
        <v>NegativeInterface_1</v>
      </c>
      <c r="G2" t="str">
        <v>NegativeInterface_2</v>
      </c>
      <c r="H2" t="str">
        <v>NegativeInterface_3</v>
      </c>
      <c r="I2" t="str">
        <v>PositiveInterface_1</v>
      </c>
      <c r="J2" t="str">
        <v>PositiveInterface_2</v>
      </c>
      <c r="K2" t="str">
        <v>PositiveInterface_3</v>
      </c>
    </row>
    <row r="3" spans="1:11" x14ac:dyDescent="0.25">
      <c r="A3" t="str">
        <v>CR113_N_Case1,4_SLS_0.7EI_Hyd_a03BP1.0m</v>
      </c>
      <c r="B3" t="str">
        <v>NegativeInterface_2</v>
      </c>
      <c r="D3">
        <v>3</v>
      </c>
      <c r="E3" t="str">
        <v>CR113_N_Case1,4_SLS_0.7EI_Hyd_a03BP1.0m</v>
      </c>
      <c r="F3" t="str" cm="1">
        <f t="array" ref="F3:K3">TRANSPOSE(_xlfn._xlws.FILTER(_xlfn.ANCHORARRAY($B$2),_xlfn.ANCHORARRAY($A$2)=$E3))</f>
        <v>NegativeInterface_1</v>
      </c>
      <c r="G3" t="str">
        <v>NegativeInterface_2</v>
      </c>
      <c r="H3" t="str">
        <v>NegativeInterface_3</v>
      </c>
      <c r="I3" t="str">
        <v>PositiveInterface_1</v>
      </c>
      <c r="J3" t="str">
        <v>PositiveInterface_2</v>
      </c>
      <c r="K3" t="str">
        <v>PositiveInterface_3</v>
      </c>
    </row>
    <row r="4" spans="1:11" x14ac:dyDescent="0.25">
      <c r="A4" t="str">
        <v>CR113_N_Case1,4_SLS_0.7EI_Hyd_a03BP1.0m</v>
      </c>
      <c r="B4" t="str">
        <v>NegativeInterface_3</v>
      </c>
      <c r="D4">
        <v>4</v>
      </c>
      <c r="E4" t="str">
        <v>CR113_N_Case1,4_SLS_0.7EI_Hyd_a03BP1.0m</v>
      </c>
      <c r="F4" t="str" cm="1">
        <f t="array" ref="F4:K4">TRANSPOSE(_xlfn._xlws.FILTER(_xlfn.ANCHORARRAY($B$2),_xlfn.ANCHORARRAY($A$2)=$E4))</f>
        <v>NegativeInterface_1</v>
      </c>
      <c r="G4" t="str">
        <v>NegativeInterface_2</v>
      </c>
      <c r="H4" t="str">
        <v>NegativeInterface_3</v>
      </c>
      <c r="I4" t="str">
        <v>PositiveInterface_1</v>
      </c>
      <c r="J4" t="str">
        <v>PositiveInterface_2</v>
      </c>
      <c r="K4" t="str">
        <v>PositiveInterface_3</v>
      </c>
    </row>
    <row r="5" spans="1:11" x14ac:dyDescent="0.25">
      <c r="A5" t="str">
        <v>CR113_N_Case1,4_SLS_0.7EI_Hyd_a03BP1.0m</v>
      </c>
      <c r="B5" t="str">
        <v>PositiveInterface_1</v>
      </c>
      <c r="D5">
        <v>5</v>
      </c>
      <c r="E5" t="str">
        <v>CR113_N_Case1,4_SLS_0.7EI_Hyd_a03BP1.0m</v>
      </c>
      <c r="F5" t="str" cm="1">
        <f t="array" ref="F5:K5">TRANSPOSE(_xlfn._xlws.FILTER(_xlfn.ANCHORARRAY($B$2),_xlfn.ANCHORARRAY($A$2)=$E5))</f>
        <v>NegativeInterface_1</v>
      </c>
      <c r="G5" t="str">
        <v>NegativeInterface_2</v>
      </c>
      <c r="H5" t="str">
        <v>NegativeInterface_3</v>
      </c>
      <c r="I5" t="str">
        <v>PositiveInterface_1</v>
      </c>
      <c r="J5" t="str">
        <v>PositiveInterface_2</v>
      </c>
      <c r="K5" t="str">
        <v>PositiveInterface_3</v>
      </c>
    </row>
    <row r="6" spans="1:11" x14ac:dyDescent="0.25">
      <c r="A6" t="str">
        <v>CR113_N_Case1,4_SLS_0.7EI_Hyd_a03BP1.0m</v>
      </c>
      <c r="B6" t="str">
        <v>PositiveInterface_2</v>
      </c>
      <c r="D6">
        <v>6</v>
      </c>
      <c r="E6" t="str">
        <v>CR113_N_Case1,4_SLS_0.7EI_Hyd_a03BP1.0m</v>
      </c>
      <c r="F6" t="str" cm="1">
        <f t="array" ref="F6:K6">TRANSPOSE(_xlfn._xlws.FILTER(_xlfn.ANCHORARRAY($B$2),_xlfn.ANCHORARRAY($A$2)=$E6))</f>
        <v>NegativeInterface_1</v>
      </c>
      <c r="G6" t="str">
        <v>NegativeInterface_2</v>
      </c>
      <c r="H6" t="str">
        <v>NegativeInterface_3</v>
      </c>
      <c r="I6" t="str">
        <v>PositiveInterface_1</v>
      </c>
      <c r="J6" t="str">
        <v>PositiveInterface_2</v>
      </c>
      <c r="K6" t="str">
        <v>PositiveInterface_3</v>
      </c>
    </row>
    <row r="7" spans="1:11" x14ac:dyDescent="0.25">
      <c r="A7" t="str">
        <v>CR113_N_Case1,4_SLS_0.7EI_Hyd_a03BP1.0m</v>
      </c>
      <c r="B7" t="str">
        <v>PositiveInterface_3</v>
      </c>
      <c r="D7">
        <v>7</v>
      </c>
      <c r="E7" t="str">
        <v>CR113_N_Case1,4_SLS_0.7EI_Hyd_a03BP1.0m</v>
      </c>
      <c r="F7" t="str" cm="1">
        <f t="array" ref="F7:K7">TRANSPOSE(_xlfn._xlws.FILTER(_xlfn.ANCHORARRAY($B$2),_xlfn.ANCHORARRAY($A$2)=$E7))</f>
        <v>NegativeInterface_1</v>
      </c>
      <c r="G7" t="str">
        <v>NegativeInterface_2</v>
      </c>
      <c r="H7" t="str">
        <v>NegativeInterface_3</v>
      </c>
      <c r="I7" t="str">
        <v>PositiveInterface_1</v>
      </c>
      <c r="J7" t="str">
        <v>PositiveInterface_2</v>
      </c>
      <c r="K7" t="str">
        <v>PositiveInterface_3</v>
      </c>
    </row>
    <row r="8" spans="1:11" x14ac:dyDescent="0.25">
      <c r="A8" t="str">
        <v>CR113_N_Case2_ULS1_1.0EI_Hyd_a03BP1.0m</v>
      </c>
      <c r="B8" t="str">
        <v>NegativeInterface_1</v>
      </c>
      <c r="D8">
        <v>8</v>
      </c>
      <c r="E8" t="str">
        <v>CR113_N_Case1,4_SLS_0.7EI_Hyd_a03BP1.0m</v>
      </c>
      <c r="F8" t="str" cm="1">
        <f t="array" ref="F8:K8">TRANSPOSE(_xlfn._xlws.FILTER(_xlfn.ANCHORARRAY($B$2),_xlfn.ANCHORARRAY($A$2)=$E8))</f>
        <v>NegativeInterface_1</v>
      </c>
      <c r="G8" t="str">
        <v>NegativeInterface_2</v>
      </c>
      <c r="H8" t="str">
        <v>NegativeInterface_3</v>
      </c>
      <c r="I8" t="str">
        <v>PositiveInterface_1</v>
      </c>
      <c r="J8" t="str">
        <v>PositiveInterface_2</v>
      </c>
      <c r="K8" t="str">
        <v>PositiveInterface_3</v>
      </c>
    </row>
    <row r="9" spans="1:11" x14ac:dyDescent="0.25">
      <c r="A9" t="str">
        <v>CR113_N_Case2_ULS1_1.0EI_Hyd_a03BP1.0m</v>
      </c>
      <c r="B9" t="str">
        <v>NegativeInterface_2</v>
      </c>
      <c r="D9">
        <v>9</v>
      </c>
      <c r="E9" t="str">
        <v>CR113_N_Case1,4_SLS_0.7EI_Hyd_a03BP1.0m</v>
      </c>
      <c r="F9" t="str" cm="1">
        <f t="array" ref="F9:K9">TRANSPOSE(_xlfn._xlws.FILTER(_xlfn.ANCHORARRAY($B$2),_xlfn.ANCHORARRAY($A$2)=$E9))</f>
        <v>NegativeInterface_1</v>
      </c>
      <c r="G9" t="str">
        <v>NegativeInterface_2</v>
      </c>
      <c r="H9" t="str">
        <v>NegativeInterface_3</v>
      </c>
      <c r="I9" t="str">
        <v>PositiveInterface_1</v>
      </c>
      <c r="J9" t="str">
        <v>PositiveInterface_2</v>
      </c>
      <c r="K9" t="str">
        <v>PositiveInterface_3</v>
      </c>
    </row>
    <row r="10" spans="1:11" x14ac:dyDescent="0.25">
      <c r="A10" t="str">
        <v>CR113_N_Case2_ULS1_1.0EI_Hyd_a03BP1.0m</v>
      </c>
      <c r="B10" t="str">
        <v>NegativeInterface_3</v>
      </c>
      <c r="D10">
        <v>10</v>
      </c>
      <c r="E10" t="str">
        <v>CR113_N_Case1,4_SLS_0.7EI_Hyd_a03BP1.0m</v>
      </c>
      <c r="F10" t="str" cm="1">
        <f t="array" ref="F10:K10">TRANSPOSE(_xlfn._xlws.FILTER(_xlfn.ANCHORARRAY($B$2),_xlfn.ANCHORARRAY($A$2)=$E10))</f>
        <v>NegativeInterface_1</v>
      </c>
      <c r="G10" t="str">
        <v>NegativeInterface_2</v>
      </c>
      <c r="H10" t="str">
        <v>NegativeInterface_3</v>
      </c>
      <c r="I10" t="str">
        <v>PositiveInterface_1</v>
      </c>
      <c r="J10" t="str">
        <v>PositiveInterface_2</v>
      </c>
      <c r="K10" t="str">
        <v>PositiveInterface_3</v>
      </c>
    </row>
    <row r="11" spans="1:11" x14ac:dyDescent="0.25">
      <c r="A11" t="str">
        <v>CR113_N_Case2_ULS1_1.0EI_Hyd_a03BP1.0m</v>
      </c>
      <c r="B11" t="str">
        <v>PositiveInterface_1</v>
      </c>
      <c r="D11">
        <v>11</v>
      </c>
      <c r="E11" t="str">
        <v>CR113_N_Case1,4_SLS_0.7EI_Hyd_a03BP1.0m</v>
      </c>
      <c r="F11" t="str" cm="1">
        <f t="array" ref="F11:K11">TRANSPOSE(_xlfn._xlws.FILTER(_xlfn.ANCHORARRAY($B$2),_xlfn.ANCHORARRAY($A$2)=$E11))</f>
        <v>NegativeInterface_1</v>
      </c>
      <c r="G11" t="str">
        <v>NegativeInterface_2</v>
      </c>
      <c r="H11" t="str">
        <v>NegativeInterface_3</v>
      </c>
      <c r="I11" t="str">
        <v>PositiveInterface_1</v>
      </c>
      <c r="J11" t="str">
        <v>PositiveInterface_2</v>
      </c>
      <c r="K11" t="str">
        <v>PositiveInterface_3</v>
      </c>
    </row>
    <row r="12" spans="1:11" x14ac:dyDescent="0.25">
      <c r="A12" t="str">
        <v>CR113_N_Case2_ULS1_1.0EI_Hyd_a03BP1.0m</v>
      </c>
      <c r="B12" t="str">
        <v>PositiveInterface_2</v>
      </c>
      <c r="D12">
        <v>12</v>
      </c>
      <c r="E12" t="str">
        <v>CR113_N_Case1,4_SLS_0.7EI_Hyd_a03BP1.0m</v>
      </c>
      <c r="F12" t="str" cm="1">
        <f t="array" ref="F12:K12">TRANSPOSE(_xlfn._xlws.FILTER(_xlfn.ANCHORARRAY($B$2),_xlfn.ANCHORARRAY($A$2)=$E12))</f>
        <v>NegativeInterface_1</v>
      </c>
      <c r="G12" t="str">
        <v>NegativeInterface_2</v>
      </c>
      <c r="H12" t="str">
        <v>NegativeInterface_3</v>
      </c>
      <c r="I12" t="str">
        <v>PositiveInterface_1</v>
      </c>
      <c r="J12" t="str">
        <v>PositiveInterface_2</v>
      </c>
      <c r="K12" t="str">
        <v>PositiveInterface_3</v>
      </c>
    </row>
    <row r="13" spans="1:11" x14ac:dyDescent="0.25">
      <c r="A13" t="str">
        <v>CR113_N_Case2_ULS1_1.0EI_Hyd_a03BP1.0m</v>
      </c>
      <c r="B13" t="str">
        <v>PositiveInterface_3</v>
      </c>
      <c r="D13">
        <v>13</v>
      </c>
      <c r="E13" t="str">
        <v>CR113_N_Case1,4_SLS_0.7EI_Hyd_a03BP1.0m</v>
      </c>
      <c r="F13" t="str" cm="1">
        <f t="array" ref="F13:K13">TRANSPOSE(_xlfn._xlws.FILTER(_xlfn.ANCHORARRAY($B$2),_xlfn.ANCHORARRAY($A$2)=$E13))</f>
        <v>NegativeInterface_1</v>
      </c>
      <c r="G13" t="str">
        <v>NegativeInterface_2</v>
      </c>
      <c r="H13" t="str">
        <v>NegativeInterface_3</v>
      </c>
      <c r="I13" t="str">
        <v>PositiveInterface_1</v>
      </c>
      <c r="J13" t="str">
        <v>PositiveInterface_2</v>
      </c>
      <c r="K13" t="str">
        <v>PositiveInterface_3</v>
      </c>
    </row>
    <row r="14" spans="1:11" x14ac:dyDescent="0.25">
      <c r="A14" t="str">
        <v>CR113_N_Case3_ULS2_1.0EI_Hyd_a03BP1.0m</v>
      </c>
      <c r="B14" t="str">
        <v>NegativeInterface_1</v>
      </c>
      <c r="D14">
        <v>14</v>
      </c>
      <c r="E14" t="str">
        <v>CR113_N_Case1,4_SLS_0.7EI_Hyd_a03BP1.0m</v>
      </c>
      <c r="F14" t="str" cm="1">
        <f t="array" ref="F14:K14">TRANSPOSE(_xlfn._xlws.FILTER(_xlfn.ANCHORARRAY($B$2),_xlfn.ANCHORARRAY($A$2)=$E14))</f>
        <v>NegativeInterface_1</v>
      </c>
      <c r="G14" t="str">
        <v>NegativeInterface_2</v>
      </c>
      <c r="H14" t="str">
        <v>NegativeInterface_3</v>
      </c>
      <c r="I14" t="str">
        <v>PositiveInterface_1</v>
      </c>
      <c r="J14" t="str">
        <v>PositiveInterface_2</v>
      </c>
      <c r="K14" t="str">
        <v>PositiveInterface_3</v>
      </c>
    </row>
    <row r="15" spans="1:11" x14ac:dyDescent="0.25">
      <c r="A15" t="str">
        <v>CR113_N_Case3_ULS2_1.0EI_Hyd_a03BP1.0m</v>
      </c>
      <c r="B15" t="str">
        <v>NegativeInterface_2</v>
      </c>
      <c r="D15">
        <v>15</v>
      </c>
      <c r="E15" t="str">
        <v>CR113_N_Case1,4_SLS_0.7EI_Hyd_a03BP1.0m</v>
      </c>
      <c r="F15" t="str" cm="1">
        <f t="array" ref="F15:K15">TRANSPOSE(_xlfn._xlws.FILTER(_xlfn.ANCHORARRAY($B$2),_xlfn.ANCHORARRAY($A$2)=$E15))</f>
        <v>NegativeInterface_1</v>
      </c>
      <c r="G15" t="str">
        <v>NegativeInterface_2</v>
      </c>
      <c r="H15" t="str">
        <v>NegativeInterface_3</v>
      </c>
      <c r="I15" t="str">
        <v>PositiveInterface_1</v>
      </c>
      <c r="J15" t="str">
        <v>PositiveInterface_2</v>
      </c>
      <c r="K15" t="str">
        <v>PositiveInterface_3</v>
      </c>
    </row>
    <row r="16" spans="1:11" x14ac:dyDescent="0.25">
      <c r="A16" t="str">
        <v>CR113_N_Case3_ULS2_1.0EI_Hyd_a03BP1.0m</v>
      </c>
      <c r="B16" t="str">
        <v>NegativeInterface_3</v>
      </c>
      <c r="D16">
        <v>16</v>
      </c>
      <c r="E16" t="str">
        <v>CR113_N_Case1,4_SLS_0.7EI_Hyd_a03BP1.0m</v>
      </c>
      <c r="F16" t="str" cm="1">
        <f t="array" ref="F16:K16">TRANSPOSE(_xlfn._xlws.FILTER(_xlfn.ANCHORARRAY($B$2),_xlfn.ANCHORARRAY($A$2)=$E16))</f>
        <v>NegativeInterface_1</v>
      </c>
      <c r="G16" t="str">
        <v>NegativeInterface_2</v>
      </c>
      <c r="H16" t="str">
        <v>NegativeInterface_3</v>
      </c>
      <c r="I16" t="str">
        <v>PositiveInterface_1</v>
      </c>
      <c r="J16" t="str">
        <v>PositiveInterface_2</v>
      </c>
      <c r="K16" t="str">
        <v>PositiveInterface_3</v>
      </c>
    </row>
    <row r="17" spans="1:11" x14ac:dyDescent="0.25">
      <c r="A17" t="str">
        <v>CR113_N_Case3_ULS2_1.0EI_Hyd_a03BP1.0m</v>
      </c>
      <c r="B17" t="str">
        <v>PositiveInterface_1</v>
      </c>
      <c r="D17">
        <v>17</v>
      </c>
      <c r="E17" t="str">
        <v>CR113_N_Case1,4_SLS_0.7EI_Hyd_a03BP1.0m</v>
      </c>
      <c r="F17" t="str" cm="1">
        <f t="array" ref="F17:K17">TRANSPOSE(_xlfn._xlws.FILTER(_xlfn.ANCHORARRAY($B$2),_xlfn.ANCHORARRAY($A$2)=$E17))</f>
        <v>NegativeInterface_1</v>
      </c>
      <c r="G17" t="str">
        <v>NegativeInterface_2</v>
      </c>
      <c r="H17" t="str">
        <v>NegativeInterface_3</v>
      </c>
      <c r="I17" t="str">
        <v>PositiveInterface_1</v>
      </c>
      <c r="J17" t="str">
        <v>PositiveInterface_2</v>
      </c>
      <c r="K17" t="str">
        <v>PositiveInterface_3</v>
      </c>
    </row>
    <row r="18" spans="1:11" x14ac:dyDescent="0.25">
      <c r="A18" t="str">
        <v>CR113_N_Case3_ULS2_1.0EI_Hyd_a03BP1.0m</v>
      </c>
      <c r="B18" t="str">
        <v>PositiveInterface_2</v>
      </c>
      <c r="D18">
        <v>18</v>
      </c>
      <c r="E18" t="str">
        <v>CR113_N_Case1,4_SLS_0.7EI_Hyd_a03BP1.0m</v>
      </c>
      <c r="F18" t="str" cm="1">
        <f t="array" ref="F18:K18">TRANSPOSE(_xlfn._xlws.FILTER(_xlfn.ANCHORARRAY($B$2),_xlfn.ANCHORARRAY($A$2)=$E18))</f>
        <v>NegativeInterface_1</v>
      </c>
      <c r="G18" t="str">
        <v>NegativeInterface_2</v>
      </c>
      <c r="H18" t="str">
        <v>NegativeInterface_3</v>
      </c>
      <c r="I18" t="str">
        <v>PositiveInterface_1</v>
      </c>
      <c r="J18" t="str">
        <v>PositiveInterface_2</v>
      </c>
      <c r="K18" t="str">
        <v>PositiveInterface_3</v>
      </c>
    </row>
    <row r="19" spans="1:11" x14ac:dyDescent="0.25">
      <c r="A19" t="str">
        <v>CR113_N_Case3_ULS2_1.0EI_Hyd_a03BP1.0m</v>
      </c>
      <c r="B19" t="str">
        <v>PositiveInterface_3</v>
      </c>
      <c r="D19">
        <v>19</v>
      </c>
      <c r="E19" t="str">
        <v>CR113_N_Case1,4_SLS_0.7EI_Hyd_a03BP1.0m</v>
      </c>
      <c r="F19" t="str" cm="1">
        <f t="array" ref="F19:K19">TRANSPOSE(_xlfn._xlws.FILTER(_xlfn.ANCHORARRAY($B$2),_xlfn.ANCHORARRAY($A$2)=$E19))</f>
        <v>NegativeInterface_1</v>
      </c>
      <c r="G19" t="str">
        <v>NegativeInterface_2</v>
      </c>
      <c r="H19" t="str">
        <v>NegativeInterface_3</v>
      </c>
      <c r="I19" t="str">
        <v>PositiveInterface_1</v>
      </c>
      <c r="J19" t="str">
        <v>PositiveInterface_2</v>
      </c>
      <c r="K19" t="str">
        <v>PositiveInterface_3</v>
      </c>
    </row>
    <row r="20" spans="1:11" x14ac:dyDescent="0.25">
      <c r="A20" t="str">
        <v>CR113_N_Case5,8_SLS_0.7EI_SpG_a03BP1.0m</v>
      </c>
      <c r="B20" t="str">
        <v>NegativeInterface_1</v>
      </c>
      <c r="D20">
        <v>20</v>
      </c>
      <c r="E20" t="str">
        <v>CR113_N_Case1,4_SLS_0.7EI_Hyd_a03BP1.0m</v>
      </c>
      <c r="F20" t="str" cm="1">
        <f t="array" ref="F20:K20">TRANSPOSE(_xlfn._xlws.FILTER(_xlfn.ANCHORARRAY($B$2),_xlfn.ANCHORARRAY($A$2)=$E20))</f>
        <v>NegativeInterface_1</v>
      </c>
      <c r="G20" t="str">
        <v>NegativeInterface_2</v>
      </c>
      <c r="H20" t="str">
        <v>NegativeInterface_3</v>
      </c>
      <c r="I20" t="str">
        <v>PositiveInterface_1</v>
      </c>
      <c r="J20" t="str">
        <v>PositiveInterface_2</v>
      </c>
      <c r="K20" t="str">
        <v>PositiveInterface_3</v>
      </c>
    </row>
    <row r="21" spans="1:11" x14ac:dyDescent="0.25">
      <c r="A21" t="str">
        <v>CR113_N_Case5,8_SLS_0.7EI_SpG_a03BP1.0m</v>
      </c>
      <c r="B21" t="str">
        <v>NegativeInterface_2</v>
      </c>
      <c r="D21">
        <v>21</v>
      </c>
      <c r="E21" t="str">
        <v>CR113_N_Case1,4_SLS_0.7EI_Hyd_a03BP1.0m</v>
      </c>
      <c r="F21" t="str" cm="1">
        <f t="array" ref="F21:K21">TRANSPOSE(_xlfn._xlws.FILTER(_xlfn.ANCHORARRAY($B$2),_xlfn.ANCHORARRAY($A$2)=$E21))</f>
        <v>NegativeInterface_1</v>
      </c>
      <c r="G21" t="str">
        <v>NegativeInterface_2</v>
      </c>
      <c r="H21" t="str">
        <v>NegativeInterface_3</v>
      </c>
      <c r="I21" t="str">
        <v>PositiveInterface_1</v>
      </c>
      <c r="J21" t="str">
        <v>PositiveInterface_2</v>
      </c>
      <c r="K21" t="str">
        <v>PositiveInterface_3</v>
      </c>
    </row>
    <row r="22" spans="1:11" x14ac:dyDescent="0.25">
      <c r="A22" t="str">
        <v>CR113_N_Case5,8_SLS_0.7EI_SpG_a03BP1.0m</v>
      </c>
      <c r="B22" t="str">
        <v>NegativeInterface_3</v>
      </c>
      <c r="D22">
        <v>22</v>
      </c>
      <c r="E22" t="str">
        <v>CR113_N_Case1,4_SLS_0.7EI_Hyd_a03BP1.0m</v>
      </c>
      <c r="F22" t="str" cm="1">
        <f t="array" ref="F22:K22">TRANSPOSE(_xlfn._xlws.FILTER(_xlfn.ANCHORARRAY($B$2),_xlfn.ANCHORARRAY($A$2)=$E22))</f>
        <v>NegativeInterface_1</v>
      </c>
      <c r="G22" t="str">
        <v>NegativeInterface_2</v>
      </c>
      <c r="H22" t="str">
        <v>NegativeInterface_3</v>
      </c>
      <c r="I22" t="str">
        <v>PositiveInterface_1</v>
      </c>
      <c r="J22" t="str">
        <v>PositiveInterface_2</v>
      </c>
      <c r="K22" t="str">
        <v>PositiveInterface_3</v>
      </c>
    </row>
    <row r="23" spans="1:11" x14ac:dyDescent="0.25">
      <c r="A23" t="str">
        <v>CR113_N_Case5,8_SLS_0.7EI_SpG_a03BP1.0m</v>
      </c>
      <c r="B23" t="str">
        <v>PositiveInterface_1</v>
      </c>
      <c r="D23">
        <v>23</v>
      </c>
      <c r="E23" t="str">
        <v>CR113_N_Case1,4_SLS_0.7EI_Hyd_a03BP1.0m</v>
      </c>
      <c r="F23" t="str" cm="1">
        <f t="array" ref="F23:K23">TRANSPOSE(_xlfn._xlws.FILTER(_xlfn.ANCHORARRAY($B$2),_xlfn.ANCHORARRAY($A$2)=$E23))</f>
        <v>NegativeInterface_1</v>
      </c>
      <c r="G23" t="str">
        <v>NegativeInterface_2</v>
      </c>
      <c r="H23" t="str">
        <v>NegativeInterface_3</v>
      </c>
      <c r="I23" t="str">
        <v>PositiveInterface_1</v>
      </c>
      <c r="J23" t="str">
        <v>PositiveInterface_2</v>
      </c>
      <c r="K23" t="str">
        <v>PositiveInterface_3</v>
      </c>
    </row>
    <row r="24" spans="1:11" x14ac:dyDescent="0.25">
      <c r="A24" t="str">
        <v>CR113_N_Case5,8_SLS_0.7EI_SpG_a03BP1.0m</v>
      </c>
      <c r="B24" t="str">
        <v>PositiveInterface_2</v>
      </c>
      <c r="D24">
        <v>24</v>
      </c>
      <c r="E24" t="str">
        <v>CR113_N_Case1,4_SLS_0.7EI_Hyd_a03BP1.0m</v>
      </c>
      <c r="F24" t="str" cm="1">
        <f t="array" ref="F24:K24">TRANSPOSE(_xlfn._xlws.FILTER(_xlfn.ANCHORARRAY($B$2),_xlfn.ANCHORARRAY($A$2)=$E24))</f>
        <v>NegativeInterface_1</v>
      </c>
      <c r="G24" t="str">
        <v>NegativeInterface_2</v>
      </c>
      <c r="H24" t="str">
        <v>NegativeInterface_3</v>
      </c>
      <c r="I24" t="str">
        <v>PositiveInterface_1</v>
      </c>
      <c r="J24" t="str">
        <v>PositiveInterface_2</v>
      </c>
      <c r="K24" t="str">
        <v>PositiveInterface_3</v>
      </c>
    </row>
    <row r="25" spans="1:11" x14ac:dyDescent="0.25">
      <c r="A25" t="str">
        <v>CR113_N_Case5,8_SLS_0.7EI_SpG_a03BP1.0m</v>
      </c>
      <c r="B25" t="str">
        <v>PositiveInterface_3</v>
      </c>
      <c r="D25">
        <v>25</v>
      </c>
      <c r="E25" t="str">
        <v>CR113_N_Case1,4_SLS_0.7EI_Hyd_a03BP1.0m</v>
      </c>
      <c r="F25" t="str" cm="1">
        <f t="array" ref="F25:K25">TRANSPOSE(_xlfn._xlws.FILTER(_xlfn.ANCHORARRAY($B$2),_xlfn.ANCHORARRAY($A$2)=$E25))</f>
        <v>NegativeInterface_1</v>
      </c>
      <c r="G25" t="str">
        <v>NegativeInterface_2</v>
      </c>
      <c r="H25" t="str">
        <v>NegativeInterface_3</v>
      </c>
      <c r="I25" t="str">
        <v>PositiveInterface_1</v>
      </c>
      <c r="J25" t="str">
        <v>PositiveInterface_2</v>
      </c>
      <c r="K25" t="str">
        <v>PositiveInterface_3</v>
      </c>
    </row>
    <row r="26" spans="1:11" x14ac:dyDescent="0.25">
      <c r="A26" t="str">
        <v>CR113_N_Case6,7_ULS1_1.0EI_SpG_a03BP1.0m</v>
      </c>
      <c r="B26" t="str">
        <v>NegativeInterface_1</v>
      </c>
      <c r="D26">
        <v>26</v>
      </c>
      <c r="E26" t="str">
        <v>CR113_N_Case2_ULS1_1.0EI_Hyd_a03BP1.0m</v>
      </c>
      <c r="F26" t="str" cm="1">
        <f t="array" ref="F26:K26">TRANSPOSE(_xlfn._xlws.FILTER(_xlfn.ANCHORARRAY($B$2),_xlfn.ANCHORARRAY($A$2)=$E26))</f>
        <v>NegativeInterface_1</v>
      </c>
      <c r="G26" t="str">
        <v>NegativeInterface_2</v>
      </c>
      <c r="H26" t="str">
        <v>NegativeInterface_3</v>
      </c>
      <c r="I26" t="str">
        <v>PositiveInterface_1</v>
      </c>
      <c r="J26" t="str">
        <v>PositiveInterface_2</v>
      </c>
      <c r="K26" t="str">
        <v>PositiveInterface_3</v>
      </c>
    </row>
    <row r="27" spans="1:11" x14ac:dyDescent="0.25">
      <c r="A27" t="str">
        <v>CR113_N_Case6,7_ULS1_1.0EI_SpG_a03BP1.0m</v>
      </c>
      <c r="B27" t="str">
        <v>NegativeInterface_2</v>
      </c>
      <c r="D27">
        <v>27</v>
      </c>
      <c r="E27" t="str">
        <v>CR113_N_Case2_ULS1_1.0EI_Hyd_a03BP1.0m</v>
      </c>
      <c r="F27" t="str" cm="1">
        <f t="array" ref="F27:K27">TRANSPOSE(_xlfn._xlws.FILTER(_xlfn.ANCHORARRAY($B$2),_xlfn.ANCHORARRAY($A$2)=$E27))</f>
        <v>NegativeInterface_1</v>
      </c>
      <c r="G27" t="str">
        <v>NegativeInterface_2</v>
      </c>
      <c r="H27" t="str">
        <v>NegativeInterface_3</v>
      </c>
      <c r="I27" t="str">
        <v>PositiveInterface_1</v>
      </c>
      <c r="J27" t="str">
        <v>PositiveInterface_2</v>
      </c>
      <c r="K27" t="str">
        <v>PositiveInterface_3</v>
      </c>
    </row>
    <row r="28" spans="1:11" x14ac:dyDescent="0.25">
      <c r="A28" t="str">
        <v>CR113_N_Case6,7_ULS1_1.0EI_SpG_a03BP1.0m</v>
      </c>
      <c r="B28" t="str">
        <v>NegativeInterface_3</v>
      </c>
      <c r="D28">
        <v>28</v>
      </c>
      <c r="E28" t="str">
        <v>CR113_N_Case2_ULS1_1.0EI_Hyd_a03BP1.0m</v>
      </c>
      <c r="F28" t="str" cm="1">
        <f t="array" ref="F28:K28">TRANSPOSE(_xlfn._xlws.FILTER(_xlfn.ANCHORARRAY($B$2),_xlfn.ANCHORARRAY($A$2)=$E28))</f>
        <v>NegativeInterface_1</v>
      </c>
      <c r="G28" t="str">
        <v>NegativeInterface_2</v>
      </c>
      <c r="H28" t="str">
        <v>NegativeInterface_3</v>
      </c>
      <c r="I28" t="str">
        <v>PositiveInterface_1</v>
      </c>
      <c r="J28" t="str">
        <v>PositiveInterface_2</v>
      </c>
      <c r="K28" t="str">
        <v>PositiveInterface_3</v>
      </c>
    </row>
    <row r="29" spans="1:11" x14ac:dyDescent="0.25">
      <c r="A29" t="str">
        <v>CR113_N_Case6,7_ULS1_1.0EI_SpG_a03BP1.0m</v>
      </c>
      <c r="B29" t="str">
        <v>PositiveInterface_1</v>
      </c>
      <c r="D29">
        <v>29</v>
      </c>
      <c r="E29" t="str">
        <v>CR113_N_Case2_ULS1_1.0EI_Hyd_a03BP1.0m</v>
      </c>
      <c r="F29" t="str" cm="1">
        <f t="array" ref="F29:K29">TRANSPOSE(_xlfn._xlws.FILTER(_xlfn.ANCHORARRAY($B$2),_xlfn.ANCHORARRAY($A$2)=$E29))</f>
        <v>NegativeInterface_1</v>
      </c>
      <c r="G29" t="str">
        <v>NegativeInterface_2</v>
      </c>
      <c r="H29" t="str">
        <v>NegativeInterface_3</v>
      </c>
      <c r="I29" t="str">
        <v>PositiveInterface_1</v>
      </c>
      <c r="J29" t="str">
        <v>PositiveInterface_2</v>
      </c>
      <c r="K29" t="str">
        <v>PositiveInterface_3</v>
      </c>
    </row>
    <row r="30" spans="1:11" x14ac:dyDescent="0.25">
      <c r="A30" t="str">
        <v>CR113_N_Case6,7_ULS1_1.0EI_SpG_a03BP1.0m</v>
      </c>
      <c r="B30" t="str">
        <v>PositiveInterface_2</v>
      </c>
      <c r="D30">
        <v>30</v>
      </c>
      <c r="E30" t="str">
        <v>CR113_N_Case3_ULS2_1.0EI_Hyd_a03BP1.0m</v>
      </c>
      <c r="F30" t="str" cm="1">
        <f t="array" ref="F30:K30">TRANSPOSE(_xlfn._xlws.FILTER(_xlfn.ANCHORARRAY($B$2),_xlfn.ANCHORARRAY($A$2)=$E30))</f>
        <v>NegativeInterface_1</v>
      </c>
      <c r="G30" t="str">
        <v>NegativeInterface_2</v>
      </c>
      <c r="H30" t="str">
        <v>NegativeInterface_3</v>
      </c>
      <c r="I30" t="str">
        <v>PositiveInterface_1</v>
      </c>
      <c r="J30" t="str">
        <v>PositiveInterface_2</v>
      </c>
      <c r="K30" t="str">
        <v>PositiveInterface_3</v>
      </c>
    </row>
    <row r="31" spans="1:11" x14ac:dyDescent="0.25">
      <c r="A31" t="str">
        <v>CR113_N_Case6,7_ULS1_1.0EI_SpG_a03BP1.0m</v>
      </c>
      <c r="B31" t="str">
        <v>PositiveInterface_3</v>
      </c>
      <c r="D31">
        <v>31</v>
      </c>
      <c r="E31" t="str">
        <v>CR113_N_Case3_ULS2_1.0EI_Hyd_a03BP1.0m</v>
      </c>
      <c r="F31" t="str" cm="1">
        <f t="array" ref="F31:K31">TRANSPOSE(_xlfn._xlws.FILTER(_xlfn.ANCHORARRAY($B$2),_xlfn.ANCHORARRAY($A$2)=$E31))</f>
        <v>NegativeInterface_1</v>
      </c>
      <c r="G31" t="str">
        <v>NegativeInterface_2</v>
      </c>
      <c r="H31" t="str">
        <v>NegativeInterface_3</v>
      </c>
      <c r="I31" t="str">
        <v>PositiveInterface_1</v>
      </c>
      <c r="J31" t="str">
        <v>PositiveInterface_2</v>
      </c>
      <c r="K31" t="str">
        <v>PositiveInterface_3</v>
      </c>
    </row>
    <row r="32" spans="1:11" x14ac:dyDescent="0.25">
      <c r="A32" t="str">
        <v>CR113_N_CaseA_SLS_0.7EI_SpD_a03BP1.0m</v>
      </c>
      <c r="B32" t="str">
        <v>NegativeInterface_1</v>
      </c>
      <c r="D32">
        <v>32</v>
      </c>
      <c r="E32" t="str">
        <v>CR113_N_Case3_ULS2_1.0EI_Hyd_a03BP1.0m</v>
      </c>
      <c r="F32" t="str" cm="1">
        <f t="array" ref="F32:K32">TRANSPOSE(_xlfn._xlws.FILTER(_xlfn.ANCHORARRAY($B$2),_xlfn.ANCHORARRAY($A$2)=$E32))</f>
        <v>NegativeInterface_1</v>
      </c>
      <c r="G32" t="str">
        <v>NegativeInterface_2</v>
      </c>
      <c r="H32" t="str">
        <v>NegativeInterface_3</v>
      </c>
      <c r="I32" t="str">
        <v>PositiveInterface_1</v>
      </c>
      <c r="J32" t="str">
        <v>PositiveInterface_2</v>
      </c>
      <c r="K32" t="str">
        <v>PositiveInterface_3</v>
      </c>
    </row>
    <row r="33" spans="1:11" x14ac:dyDescent="0.25">
      <c r="A33" t="str">
        <v>CR113_N_CaseA_SLS_0.7EI_SpD_a03BP1.0m</v>
      </c>
      <c r="B33" t="str">
        <v>NegativeInterface_2</v>
      </c>
      <c r="D33">
        <v>33</v>
      </c>
      <c r="E33" t="str">
        <v>CR113_N_Case3_ULS2_1.0EI_Hyd_a03BP1.0m</v>
      </c>
      <c r="F33" t="str" cm="1">
        <f t="array" ref="F33:K33">TRANSPOSE(_xlfn._xlws.FILTER(_xlfn.ANCHORARRAY($B$2),_xlfn.ANCHORARRAY($A$2)=$E33))</f>
        <v>NegativeInterface_1</v>
      </c>
      <c r="G33" t="str">
        <v>NegativeInterface_2</v>
      </c>
      <c r="H33" t="str">
        <v>NegativeInterface_3</v>
      </c>
      <c r="I33" t="str">
        <v>PositiveInterface_1</v>
      </c>
      <c r="J33" t="str">
        <v>PositiveInterface_2</v>
      </c>
      <c r="K33" t="str">
        <v>PositiveInterface_3</v>
      </c>
    </row>
    <row r="34" spans="1:11" x14ac:dyDescent="0.25">
      <c r="A34" t="str">
        <v>CR113_N_CaseA_SLS_0.7EI_SpD_a03BP1.0m</v>
      </c>
      <c r="B34" t="str">
        <v>NegativeInterface_3</v>
      </c>
      <c r="D34">
        <v>34</v>
      </c>
      <c r="E34" t="str">
        <v>CR113_N_Case5,8_SLS_0.7EI_SpG_a03BP1.0m</v>
      </c>
      <c r="F34" t="str" cm="1">
        <f t="array" ref="F34:K34">TRANSPOSE(_xlfn._xlws.FILTER(_xlfn.ANCHORARRAY($B$2),_xlfn.ANCHORARRAY($A$2)=$E34))</f>
        <v>NegativeInterface_1</v>
      </c>
      <c r="G34" t="str">
        <v>NegativeInterface_2</v>
      </c>
      <c r="H34" t="str">
        <v>NegativeInterface_3</v>
      </c>
      <c r="I34" t="str">
        <v>PositiveInterface_1</v>
      </c>
      <c r="J34" t="str">
        <v>PositiveInterface_2</v>
      </c>
      <c r="K34" t="str">
        <v>PositiveInterface_3</v>
      </c>
    </row>
    <row r="35" spans="1:11" x14ac:dyDescent="0.25">
      <c r="A35" t="str">
        <v>CR113_N_CaseA_SLS_0.7EI_SpD_a03BP1.0m</v>
      </c>
      <c r="B35" t="str">
        <v>PositiveInterface_1</v>
      </c>
      <c r="D35">
        <v>35</v>
      </c>
      <c r="E35" t="str">
        <v>CR113_N_Case5,8_SLS_0.7EI_SpG_a03BP1.0m</v>
      </c>
      <c r="F35" t="str" cm="1">
        <f t="array" ref="F35:K35">TRANSPOSE(_xlfn._xlws.FILTER(_xlfn.ANCHORARRAY($B$2),_xlfn.ANCHORARRAY($A$2)=$E35))</f>
        <v>NegativeInterface_1</v>
      </c>
      <c r="G35" t="str">
        <v>NegativeInterface_2</v>
      </c>
      <c r="H35" t="str">
        <v>NegativeInterface_3</v>
      </c>
      <c r="I35" t="str">
        <v>PositiveInterface_1</v>
      </c>
      <c r="J35" t="str">
        <v>PositiveInterface_2</v>
      </c>
      <c r="K35" t="str">
        <v>PositiveInterface_3</v>
      </c>
    </row>
    <row r="36" spans="1:11" x14ac:dyDescent="0.25">
      <c r="A36" t="str">
        <v>CR113_N_CaseA_SLS_0.7EI_SpD_a03BP1.0m</v>
      </c>
      <c r="B36" t="str">
        <v>PositiveInterface_2</v>
      </c>
      <c r="D36">
        <v>36</v>
      </c>
      <c r="E36" t="str">
        <v>CR113_N_Case5,8_SLS_0.7EI_SpG_a03BP1.0m</v>
      </c>
      <c r="F36" t="str" cm="1">
        <f t="array" ref="F36:K36">TRANSPOSE(_xlfn._xlws.FILTER(_xlfn.ANCHORARRAY($B$2),_xlfn.ANCHORARRAY($A$2)=$E36))</f>
        <v>NegativeInterface_1</v>
      </c>
      <c r="G36" t="str">
        <v>NegativeInterface_2</v>
      </c>
      <c r="H36" t="str">
        <v>NegativeInterface_3</v>
      </c>
      <c r="I36" t="str">
        <v>PositiveInterface_1</v>
      </c>
      <c r="J36" t="str">
        <v>PositiveInterface_2</v>
      </c>
      <c r="K36" t="str">
        <v>PositiveInterface_3</v>
      </c>
    </row>
    <row r="37" spans="1:11" x14ac:dyDescent="0.25">
      <c r="A37" t="str">
        <v>CR113_N_CaseA_SLS_0.7EI_SpD_a03BP1.0m</v>
      </c>
      <c r="B37" t="str">
        <v>PositiveInterface_3</v>
      </c>
      <c r="D37">
        <v>37</v>
      </c>
      <c r="E37" t="str">
        <v>CR113_N_Case5,8_SLS_0.7EI_SpG_a03BP1.0m</v>
      </c>
      <c r="F37" t="str" cm="1">
        <f t="array" ref="F37:K37">TRANSPOSE(_xlfn._xlws.FILTER(_xlfn.ANCHORARRAY($B$2),_xlfn.ANCHORARRAY($A$2)=$E37))</f>
        <v>NegativeInterface_1</v>
      </c>
      <c r="G37" t="str">
        <v>NegativeInterface_2</v>
      </c>
      <c r="H37" t="str">
        <v>NegativeInterface_3</v>
      </c>
      <c r="I37" t="str">
        <v>PositiveInterface_1</v>
      </c>
      <c r="J37" t="str">
        <v>PositiveInterface_2</v>
      </c>
      <c r="K37" t="str">
        <v>PositiveInterface_3</v>
      </c>
    </row>
    <row r="38" spans="1:11" x14ac:dyDescent="0.25">
      <c r="D38">
        <v>38</v>
      </c>
      <c r="E38" t="str">
        <v>CR113_N_Case5,8_SLS_0.7EI_SpG_a03BP1.0m</v>
      </c>
      <c r="F38" t="str" cm="1">
        <f t="array" ref="F38:K38">TRANSPOSE(_xlfn._xlws.FILTER(_xlfn.ANCHORARRAY($B$2),_xlfn.ANCHORARRAY($A$2)=$E38))</f>
        <v>NegativeInterface_1</v>
      </c>
      <c r="G38" t="str">
        <v>NegativeInterface_2</v>
      </c>
      <c r="H38" t="str">
        <v>NegativeInterface_3</v>
      </c>
      <c r="I38" t="str">
        <v>PositiveInterface_1</v>
      </c>
      <c r="J38" t="str">
        <v>PositiveInterface_2</v>
      </c>
      <c r="K38" t="str">
        <v>PositiveInterface_3</v>
      </c>
    </row>
    <row r="39" spans="1:11" x14ac:dyDescent="0.25">
      <c r="D39">
        <v>39</v>
      </c>
      <c r="E39" t="str">
        <v>CR113_N_Case5,8_SLS_0.7EI_SpG_a03BP1.0m</v>
      </c>
      <c r="F39" t="str" cm="1">
        <f t="array" ref="F39:K39">TRANSPOSE(_xlfn._xlws.FILTER(_xlfn.ANCHORARRAY($B$2),_xlfn.ANCHORARRAY($A$2)=$E39))</f>
        <v>NegativeInterface_1</v>
      </c>
      <c r="G39" t="str">
        <v>NegativeInterface_2</v>
      </c>
      <c r="H39" t="str">
        <v>NegativeInterface_3</v>
      </c>
      <c r="I39" t="str">
        <v>PositiveInterface_1</v>
      </c>
      <c r="J39" t="str">
        <v>PositiveInterface_2</v>
      </c>
      <c r="K39" t="str">
        <v>PositiveInterface_3</v>
      </c>
    </row>
    <row r="40" spans="1:11" x14ac:dyDescent="0.25">
      <c r="D40">
        <v>40</v>
      </c>
      <c r="E40" t="str">
        <v>CR113_N_Case5,8_SLS_0.7EI_SpG_a03BP1.0m</v>
      </c>
      <c r="F40" t="str" cm="1">
        <f t="array" ref="F40:K40">TRANSPOSE(_xlfn._xlws.FILTER(_xlfn.ANCHORARRAY($B$2),_xlfn.ANCHORARRAY($A$2)=$E40))</f>
        <v>NegativeInterface_1</v>
      </c>
      <c r="G40" t="str">
        <v>NegativeInterface_2</v>
      </c>
      <c r="H40" t="str">
        <v>NegativeInterface_3</v>
      </c>
      <c r="I40" t="str">
        <v>PositiveInterface_1</v>
      </c>
      <c r="J40" t="str">
        <v>PositiveInterface_2</v>
      </c>
      <c r="K40" t="str">
        <v>PositiveInterface_3</v>
      </c>
    </row>
    <row r="41" spans="1:11" x14ac:dyDescent="0.25">
      <c r="D41">
        <v>41</v>
      </c>
      <c r="E41" t="str">
        <v>CR113_N_Case5,8_SLS_0.7EI_SpG_a03BP1.0m</v>
      </c>
      <c r="F41" t="str" cm="1">
        <f t="array" ref="F41:K41">TRANSPOSE(_xlfn._xlws.FILTER(_xlfn.ANCHORARRAY($B$2),_xlfn.ANCHORARRAY($A$2)=$E41))</f>
        <v>NegativeInterface_1</v>
      </c>
      <c r="G41" t="str">
        <v>NegativeInterface_2</v>
      </c>
      <c r="H41" t="str">
        <v>NegativeInterface_3</v>
      </c>
      <c r="I41" t="str">
        <v>PositiveInterface_1</v>
      </c>
      <c r="J41" t="str">
        <v>PositiveInterface_2</v>
      </c>
      <c r="K41" t="str">
        <v>PositiveInterface_3</v>
      </c>
    </row>
    <row r="42" spans="1:11" x14ac:dyDescent="0.25">
      <c r="D42">
        <v>42</v>
      </c>
      <c r="E42" t="str">
        <v>CR113_N_Case5,8_SLS_0.7EI_SpG_a03BP1.0m</v>
      </c>
      <c r="F42" t="str" cm="1">
        <f t="array" ref="F42:K42">TRANSPOSE(_xlfn._xlws.FILTER(_xlfn.ANCHORARRAY($B$2),_xlfn.ANCHORARRAY($A$2)=$E42))</f>
        <v>NegativeInterface_1</v>
      </c>
      <c r="G42" t="str">
        <v>NegativeInterface_2</v>
      </c>
      <c r="H42" t="str">
        <v>NegativeInterface_3</v>
      </c>
      <c r="I42" t="str">
        <v>PositiveInterface_1</v>
      </c>
      <c r="J42" t="str">
        <v>PositiveInterface_2</v>
      </c>
      <c r="K42" t="str">
        <v>PositiveInterface_3</v>
      </c>
    </row>
    <row r="43" spans="1:11" x14ac:dyDescent="0.25">
      <c r="D43">
        <v>43</v>
      </c>
      <c r="E43" t="str">
        <v>CR113_N_Case5,8_SLS_0.7EI_SpG_a03BP1.0m</v>
      </c>
      <c r="F43" t="str" cm="1">
        <f t="array" ref="F43:K43">TRANSPOSE(_xlfn._xlws.FILTER(_xlfn.ANCHORARRAY($B$2),_xlfn.ANCHORARRAY($A$2)=$E43))</f>
        <v>NegativeInterface_1</v>
      </c>
      <c r="G43" t="str">
        <v>NegativeInterface_2</v>
      </c>
      <c r="H43" t="str">
        <v>NegativeInterface_3</v>
      </c>
      <c r="I43" t="str">
        <v>PositiveInterface_1</v>
      </c>
      <c r="J43" t="str">
        <v>PositiveInterface_2</v>
      </c>
      <c r="K43" t="str">
        <v>PositiveInterface_3</v>
      </c>
    </row>
    <row r="44" spans="1:11" x14ac:dyDescent="0.25">
      <c r="D44">
        <v>44</v>
      </c>
      <c r="E44" t="str">
        <v>CR113_N_Case5,8_SLS_0.7EI_SpG_a03BP1.0m</v>
      </c>
      <c r="F44" t="str" cm="1">
        <f t="array" ref="F44:K44">TRANSPOSE(_xlfn._xlws.FILTER(_xlfn.ANCHORARRAY($B$2),_xlfn.ANCHORARRAY($A$2)=$E44))</f>
        <v>NegativeInterface_1</v>
      </c>
      <c r="G44" t="str">
        <v>NegativeInterface_2</v>
      </c>
      <c r="H44" t="str">
        <v>NegativeInterface_3</v>
      </c>
      <c r="I44" t="str">
        <v>PositiveInterface_1</v>
      </c>
      <c r="J44" t="str">
        <v>PositiveInterface_2</v>
      </c>
      <c r="K44" t="str">
        <v>PositiveInterface_3</v>
      </c>
    </row>
    <row r="45" spans="1:11" x14ac:dyDescent="0.25">
      <c r="D45">
        <v>45</v>
      </c>
      <c r="E45" t="str">
        <v>CR113_N_Case5,8_SLS_0.7EI_SpG_a03BP1.0m</v>
      </c>
      <c r="F45" t="str" cm="1">
        <f t="array" ref="F45:K45">TRANSPOSE(_xlfn._xlws.FILTER(_xlfn.ANCHORARRAY($B$2),_xlfn.ANCHORARRAY($A$2)=$E45))</f>
        <v>NegativeInterface_1</v>
      </c>
      <c r="G45" t="str">
        <v>NegativeInterface_2</v>
      </c>
      <c r="H45" t="str">
        <v>NegativeInterface_3</v>
      </c>
      <c r="I45" t="str">
        <v>PositiveInterface_1</v>
      </c>
      <c r="J45" t="str">
        <v>PositiveInterface_2</v>
      </c>
      <c r="K45" t="str">
        <v>PositiveInterface_3</v>
      </c>
    </row>
    <row r="46" spans="1:11" x14ac:dyDescent="0.25">
      <c r="D46">
        <v>46</v>
      </c>
      <c r="E46" t="str">
        <v>CR113_N_Case5,8_SLS_0.7EI_SpG_a03BP1.0m</v>
      </c>
      <c r="F46" t="str" cm="1">
        <f t="array" ref="F46:K46">TRANSPOSE(_xlfn._xlws.FILTER(_xlfn.ANCHORARRAY($B$2),_xlfn.ANCHORARRAY($A$2)=$E46))</f>
        <v>NegativeInterface_1</v>
      </c>
      <c r="G46" t="str">
        <v>NegativeInterface_2</v>
      </c>
      <c r="H46" t="str">
        <v>NegativeInterface_3</v>
      </c>
      <c r="I46" t="str">
        <v>PositiveInterface_1</v>
      </c>
      <c r="J46" t="str">
        <v>PositiveInterface_2</v>
      </c>
      <c r="K46" t="str">
        <v>PositiveInterface_3</v>
      </c>
    </row>
    <row r="47" spans="1:11" x14ac:dyDescent="0.25">
      <c r="D47">
        <v>47</v>
      </c>
      <c r="E47" t="str">
        <v>CR113_N_Case5,8_SLS_0.7EI_SpG_a03BP1.0m</v>
      </c>
      <c r="F47" t="str" cm="1">
        <f t="array" ref="F47:K47">TRANSPOSE(_xlfn._xlws.FILTER(_xlfn.ANCHORARRAY($B$2),_xlfn.ANCHORARRAY($A$2)=$E47))</f>
        <v>NegativeInterface_1</v>
      </c>
      <c r="G47" t="str">
        <v>NegativeInterface_2</v>
      </c>
      <c r="H47" t="str">
        <v>NegativeInterface_3</v>
      </c>
      <c r="I47" t="str">
        <v>PositiveInterface_1</v>
      </c>
      <c r="J47" t="str">
        <v>PositiveInterface_2</v>
      </c>
      <c r="K47" t="str">
        <v>PositiveInterface_3</v>
      </c>
    </row>
    <row r="48" spans="1:11" x14ac:dyDescent="0.25">
      <c r="D48">
        <v>48</v>
      </c>
      <c r="E48" t="str">
        <v>CR113_N_Case5,8_SLS_0.7EI_SpG_a03BP1.0m</v>
      </c>
      <c r="F48" t="str" cm="1">
        <f t="array" ref="F48:K48">TRANSPOSE(_xlfn._xlws.FILTER(_xlfn.ANCHORARRAY($B$2),_xlfn.ANCHORARRAY($A$2)=$E48))</f>
        <v>NegativeInterface_1</v>
      </c>
      <c r="G48" t="str">
        <v>NegativeInterface_2</v>
      </c>
      <c r="H48" t="str">
        <v>NegativeInterface_3</v>
      </c>
      <c r="I48" t="str">
        <v>PositiveInterface_1</v>
      </c>
      <c r="J48" t="str">
        <v>PositiveInterface_2</v>
      </c>
      <c r="K48" t="str">
        <v>PositiveInterface_3</v>
      </c>
    </row>
    <row r="49" spans="4:11" x14ac:dyDescent="0.25">
      <c r="D49">
        <v>49</v>
      </c>
      <c r="E49" t="str">
        <v>CR113_N_Case5,8_SLS_0.7EI_SpG_a03BP1.0m</v>
      </c>
      <c r="F49" t="str" cm="1">
        <f t="array" ref="F49:K49">TRANSPOSE(_xlfn._xlws.FILTER(_xlfn.ANCHORARRAY($B$2),_xlfn.ANCHORARRAY($A$2)=$E49))</f>
        <v>NegativeInterface_1</v>
      </c>
      <c r="G49" t="str">
        <v>NegativeInterface_2</v>
      </c>
      <c r="H49" t="str">
        <v>NegativeInterface_3</v>
      </c>
      <c r="I49" t="str">
        <v>PositiveInterface_1</v>
      </c>
      <c r="J49" t="str">
        <v>PositiveInterface_2</v>
      </c>
      <c r="K49" t="str">
        <v>PositiveInterface_3</v>
      </c>
    </row>
    <row r="50" spans="4:11" x14ac:dyDescent="0.25">
      <c r="D50">
        <v>50</v>
      </c>
      <c r="E50" t="str">
        <v>CR113_N_Case5,8_SLS_0.7EI_SpG_a03BP1.0m</v>
      </c>
      <c r="F50" t="str" cm="1">
        <f t="array" ref="F50:K50">TRANSPOSE(_xlfn._xlws.FILTER(_xlfn.ANCHORARRAY($B$2),_xlfn.ANCHORARRAY($A$2)=$E50))</f>
        <v>NegativeInterface_1</v>
      </c>
      <c r="G50" t="str">
        <v>NegativeInterface_2</v>
      </c>
      <c r="H50" t="str">
        <v>NegativeInterface_3</v>
      </c>
      <c r="I50" t="str">
        <v>PositiveInterface_1</v>
      </c>
      <c r="J50" t="str">
        <v>PositiveInterface_2</v>
      </c>
      <c r="K50" t="str">
        <v>PositiveInterface_3</v>
      </c>
    </row>
    <row r="51" spans="4:11" x14ac:dyDescent="0.25">
      <c r="D51">
        <v>51</v>
      </c>
      <c r="E51" t="str">
        <v>CR113_N_Case5,8_SLS_0.7EI_SpG_a03BP1.0m</v>
      </c>
      <c r="F51" t="str" cm="1">
        <f t="array" ref="F51:K51">TRANSPOSE(_xlfn._xlws.FILTER(_xlfn.ANCHORARRAY($B$2),_xlfn.ANCHORARRAY($A$2)=$E51))</f>
        <v>NegativeInterface_1</v>
      </c>
      <c r="G51" t="str">
        <v>NegativeInterface_2</v>
      </c>
      <c r="H51" t="str">
        <v>NegativeInterface_3</v>
      </c>
      <c r="I51" t="str">
        <v>PositiveInterface_1</v>
      </c>
      <c r="J51" t="str">
        <v>PositiveInterface_2</v>
      </c>
      <c r="K51" t="str">
        <v>PositiveInterface_3</v>
      </c>
    </row>
    <row r="52" spans="4:11" x14ac:dyDescent="0.25">
      <c r="D52">
        <v>52</v>
      </c>
      <c r="E52" t="str">
        <v>CR113_N_Case5,8_SLS_0.7EI_SpG_a03BP1.0m</v>
      </c>
      <c r="F52" t="str" cm="1">
        <f t="array" ref="F52:K52">TRANSPOSE(_xlfn._xlws.FILTER(_xlfn.ANCHORARRAY($B$2),_xlfn.ANCHORARRAY($A$2)=$E52))</f>
        <v>NegativeInterface_1</v>
      </c>
      <c r="G52" t="str">
        <v>NegativeInterface_2</v>
      </c>
      <c r="H52" t="str">
        <v>NegativeInterface_3</v>
      </c>
      <c r="I52" t="str">
        <v>PositiveInterface_1</v>
      </c>
      <c r="J52" t="str">
        <v>PositiveInterface_2</v>
      </c>
      <c r="K52" t="str">
        <v>PositiveInterface_3</v>
      </c>
    </row>
    <row r="53" spans="4:11" x14ac:dyDescent="0.25">
      <c r="D53">
        <v>53</v>
      </c>
      <c r="E53" t="str">
        <v>CR113_N_Case5,8_SLS_0.7EI_SpG_a03BP1.0m</v>
      </c>
      <c r="F53" t="str" cm="1">
        <f t="array" ref="F53:K53">TRANSPOSE(_xlfn._xlws.FILTER(_xlfn.ANCHORARRAY($B$2),_xlfn.ANCHORARRAY($A$2)=$E53))</f>
        <v>NegativeInterface_1</v>
      </c>
      <c r="G53" t="str">
        <v>NegativeInterface_2</v>
      </c>
      <c r="H53" t="str">
        <v>NegativeInterface_3</v>
      </c>
      <c r="I53" t="str">
        <v>PositiveInterface_1</v>
      </c>
      <c r="J53" t="str">
        <v>PositiveInterface_2</v>
      </c>
      <c r="K53" t="str">
        <v>PositiveInterface_3</v>
      </c>
    </row>
    <row r="54" spans="4:11" x14ac:dyDescent="0.25">
      <c r="D54">
        <v>54</v>
      </c>
      <c r="E54" t="str">
        <v>CR113_N_Case5,8_SLS_0.7EI_SpG_a03BP1.0m</v>
      </c>
      <c r="F54" t="str" cm="1">
        <f t="array" ref="F54:K54">TRANSPOSE(_xlfn._xlws.FILTER(_xlfn.ANCHORARRAY($B$2),_xlfn.ANCHORARRAY($A$2)=$E54))</f>
        <v>NegativeInterface_1</v>
      </c>
      <c r="G54" t="str">
        <v>NegativeInterface_2</v>
      </c>
      <c r="H54" t="str">
        <v>NegativeInterface_3</v>
      </c>
      <c r="I54" t="str">
        <v>PositiveInterface_1</v>
      </c>
      <c r="J54" t="str">
        <v>PositiveInterface_2</v>
      </c>
      <c r="K54" t="str">
        <v>PositiveInterface_3</v>
      </c>
    </row>
    <row r="55" spans="4:11" x14ac:dyDescent="0.25">
      <c r="D55">
        <v>55</v>
      </c>
      <c r="E55" t="str">
        <v>CR113_N_Case5,8_SLS_0.7EI_SpG_a03BP1.0m</v>
      </c>
      <c r="F55" t="str" cm="1">
        <f t="array" ref="F55:K55">TRANSPOSE(_xlfn._xlws.FILTER(_xlfn.ANCHORARRAY($B$2),_xlfn.ANCHORARRAY($A$2)=$E55))</f>
        <v>NegativeInterface_1</v>
      </c>
      <c r="G55" t="str">
        <v>NegativeInterface_2</v>
      </c>
      <c r="H55" t="str">
        <v>NegativeInterface_3</v>
      </c>
      <c r="I55" t="str">
        <v>PositiveInterface_1</v>
      </c>
      <c r="J55" t="str">
        <v>PositiveInterface_2</v>
      </c>
      <c r="K55" t="str">
        <v>PositiveInterface_3</v>
      </c>
    </row>
    <row r="56" spans="4:11" x14ac:dyDescent="0.25">
      <c r="D56">
        <v>56</v>
      </c>
      <c r="E56" t="str">
        <v>CR113_N_Case6,7_ULS1_1.0EI_SpG_a03BP1.0m</v>
      </c>
      <c r="F56" t="str" cm="1">
        <f t="array" ref="F56:K56">TRANSPOSE(_xlfn._xlws.FILTER(_xlfn.ANCHORARRAY($B$2),_xlfn.ANCHORARRAY($A$2)=$E56))</f>
        <v>NegativeInterface_1</v>
      </c>
      <c r="G56" t="str">
        <v>NegativeInterface_2</v>
      </c>
      <c r="H56" t="str">
        <v>NegativeInterface_3</v>
      </c>
      <c r="I56" t="str">
        <v>PositiveInterface_1</v>
      </c>
      <c r="J56" t="str">
        <v>PositiveInterface_2</v>
      </c>
      <c r="K56" t="str">
        <v>PositiveInterface_3</v>
      </c>
    </row>
    <row r="57" spans="4:11" x14ac:dyDescent="0.25">
      <c r="D57">
        <v>57</v>
      </c>
      <c r="E57" t="str">
        <v>CR113_N_Case6,7_ULS1_1.0EI_SpG_a03BP1.0m</v>
      </c>
      <c r="F57" t="str" cm="1">
        <f t="array" ref="F57:K57">TRANSPOSE(_xlfn._xlws.FILTER(_xlfn.ANCHORARRAY($B$2),_xlfn.ANCHORARRAY($A$2)=$E57))</f>
        <v>NegativeInterface_1</v>
      </c>
      <c r="G57" t="str">
        <v>NegativeInterface_2</v>
      </c>
      <c r="H57" t="str">
        <v>NegativeInterface_3</v>
      </c>
      <c r="I57" t="str">
        <v>PositiveInterface_1</v>
      </c>
      <c r="J57" t="str">
        <v>PositiveInterface_2</v>
      </c>
      <c r="K57" t="str">
        <v>PositiveInterface_3</v>
      </c>
    </row>
    <row r="58" spans="4:11" x14ac:dyDescent="0.25">
      <c r="D58">
        <v>58</v>
      </c>
      <c r="E58" t="str">
        <v>CR113_N_Case6,7_ULS1_1.0EI_SpG_a03BP1.0m</v>
      </c>
      <c r="F58" t="str" cm="1">
        <f t="array" ref="F58:K58">TRANSPOSE(_xlfn._xlws.FILTER(_xlfn.ANCHORARRAY($B$2),_xlfn.ANCHORARRAY($A$2)=$E58))</f>
        <v>NegativeInterface_1</v>
      </c>
      <c r="G58" t="str">
        <v>NegativeInterface_2</v>
      </c>
      <c r="H58" t="str">
        <v>NegativeInterface_3</v>
      </c>
      <c r="I58" t="str">
        <v>PositiveInterface_1</v>
      </c>
      <c r="J58" t="str">
        <v>PositiveInterface_2</v>
      </c>
      <c r="K58" t="str">
        <v>PositiveInterface_3</v>
      </c>
    </row>
    <row r="59" spans="4:11" x14ac:dyDescent="0.25">
      <c r="D59">
        <v>59</v>
      </c>
      <c r="E59" t="str">
        <v>CR113_N_Case6,7_ULS1_1.0EI_SpG_a03BP1.0m</v>
      </c>
      <c r="F59" t="str" cm="1">
        <f t="array" ref="F59:K59">TRANSPOSE(_xlfn._xlws.FILTER(_xlfn.ANCHORARRAY($B$2),_xlfn.ANCHORARRAY($A$2)=$E59))</f>
        <v>NegativeInterface_1</v>
      </c>
      <c r="G59" t="str">
        <v>NegativeInterface_2</v>
      </c>
      <c r="H59" t="str">
        <v>NegativeInterface_3</v>
      </c>
      <c r="I59" t="str">
        <v>PositiveInterface_1</v>
      </c>
      <c r="J59" t="str">
        <v>PositiveInterface_2</v>
      </c>
      <c r="K59" t="str">
        <v>PositiveInterface_3</v>
      </c>
    </row>
    <row r="60" spans="4:11" x14ac:dyDescent="0.25">
      <c r="D60">
        <v>60</v>
      </c>
      <c r="E60" t="str">
        <v>CR113_N_Case6,7_ULS1_1.0EI_SpG_a03BP1.0m</v>
      </c>
      <c r="F60" t="str" cm="1">
        <f t="array" ref="F60:K60">TRANSPOSE(_xlfn._xlws.FILTER(_xlfn.ANCHORARRAY($B$2),_xlfn.ANCHORARRAY($A$2)=$E60))</f>
        <v>NegativeInterface_1</v>
      </c>
      <c r="G60" t="str">
        <v>NegativeInterface_2</v>
      </c>
      <c r="H60" t="str">
        <v>NegativeInterface_3</v>
      </c>
      <c r="I60" t="str">
        <v>PositiveInterface_1</v>
      </c>
      <c r="J60" t="str">
        <v>PositiveInterface_2</v>
      </c>
      <c r="K60" t="str">
        <v>PositiveInterface_3</v>
      </c>
    </row>
    <row r="61" spans="4:11" x14ac:dyDescent="0.25">
      <c r="D61">
        <v>61</v>
      </c>
      <c r="E61" t="str">
        <v>CR113_N_Case6,7_ULS1_1.0EI_SpG_a03BP1.0m</v>
      </c>
      <c r="F61" t="str" cm="1">
        <f t="array" ref="F61:K61">TRANSPOSE(_xlfn._xlws.FILTER(_xlfn.ANCHORARRAY($B$2),_xlfn.ANCHORARRAY($A$2)=$E61))</f>
        <v>NegativeInterface_1</v>
      </c>
      <c r="G61" t="str">
        <v>NegativeInterface_2</v>
      </c>
      <c r="H61" t="str">
        <v>NegativeInterface_3</v>
      </c>
      <c r="I61" t="str">
        <v>PositiveInterface_1</v>
      </c>
      <c r="J61" t="str">
        <v>PositiveInterface_2</v>
      </c>
      <c r="K61" t="str">
        <v>PositiveInterface_3</v>
      </c>
    </row>
    <row r="62" spans="4:11" x14ac:dyDescent="0.25">
      <c r="D62">
        <v>62</v>
      </c>
      <c r="E62" t="str">
        <v>CR113_N_Case6,7_ULS1_1.0EI_SpG_a03BP1.0m</v>
      </c>
      <c r="F62" t="str" cm="1">
        <f t="array" ref="F62:K62">TRANSPOSE(_xlfn._xlws.FILTER(_xlfn.ANCHORARRAY($B$2),_xlfn.ANCHORARRAY($A$2)=$E62))</f>
        <v>NegativeInterface_1</v>
      </c>
      <c r="G62" t="str">
        <v>NegativeInterface_2</v>
      </c>
      <c r="H62" t="str">
        <v>NegativeInterface_3</v>
      </c>
      <c r="I62" t="str">
        <v>PositiveInterface_1</v>
      </c>
      <c r="J62" t="str">
        <v>PositiveInterface_2</v>
      </c>
      <c r="K62" t="str">
        <v>PositiveInterface_3</v>
      </c>
    </row>
    <row r="63" spans="4:11" x14ac:dyDescent="0.25">
      <c r="D63">
        <v>63</v>
      </c>
      <c r="E63" t="str">
        <v>CR113_N_Case6,7_ULS1_1.0EI_SpG_a03BP1.0m</v>
      </c>
      <c r="F63" t="str" cm="1">
        <f t="array" ref="F63:K63">TRANSPOSE(_xlfn._xlws.FILTER(_xlfn.ANCHORARRAY($B$2),_xlfn.ANCHORARRAY($A$2)=$E63))</f>
        <v>NegativeInterface_1</v>
      </c>
      <c r="G63" t="str">
        <v>NegativeInterface_2</v>
      </c>
      <c r="H63" t="str">
        <v>NegativeInterface_3</v>
      </c>
      <c r="I63" t="str">
        <v>PositiveInterface_1</v>
      </c>
      <c r="J63" t="str">
        <v>PositiveInterface_2</v>
      </c>
      <c r="K63" t="str">
        <v>PositiveInterface_3</v>
      </c>
    </row>
    <row r="64" spans="4:11" x14ac:dyDescent="0.25">
      <c r="D64">
        <v>64</v>
      </c>
      <c r="E64" t="str">
        <v>CR113_N_Case6,7_ULS1_1.0EI_SpG_a03BP1.0m</v>
      </c>
      <c r="F64" t="str" cm="1">
        <f t="array" ref="F64:K64">TRANSPOSE(_xlfn._xlws.FILTER(_xlfn.ANCHORARRAY($B$2),_xlfn.ANCHORARRAY($A$2)=$E64))</f>
        <v>NegativeInterface_1</v>
      </c>
      <c r="G64" t="str">
        <v>NegativeInterface_2</v>
      </c>
      <c r="H64" t="str">
        <v>NegativeInterface_3</v>
      </c>
      <c r="I64" t="str">
        <v>PositiveInterface_1</v>
      </c>
      <c r="J64" t="str">
        <v>PositiveInterface_2</v>
      </c>
      <c r="K64" t="str">
        <v>PositiveInterface_3</v>
      </c>
    </row>
    <row r="65" spans="6:6" x14ac:dyDescent="0.25">
      <c r="F65" t="e" cm="1" vm="1">
        <f t="array" ref="F65">TRANSPOSE(_xlfn._xlws.FILTER(_xlfn.ANCHORARRAY($B$2),_xlfn.ANCHORARRAY($A$2)=$E65))</f>
        <v>#VALUE!</v>
      </c>
    </row>
    <row r="66" spans="6:6" x14ac:dyDescent="0.25">
      <c r="F66" t="e" cm="1" vm="1">
        <f t="array" ref="F66">TRANSPOSE(_xlfn._xlws.FILTER(_xlfn.ANCHORARRAY($B$2),_xlfn.ANCHORARRAY($A$2)=$E66))</f>
        <v>#VALUE!</v>
      </c>
    </row>
    <row r="67" spans="6:6" x14ac:dyDescent="0.25">
      <c r="F67" t="e" cm="1" vm="1">
        <f t="array" ref="F67">TRANSPOSE(_xlfn._xlws.FILTER(_xlfn.ANCHORARRAY($B$2),_xlfn.ANCHORARRAY($A$2)=$E67))</f>
        <v>#VALUE!</v>
      </c>
    </row>
    <row r="68" spans="6:6" x14ac:dyDescent="0.25">
      <c r="F68" t="e" cm="1" vm="1">
        <f t="array" ref="F68">TRANSPOSE(_xlfn._xlws.FILTER(_xlfn.ANCHORARRAY($B$2),_xlfn.ANCHORARRAY($A$2)=$E68))</f>
        <v>#VALUE!</v>
      </c>
    </row>
    <row r="69" spans="6:6" x14ac:dyDescent="0.25">
      <c r="F69" t="e" cm="1" vm="1">
        <f t="array" ref="F69">TRANSPOSE(_xlfn._xlws.FILTER(_xlfn.ANCHORARRAY($B$2),_xlfn.ANCHORARRAY($A$2)=$E69))</f>
        <v>#VALUE!</v>
      </c>
    </row>
    <row r="70" spans="6:6" x14ac:dyDescent="0.25">
      <c r="F70" t="e" cm="1" vm="1">
        <f t="array" ref="F70">TRANSPOSE(_xlfn._xlws.FILTER(_xlfn.ANCHORARRAY($B$2),_xlfn.ANCHORARRAY($A$2)=$E70))</f>
        <v>#VALUE!</v>
      </c>
    </row>
    <row r="71" spans="6:6" x14ac:dyDescent="0.25">
      <c r="F71" t="e" cm="1" vm="1">
        <f t="array" ref="F71">TRANSPOSE(_xlfn._xlws.FILTER(_xlfn.ANCHORARRAY($B$2),_xlfn.ANCHORARRAY($A$2)=$E71))</f>
        <v>#VALUE!</v>
      </c>
    </row>
    <row r="72" spans="6:6" x14ac:dyDescent="0.25">
      <c r="F72" t="e" cm="1" vm="1">
        <f t="array" ref="F72">TRANSPOSE(_xlfn._xlws.FILTER(_xlfn.ANCHORARRAY($B$2),_xlfn.ANCHORARRAY($A$2)=$E72))</f>
        <v>#VALUE!</v>
      </c>
    </row>
    <row r="73" spans="6:6" x14ac:dyDescent="0.25">
      <c r="F73" t="e" cm="1" vm="1">
        <f t="array" ref="F73">TRANSPOSE(_xlfn._xlws.FILTER(_xlfn.ANCHORARRAY($B$2),_xlfn.ANCHORARRAY($A$2)=$E73))</f>
        <v>#VALUE!</v>
      </c>
    </row>
    <row r="74" spans="6:6" x14ac:dyDescent="0.25">
      <c r="F74" t="e" cm="1" vm="1">
        <f t="array" ref="F74">TRANSPOSE(_xlfn._xlws.FILTER(_xlfn.ANCHORARRAY($B$2),_xlfn.ANCHORARRAY($A$2)=$E74))</f>
        <v>#VALUE!</v>
      </c>
    </row>
    <row r="75" spans="6:6" x14ac:dyDescent="0.25">
      <c r="F75" t="e" cm="1" vm="1">
        <f t="array" ref="F75">TRANSPOSE(_xlfn._xlws.FILTER(_xlfn.ANCHORARRAY($B$2),_xlfn.ANCHORARRAY($A$2)=$E75))</f>
        <v>#VALUE!</v>
      </c>
    </row>
    <row r="76" spans="6:6" x14ac:dyDescent="0.25">
      <c r="F76" t="e" cm="1" vm="1">
        <f t="array" ref="F76">TRANSPOSE(_xlfn._xlws.FILTER(_xlfn.ANCHORARRAY($B$2),_xlfn.ANCHORARRAY($A$2)=$E76))</f>
        <v>#VALUE!</v>
      </c>
    </row>
    <row r="77" spans="6:6" x14ac:dyDescent="0.25">
      <c r="F77" t="e" cm="1" vm="1">
        <f t="array" ref="F77">TRANSPOSE(_xlfn._xlws.FILTER(_xlfn.ANCHORARRAY($B$2),_xlfn.ANCHORARRAY($A$2)=$E77))</f>
        <v>#VALUE!</v>
      </c>
    </row>
    <row r="78" spans="6:6" x14ac:dyDescent="0.25">
      <c r="F78" t="e" cm="1" vm="1">
        <f t="array" ref="F78">TRANSPOSE(_xlfn._xlws.FILTER(_xlfn.ANCHORARRAY($B$2),_xlfn.ANCHORARRAY($A$2)=$E78))</f>
        <v>#VALUE!</v>
      </c>
    </row>
    <row r="79" spans="6:6" x14ac:dyDescent="0.25">
      <c r="F79" t="e" cm="1" vm="1">
        <f t="array" ref="F79">TRANSPOSE(_xlfn._xlws.FILTER(_xlfn.ANCHORARRAY($B$2),_xlfn.ANCHORARRAY($A$2)=$E79))</f>
        <v>#VALUE!</v>
      </c>
    </row>
    <row r="80" spans="6:6" x14ac:dyDescent="0.25">
      <c r="F80" t="e" cm="1" vm="1">
        <f t="array" ref="F80">TRANSPOSE(_xlfn._xlws.FILTER(_xlfn.ANCHORARRAY($B$2),_xlfn.ANCHORARRAY($A$2)=$E80))</f>
        <v>#VALUE!</v>
      </c>
    </row>
    <row r="81" spans="6:6" x14ac:dyDescent="0.25">
      <c r="F81" t="e" cm="1" vm="1">
        <f t="array" ref="F81">TRANSPOSE(_xlfn._xlws.FILTER(_xlfn.ANCHORARRAY($B$2),_xlfn.ANCHORARRAY($A$2)=$E81))</f>
        <v>#VALUE!</v>
      </c>
    </row>
    <row r="82" spans="6:6" x14ac:dyDescent="0.25">
      <c r="F82" t="e" cm="1" vm="1">
        <f t="array" ref="F82">TRANSPOSE(_xlfn._xlws.FILTER(_xlfn.ANCHORARRAY($B$2),_xlfn.ANCHORARRAY($A$2)=$E82))</f>
        <v>#VALUE!</v>
      </c>
    </row>
    <row r="83" spans="6:6" x14ac:dyDescent="0.25">
      <c r="F83" t="e" cm="1" vm="1">
        <f t="array" ref="F83">TRANSPOSE(_xlfn._xlws.FILTER(_xlfn.ANCHORARRAY($B$2),_xlfn.ANCHORARRAY($A$2)=$E83))</f>
        <v>#VALUE!</v>
      </c>
    </row>
    <row r="84" spans="6:6" x14ac:dyDescent="0.25">
      <c r="F84" t="e" cm="1" vm="1">
        <f t="array" ref="F84">TRANSPOSE(_xlfn._xlws.FILTER(_xlfn.ANCHORARRAY($B$2),_xlfn.ANCHORARRAY($A$2)=$E84))</f>
        <v>#VALUE!</v>
      </c>
    </row>
    <row r="85" spans="6:6" x14ac:dyDescent="0.25">
      <c r="F85" t="e" cm="1" vm="1">
        <f t="array" ref="F85">TRANSPOSE(_xlfn._xlws.FILTER(_xlfn.ANCHORARRAY($B$2),_xlfn.ANCHORARRAY($A$2)=$E85))</f>
        <v>#VALUE!</v>
      </c>
    </row>
    <row r="86" spans="6:6" x14ac:dyDescent="0.25">
      <c r="F86" t="e" cm="1" vm="1">
        <f t="array" ref="F86">TRANSPOSE(_xlfn._xlws.FILTER(_xlfn.ANCHORARRAY($B$2),_xlfn.ANCHORARRAY($A$2)=$E86))</f>
        <v>#VALUE!</v>
      </c>
    </row>
    <row r="87" spans="6:6" x14ac:dyDescent="0.25">
      <c r="F87" t="e" cm="1" vm="1">
        <f t="array" ref="F87">TRANSPOSE(_xlfn._xlws.FILTER(_xlfn.ANCHORARRAY($B$2),_xlfn.ANCHORARRAY($A$2)=$E87))</f>
        <v>#VALUE!</v>
      </c>
    </row>
    <row r="88" spans="6:6" x14ac:dyDescent="0.25">
      <c r="F88" t="e" cm="1" vm="1">
        <f t="array" ref="F88">TRANSPOSE(_xlfn._xlws.FILTER(_xlfn.ANCHORARRAY($B$2),_xlfn.ANCHORARRAY($A$2)=$E88))</f>
        <v>#VALUE!</v>
      </c>
    </row>
    <row r="89" spans="6:6" x14ac:dyDescent="0.25">
      <c r="F89" t="e" cm="1" vm="1">
        <f t="array" ref="F89">TRANSPOSE(_xlfn._xlws.FILTER(_xlfn.ANCHORARRAY($B$2),_xlfn.ANCHORARRAY($A$2)=$E89))</f>
        <v>#VALUE!</v>
      </c>
    </row>
    <row r="90" spans="6:6" x14ac:dyDescent="0.25">
      <c r="F90" t="e" cm="1" vm="1">
        <f t="array" ref="F90">TRANSPOSE(_xlfn._xlws.FILTER(_xlfn.ANCHORARRAY($B$2),_xlfn.ANCHORARRAY($A$2)=$E90))</f>
        <v>#VALUE!</v>
      </c>
    </row>
    <row r="91" spans="6:6" x14ac:dyDescent="0.25">
      <c r="F91" t="e" cm="1" vm="1">
        <f t="array" ref="F91">TRANSPOSE(_xlfn._xlws.FILTER(_xlfn.ANCHORARRAY($B$2),_xlfn.ANCHORARRAY($A$2)=$E91))</f>
        <v>#VALUE!</v>
      </c>
    </row>
    <row r="92" spans="6:6" x14ac:dyDescent="0.25">
      <c r="F92" t="e" cm="1" vm="1">
        <f t="array" ref="F92">TRANSPOSE(_xlfn._xlws.FILTER(_xlfn.ANCHORARRAY($B$2),_xlfn.ANCHORARRAY($A$2)=$E92))</f>
        <v>#VALUE!</v>
      </c>
    </row>
    <row r="93" spans="6:6" x14ac:dyDescent="0.25">
      <c r="F93" t="e" cm="1" vm="1">
        <f t="array" ref="F93">TRANSPOSE(_xlfn._xlws.FILTER(_xlfn.ANCHORARRAY($B$2),_xlfn.ANCHORARRAY($A$2)=$E93))</f>
        <v>#VALUE!</v>
      </c>
    </row>
    <row r="94" spans="6:6" x14ac:dyDescent="0.25">
      <c r="F94" t="e" cm="1" vm="1">
        <f t="array" ref="F94">TRANSPOSE(_xlfn._xlws.FILTER(_xlfn.ANCHORARRAY($B$2),_xlfn.ANCHORARRAY($A$2)=$E94))</f>
        <v>#VALUE!</v>
      </c>
    </row>
    <row r="95" spans="6:6" x14ac:dyDescent="0.25">
      <c r="F95" t="e" cm="1" vm="1">
        <f t="array" ref="F95">TRANSPOSE(_xlfn._xlws.FILTER(_xlfn.ANCHORARRAY($B$2),_xlfn.ANCHORARRAY($A$2)=$E95))</f>
        <v>#VALUE!</v>
      </c>
    </row>
    <row r="96" spans="6:6" x14ac:dyDescent="0.25">
      <c r="F96" t="e" cm="1" vm="1">
        <f t="array" ref="F96">TRANSPOSE(_xlfn._xlws.FILTER(_xlfn.ANCHORARRAY($B$2),_xlfn.ANCHORARRAY($A$2)=$E96))</f>
        <v>#VALUE!</v>
      </c>
    </row>
    <row r="97" spans="6:6" x14ac:dyDescent="0.25">
      <c r="F97" t="e" cm="1" vm="1">
        <f t="array" ref="F97">TRANSPOSE(_xlfn._xlws.FILTER(_xlfn.ANCHORARRAY($B$2),_xlfn.ANCHORARRAY($A$2)=$E97))</f>
        <v>#VALUE!</v>
      </c>
    </row>
    <row r="98" spans="6:6" x14ac:dyDescent="0.25">
      <c r="F98" t="e" cm="1" vm="1">
        <f t="array" ref="F98">TRANSPOSE(_xlfn._xlws.FILTER(_xlfn.ANCHORARRAY($B$2),_xlfn.ANCHORARRAY($A$2)=$E98))</f>
        <v>#VALUE!</v>
      </c>
    </row>
    <row r="99" spans="6:6" x14ac:dyDescent="0.25">
      <c r="F99" t="e" cm="1" vm="1">
        <f t="array" ref="F99">TRANSPOSE(_xlfn._xlws.FILTER(_xlfn.ANCHORARRAY($B$2),_xlfn.ANCHORARRAY($A$2)=$E99))</f>
        <v>#VALUE!</v>
      </c>
    </row>
    <row r="100" spans="6:6" x14ac:dyDescent="0.25">
      <c r="F100" t="e" cm="1" vm="1">
        <f t="array" ref="F100">TRANSPOSE(_xlfn._xlws.FILTER(_xlfn.ANCHORARRAY($B$2),_xlfn.ANCHORARRAY($A$2)=$E100))</f>
        <v>#VALUE!</v>
      </c>
    </row>
    <row r="101" spans="6:6" x14ac:dyDescent="0.25">
      <c r="F101" t="e" cm="1" vm="1">
        <f t="array" ref="F101">TRANSPOSE(_xlfn._xlws.FILTER(_xlfn.ANCHORARRAY($B$2),_xlfn.ANCHORARRAY($A$2)=$E101))</f>
        <v>#VALUE!</v>
      </c>
    </row>
    <row r="102" spans="6:6" x14ac:dyDescent="0.25">
      <c r="F102" t="e" cm="1" vm="1">
        <f t="array" ref="F102">TRANSPOSE(_xlfn._xlws.FILTER(_xlfn.ANCHORARRAY($B$2),_xlfn.ANCHORARRAY($A$2)=$E102))</f>
        <v>#VALUE!</v>
      </c>
    </row>
    <row r="103" spans="6:6" x14ac:dyDescent="0.25">
      <c r="F103" t="e" cm="1" vm="1">
        <f t="array" ref="F103">TRANSPOSE(_xlfn._xlws.FILTER(_xlfn.ANCHORARRAY($B$2),_xlfn.ANCHORARRAY($A$2)=$E103))</f>
        <v>#VALUE!</v>
      </c>
    </row>
    <row r="104" spans="6:6" x14ac:dyDescent="0.25">
      <c r="F104" t="e" cm="1" vm="1">
        <f t="array" ref="F104">TRANSPOSE(_xlfn._xlws.FILTER(_xlfn.ANCHORARRAY($B$2),_xlfn.ANCHORARRAY($A$2)=$E104))</f>
        <v>#VALUE!</v>
      </c>
    </row>
    <row r="105" spans="6:6" x14ac:dyDescent="0.25">
      <c r="F105" t="e" cm="1" vm="1">
        <f t="array" ref="F105">TRANSPOSE(_xlfn._xlws.FILTER(_xlfn.ANCHORARRAY($B$2),_xlfn.ANCHORARRAY($A$2)=$E105))</f>
        <v>#VALUE!</v>
      </c>
    </row>
    <row r="106" spans="6:6" x14ac:dyDescent="0.25">
      <c r="F106" t="e" cm="1" vm="1">
        <f t="array" ref="F106">TRANSPOSE(_xlfn._xlws.FILTER(_xlfn.ANCHORARRAY($B$2),_xlfn.ANCHORARRAY($A$2)=$E106))</f>
        <v>#VALUE!</v>
      </c>
    </row>
    <row r="107" spans="6:6" x14ac:dyDescent="0.25">
      <c r="F107" t="e" cm="1" vm="1">
        <f t="array" ref="F107">TRANSPOSE(_xlfn._xlws.FILTER(_xlfn.ANCHORARRAY($B$2),_xlfn.ANCHORARRAY($A$2)=$E107))</f>
        <v>#VALUE!</v>
      </c>
    </row>
    <row r="108" spans="6:6" x14ac:dyDescent="0.25">
      <c r="F108" t="e" cm="1" vm="1">
        <f t="array" ref="F108">TRANSPOSE(_xlfn._xlws.FILTER(_xlfn.ANCHORARRAY($B$2),_xlfn.ANCHORARRAY($A$2)=$E108))</f>
        <v>#VALUE!</v>
      </c>
    </row>
    <row r="109" spans="6:6" x14ac:dyDescent="0.25">
      <c r="F109" t="e" cm="1" vm="1">
        <f t="array" ref="F109">TRANSPOSE(_xlfn._xlws.FILTER(_xlfn.ANCHORARRAY($B$2),_xlfn.ANCHORARRAY($A$2)=$E109))</f>
        <v>#VALUE!</v>
      </c>
    </row>
    <row r="110" spans="6:6" x14ac:dyDescent="0.25">
      <c r="F110" t="e" cm="1" vm="1">
        <f t="array" ref="F110">TRANSPOSE(_xlfn._xlws.FILTER(_xlfn.ANCHORARRAY($B$2),_xlfn.ANCHORARRAY($A$2)=$E110))</f>
        <v>#VALUE!</v>
      </c>
    </row>
    <row r="111" spans="6:6" x14ac:dyDescent="0.25">
      <c r="F111" t="e" cm="1" vm="1">
        <f t="array" ref="F111">TRANSPOSE(_xlfn._xlws.FILTER(_xlfn.ANCHORARRAY($B$2),_xlfn.ANCHORARRAY($A$2)=$E111))</f>
        <v>#VALUE!</v>
      </c>
    </row>
    <row r="112" spans="6:6" x14ac:dyDescent="0.25">
      <c r="F112" t="e" cm="1" vm="1">
        <f t="array" ref="F112">TRANSPOSE(_xlfn._xlws.FILTER(_xlfn.ANCHORARRAY($B$2),_xlfn.ANCHORARRAY($A$2)=$E112))</f>
        <v>#VALUE!</v>
      </c>
    </row>
    <row r="113" spans="6:6" x14ac:dyDescent="0.25">
      <c r="F113" t="e" cm="1" vm="1">
        <f t="array" ref="F113">TRANSPOSE(_xlfn._xlws.FILTER(_xlfn.ANCHORARRAY($B$2),_xlfn.ANCHORARRAY($A$2)=$E113))</f>
        <v>#VALUE!</v>
      </c>
    </row>
    <row r="114" spans="6:6" x14ac:dyDescent="0.25">
      <c r="F114" t="e" cm="1" vm="1">
        <f t="array" ref="F114">TRANSPOSE(_xlfn._xlws.FILTER(_xlfn.ANCHORARRAY($B$2),_xlfn.ANCHORARRAY($A$2)=$E114))</f>
        <v>#VALUE!</v>
      </c>
    </row>
    <row r="115" spans="6:6" x14ac:dyDescent="0.25">
      <c r="F115" t="e" cm="1" vm="1">
        <f t="array" ref="F115">TRANSPOSE(_xlfn._xlws.FILTER(_xlfn.ANCHORARRAY($B$2),_xlfn.ANCHORARRAY($A$2)=$E115))</f>
        <v>#VALUE!</v>
      </c>
    </row>
    <row r="116" spans="6:6" x14ac:dyDescent="0.25">
      <c r="F116" t="e" cm="1" vm="1">
        <f t="array" ref="F116">TRANSPOSE(_xlfn._xlws.FILTER(_xlfn.ANCHORARRAY($B$2),_xlfn.ANCHORARRAY($A$2)=$E116))</f>
        <v>#VALUE!</v>
      </c>
    </row>
    <row r="117" spans="6:6" x14ac:dyDescent="0.25">
      <c r="F117" t="e" cm="1" vm="1">
        <f t="array" ref="F117">TRANSPOSE(_xlfn._xlws.FILTER(_xlfn.ANCHORARRAY($B$2),_xlfn.ANCHORARRAY($A$2)=$E117))</f>
        <v>#VALUE!</v>
      </c>
    </row>
    <row r="118" spans="6:6" x14ac:dyDescent="0.25">
      <c r="F118" t="e" cm="1" vm="1">
        <f t="array" ref="F118">TRANSPOSE(_xlfn._xlws.FILTER(_xlfn.ANCHORARRAY($B$2),_xlfn.ANCHORARRAY($A$2)=$E118))</f>
        <v>#VALUE!</v>
      </c>
    </row>
    <row r="119" spans="6:6" x14ac:dyDescent="0.25">
      <c r="F119" t="e" cm="1" vm="1">
        <f t="array" ref="F119">TRANSPOSE(_xlfn._xlws.FILTER(_xlfn.ANCHORARRAY($B$2),_xlfn.ANCHORARRAY($A$2)=$E119))</f>
        <v>#VALUE!</v>
      </c>
    </row>
    <row r="120" spans="6:6" x14ac:dyDescent="0.25">
      <c r="F120" t="e" cm="1" vm="1">
        <f t="array" ref="F120">TRANSPOSE(_xlfn._xlws.FILTER(_xlfn.ANCHORARRAY($B$2),_xlfn.ANCHORARRAY($A$2)=$E120))</f>
        <v>#VALUE!</v>
      </c>
    </row>
    <row r="121" spans="6:6" x14ac:dyDescent="0.25">
      <c r="F121" t="e" cm="1" vm="1">
        <f t="array" ref="F121">TRANSPOSE(_xlfn._xlws.FILTER(_xlfn.ANCHORARRAY($B$2),_xlfn.ANCHORARRAY($A$2)=$E121))</f>
        <v>#VALUE!</v>
      </c>
    </row>
    <row r="122" spans="6:6" x14ac:dyDescent="0.25">
      <c r="F122" t="e" cm="1" vm="1">
        <f t="array" ref="F122">TRANSPOSE(_xlfn._xlws.FILTER(_xlfn.ANCHORARRAY($B$2),_xlfn.ANCHORARRAY($A$2)=$E122))</f>
        <v>#VALUE!</v>
      </c>
    </row>
    <row r="123" spans="6:6" x14ac:dyDescent="0.25">
      <c r="F123" t="e" cm="1" vm="1">
        <f t="array" ref="F123">TRANSPOSE(_xlfn._xlws.FILTER(_xlfn.ANCHORARRAY($B$2),_xlfn.ANCHORARRAY($A$2)=$E123))</f>
        <v>#VALUE!</v>
      </c>
    </row>
    <row r="124" spans="6:6" x14ac:dyDescent="0.25">
      <c r="F124" t="e" cm="1" vm="1">
        <f t="array" ref="F124">TRANSPOSE(_xlfn._xlws.FILTER(_xlfn.ANCHORARRAY($B$2),_xlfn.ANCHORARRAY($A$2)=$E124))</f>
        <v>#VALUE!</v>
      </c>
    </row>
    <row r="125" spans="6:6" x14ac:dyDescent="0.25">
      <c r="F125" t="e" cm="1" vm="1">
        <f t="array" ref="F125">TRANSPOSE(_xlfn._xlws.FILTER(_xlfn.ANCHORARRAY($B$2),_xlfn.ANCHORARRAY($A$2)=$E125))</f>
        <v>#VALUE!</v>
      </c>
    </row>
    <row r="126" spans="6:6" x14ac:dyDescent="0.25">
      <c r="F126" t="e" cm="1" vm="1">
        <f t="array" ref="F126">TRANSPOSE(_xlfn._xlws.FILTER(_xlfn.ANCHORARRAY($B$2),_xlfn.ANCHORARRAY($A$2)=$E126))</f>
        <v>#VALUE!</v>
      </c>
    </row>
    <row r="127" spans="6:6" x14ac:dyDescent="0.25">
      <c r="F127" t="e" cm="1" vm="1">
        <f t="array" ref="F127">TRANSPOSE(_xlfn._xlws.FILTER(_xlfn.ANCHORARRAY($B$2),_xlfn.ANCHORARRAY($A$2)=$E127))</f>
        <v>#VALUE!</v>
      </c>
    </row>
    <row r="128" spans="6:6" x14ac:dyDescent="0.25">
      <c r="F128" t="e" cm="1" vm="1">
        <f t="array" ref="F128">TRANSPOSE(_xlfn._xlws.FILTER(_xlfn.ANCHORARRAY($B$2),_xlfn.ANCHORARRAY($A$2)=$E128))</f>
        <v>#VALUE!</v>
      </c>
    </row>
    <row r="129" spans="6:6" x14ac:dyDescent="0.25">
      <c r="F129" t="e" cm="1" vm="1">
        <f t="array" ref="F129">TRANSPOSE(_xlfn._xlws.FILTER(_xlfn.ANCHORARRAY($B$2),_xlfn.ANCHORARRAY($A$2)=$E129))</f>
        <v>#VALUE!</v>
      </c>
    </row>
    <row r="130" spans="6:6" x14ac:dyDescent="0.25">
      <c r="F130" t="e" cm="1" vm="1">
        <f t="array" ref="F130">TRANSPOSE(_xlfn._xlws.FILTER(_xlfn.ANCHORARRAY($B$2),_xlfn.ANCHORARRAY($A$2)=$E130))</f>
        <v>#VALUE!</v>
      </c>
    </row>
    <row r="131" spans="6:6" x14ac:dyDescent="0.25">
      <c r="F131" t="e" cm="1" vm="1">
        <f t="array" ref="F131">TRANSPOSE(_xlfn._xlws.FILTER(_xlfn.ANCHORARRAY($B$2),_xlfn.ANCHORARRAY($A$2)=$E131))</f>
        <v>#VALUE!</v>
      </c>
    </row>
    <row r="132" spans="6:6" x14ac:dyDescent="0.25">
      <c r="F132" t="e" cm="1" vm="1">
        <f t="array" ref="F132">TRANSPOSE(_xlfn._xlws.FILTER(_xlfn.ANCHORARRAY($B$2),_xlfn.ANCHORARRAY($A$2)=$E132))</f>
        <v>#VALUE!</v>
      </c>
    </row>
    <row r="133" spans="6:6" x14ac:dyDescent="0.25">
      <c r="F133" t="e" cm="1" vm="1">
        <f t="array" ref="F133">TRANSPOSE(_xlfn._xlws.FILTER(_xlfn.ANCHORARRAY($B$2),_xlfn.ANCHORARRAY($A$2)=$E133))</f>
        <v>#VALUE!</v>
      </c>
    </row>
    <row r="134" spans="6:6" x14ac:dyDescent="0.25">
      <c r="F134" t="e" cm="1" vm="1">
        <f t="array" ref="F134">TRANSPOSE(_xlfn._xlws.FILTER(_xlfn.ANCHORARRAY($B$2),_xlfn.ANCHORARRAY($A$2)=$E134))</f>
        <v>#VALUE!</v>
      </c>
    </row>
    <row r="135" spans="6:6" x14ac:dyDescent="0.25">
      <c r="F135" t="e" cm="1" vm="1">
        <f t="array" ref="F135">TRANSPOSE(_xlfn._xlws.FILTER(_xlfn.ANCHORARRAY($B$2),_xlfn.ANCHORARRAY($A$2)=$E135))</f>
        <v>#VALUE!</v>
      </c>
    </row>
    <row r="136" spans="6:6" x14ac:dyDescent="0.25">
      <c r="F136" t="e" cm="1" vm="1">
        <f t="array" ref="F136">TRANSPOSE(_xlfn._xlws.FILTER(_xlfn.ANCHORARRAY($B$2),_xlfn.ANCHORARRAY($A$2)=$E136))</f>
        <v>#VALUE!</v>
      </c>
    </row>
    <row r="137" spans="6:6" x14ac:dyDescent="0.25">
      <c r="F137" t="e" cm="1" vm="1">
        <f t="array" ref="F137">TRANSPOSE(_xlfn._xlws.FILTER(_xlfn.ANCHORARRAY($B$2),_xlfn.ANCHORARRAY($A$2)=$E137))</f>
        <v>#VALUE!</v>
      </c>
    </row>
    <row r="138" spans="6:6" x14ac:dyDescent="0.25">
      <c r="F138" t="e" cm="1" vm="1">
        <f t="array" ref="F138">TRANSPOSE(_xlfn._xlws.FILTER(_xlfn.ANCHORARRAY($B$2),_xlfn.ANCHORARRAY($A$2)=$E138))</f>
        <v>#VALUE!</v>
      </c>
    </row>
    <row r="139" spans="6:6" x14ac:dyDescent="0.25">
      <c r="F139" t="e" cm="1" vm="1">
        <f t="array" ref="F139">TRANSPOSE(_xlfn._xlws.FILTER(_xlfn.ANCHORARRAY($B$2),_xlfn.ANCHORARRAY($A$2)=$E139))</f>
        <v>#VALUE!</v>
      </c>
    </row>
    <row r="140" spans="6:6" x14ac:dyDescent="0.25">
      <c r="F140" t="e" cm="1" vm="1">
        <f t="array" ref="F140">TRANSPOSE(_xlfn._xlws.FILTER(_xlfn.ANCHORARRAY($B$2),_xlfn.ANCHORARRAY($A$2)=$E140))</f>
        <v>#VALUE!</v>
      </c>
    </row>
    <row r="141" spans="6:6" x14ac:dyDescent="0.25">
      <c r="F141" t="e" cm="1" vm="1">
        <f t="array" ref="F141">TRANSPOSE(_xlfn._xlws.FILTER(_xlfn.ANCHORARRAY($B$2),_xlfn.ANCHORARRAY($A$2)=$E141))</f>
        <v>#VALUE!</v>
      </c>
    </row>
    <row r="142" spans="6:6" x14ac:dyDescent="0.25">
      <c r="F142" t="e" cm="1" vm="1">
        <f t="array" ref="F142">TRANSPOSE(_xlfn._xlws.FILTER(_xlfn.ANCHORARRAY($B$2),_xlfn.ANCHORARRAY($A$2)=$E142))</f>
        <v>#VALUE!</v>
      </c>
    </row>
    <row r="143" spans="6:6" x14ac:dyDescent="0.25">
      <c r="F143" t="e" cm="1" vm="1">
        <f t="array" ref="F143">TRANSPOSE(_xlfn._xlws.FILTER(_xlfn.ANCHORARRAY($B$2),_xlfn.ANCHORARRAY($A$2)=$E143))</f>
        <v>#VALUE!</v>
      </c>
    </row>
    <row r="144" spans="6:6" x14ac:dyDescent="0.25">
      <c r="F144" t="e" cm="1" vm="1">
        <f t="array" ref="F144">TRANSPOSE(_xlfn._xlws.FILTER(_xlfn.ANCHORARRAY($B$2),_xlfn.ANCHORARRAY($A$2)=$E144))</f>
        <v>#VALUE!</v>
      </c>
    </row>
    <row r="145" spans="6:6" x14ac:dyDescent="0.25">
      <c r="F145" t="e" cm="1" vm="1">
        <f t="array" ref="F145">TRANSPOSE(_xlfn._xlws.FILTER(_xlfn.ANCHORARRAY($B$2),_xlfn.ANCHORARRAY($A$2)=$E145))</f>
        <v>#VALUE!</v>
      </c>
    </row>
    <row r="146" spans="6:6" x14ac:dyDescent="0.25">
      <c r="F146" t="e" cm="1" vm="1">
        <f t="array" ref="F146">TRANSPOSE(_xlfn._xlws.FILTER(_xlfn.ANCHORARRAY($B$2),_xlfn.ANCHORARRAY($A$2)=$E146))</f>
        <v>#VALUE!</v>
      </c>
    </row>
    <row r="147" spans="6:6" x14ac:dyDescent="0.25">
      <c r="F147" t="e" cm="1" vm="1">
        <f t="array" ref="F147">TRANSPOSE(_xlfn._xlws.FILTER(_xlfn.ANCHORARRAY($B$2),_xlfn.ANCHORARRAY($A$2)=$E147))</f>
        <v>#VALUE!</v>
      </c>
    </row>
    <row r="148" spans="6:6" x14ac:dyDescent="0.25">
      <c r="F148" t="e" cm="1" vm="1">
        <f t="array" ref="F148">TRANSPOSE(_xlfn._xlws.FILTER(_xlfn.ANCHORARRAY($B$2),_xlfn.ANCHORARRAY($A$2)=$E148))</f>
        <v>#VALUE!</v>
      </c>
    </row>
    <row r="149" spans="6:6" x14ac:dyDescent="0.25">
      <c r="F149" t="e" cm="1" vm="1">
        <f t="array" ref="F149">TRANSPOSE(_xlfn._xlws.FILTER(_xlfn.ANCHORARRAY($B$2),_xlfn.ANCHORARRAY($A$2)=$E149))</f>
        <v>#VALUE!</v>
      </c>
    </row>
    <row r="150" spans="6:6" x14ac:dyDescent="0.25">
      <c r="F150" t="e" cm="1" vm="1">
        <f t="array" ref="F150">TRANSPOSE(_xlfn._xlws.FILTER(_xlfn.ANCHORARRAY($B$2),_xlfn.ANCHORARRAY($A$2)=$E150))</f>
        <v>#VALUE!</v>
      </c>
    </row>
    <row r="151" spans="6:6" x14ac:dyDescent="0.25">
      <c r="F151" t="e" cm="1" vm="1">
        <f t="array" ref="F151">TRANSPOSE(_xlfn._xlws.FILTER(_xlfn.ANCHORARRAY($B$2),_xlfn.ANCHORARRAY($A$2)=$E151))</f>
        <v>#VALUE!</v>
      </c>
    </row>
    <row r="152" spans="6:6" x14ac:dyDescent="0.25">
      <c r="F152" t="e" cm="1" vm="1">
        <f t="array" ref="F152">TRANSPOSE(_xlfn._xlws.FILTER(_xlfn.ANCHORARRAY($B$2),_xlfn.ANCHORARRAY($A$2)=$E152))</f>
        <v>#VALUE!</v>
      </c>
    </row>
    <row r="153" spans="6:6" x14ac:dyDescent="0.25">
      <c r="F153" t="e" cm="1" vm="1">
        <f t="array" ref="F153">TRANSPOSE(_xlfn._xlws.FILTER(_xlfn.ANCHORARRAY($B$2),_xlfn.ANCHORARRAY($A$2)=$E153))</f>
        <v>#VALUE!</v>
      </c>
    </row>
    <row r="154" spans="6:6" x14ac:dyDescent="0.25">
      <c r="F154" t="e" cm="1" vm="1">
        <f t="array" ref="F154">TRANSPOSE(_xlfn._xlws.FILTER(_xlfn.ANCHORARRAY($B$2),_xlfn.ANCHORARRAY($A$2)=$E154))</f>
        <v>#VALUE!</v>
      </c>
    </row>
    <row r="155" spans="6:6" x14ac:dyDescent="0.25">
      <c r="F155" t="e" cm="1" vm="1">
        <f t="array" ref="F155">TRANSPOSE(_xlfn._xlws.FILTER(_xlfn.ANCHORARRAY($B$2),_xlfn.ANCHORARRAY($A$2)=$E155))</f>
        <v>#VALUE!</v>
      </c>
    </row>
    <row r="156" spans="6:6" x14ac:dyDescent="0.25">
      <c r="F156" t="e" cm="1" vm="1">
        <f t="array" ref="F156">TRANSPOSE(_xlfn._xlws.FILTER(_xlfn.ANCHORARRAY($B$2),_xlfn.ANCHORARRAY($A$2)=$E156))</f>
        <v>#VALUE!</v>
      </c>
    </row>
    <row r="157" spans="6:6" x14ac:dyDescent="0.25">
      <c r="F157" t="e" cm="1" vm="1">
        <f t="array" ref="F157">TRANSPOSE(_xlfn._xlws.FILTER(_xlfn.ANCHORARRAY($B$2),_xlfn.ANCHORARRAY($A$2)=$E157))</f>
        <v>#VALUE!</v>
      </c>
    </row>
    <row r="158" spans="6:6" x14ac:dyDescent="0.25">
      <c r="F158" t="e" cm="1" vm="1">
        <f t="array" ref="F158">TRANSPOSE(_xlfn._xlws.FILTER(_xlfn.ANCHORARRAY($B$2),_xlfn.ANCHORARRAY($A$2)=$E158))</f>
        <v>#VALUE!</v>
      </c>
    </row>
    <row r="159" spans="6:6" x14ac:dyDescent="0.25">
      <c r="F159" t="e" cm="1" vm="1">
        <f t="array" ref="F159">TRANSPOSE(_xlfn._xlws.FILTER(_xlfn.ANCHORARRAY($B$2),_xlfn.ANCHORARRAY($A$2)=$E159))</f>
        <v>#VALUE!</v>
      </c>
    </row>
    <row r="160" spans="6:6" x14ac:dyDescent="0.25">
      <c r="F160" t="e" cm="1" vm="1">
        <f t="array" ref="F160">TRANSPOSE(_xlfn._xlws.FILTER(_xlfn.ANCHORARRAY($B$2),_xlfn.ANCHORARRAY($A$2)=$E160))</f>
        <v>#VALUE!</v>
      </c>
    </row>
    <row r="161" spans="6:6" x14ac:dyDescent="0.25">
      <c r="F161" t="e" cm="1" vm="1">
        <f t="array" ref="F161">TRANSPOSE(_xlfn._xlws.FILTER(_xlfn.ANCHORARRAY($B$2),_xlfn.ANCHORARRAY($A$2)=$E161))</f>
        <v>#VALUE!</v>
      </c>
    </row>
    <row r="162" spans="6:6" x14ac:dyDescent="0.25">
      <c r="F162" t="e" cm="1" vm="1">
        <f t="array" ref="F162">TRANSPOSE(_xlfn._xlws.FILTER(_xlfn.ANCHORARRAY($B$2),_xlfn.ANCHORARRAY($A$2)=$E162))</f>
        <v>#VALUE!</v>
      </c>
    </row>
    <row r="163" spans="6:6" x14ac:dyDescent="0.25">
      <c r="F163" t="e" cm="1" vm="1">
        <f t="array" ref="F163">TRANSPOSE(_xlfn._xlws.FILTER(_xlfn.ANCHORARRAY($B$2),_xlfn.ANCHORARRAY($A$2)=$E163))</f>
        <v>#VALUE!</v>
      </c>
    </row>
    <row r="164" spans="6:6" x14ac:dyDescent="0.25">
      <c r="F164" t="e" cm="1" vm="1">
        <f t="array" ref="F164">TRANSPOSE(_xlfn._xlws.FILTER(_xlfn.ANCHORARRAY($B$2),_xlfn.ANCHORARRAY($A$2)=$E164))</f>
        <v>#VALUE!</v>
      </c>
    </row>
    <row r="165" spans="6:6" x14ac:dyDescent="0.25">
      <c r="F165" t="e" cm="1" vm="1">
        <f t="array" ref="F165">TRANSPOSE(_xlfn._xlws.FILTER(_xlfn.ANCHORARRAY($B$2),_xlfn.ANCHORARRAY($A$2)=$E165))</f>
        <v>#VALUE!</v>
      </c>
    </row>
    <row r="166" spans="6:6" x14ac:dyDescent="0.25">
      <c r="F166" t="e" cm="1" vm="1">
        <f t="array" ref="F166">TRANSPOSE(_xlfn._xlws.FILTER(_xlfn.ANCHORARRAY($B$2),_xlfn.ANCHORARRAY($A$2)=$E166))</f>
        <v>#VALUE!</v>
      </c>
    </row>
    <row r="167" spans="6:6" x14ac:dyDescent="0.25">
      <c r="F167" t="e" cm="1" vm="1">
        <f t="array" ref="F167">TRANSPOSE(_xlfn._xlws.FILTER(_xlfn.ANCHORARRAY($B$2),_xlfn.ANCHORARRAY($A$2)=$E167))</f>
        <v>#VALUE!</v>
      </c>
    </row>
    <row r="168" spans="6:6" x14ac:dyDescent="0.25">
      <c r="F168" t="e" cm="1" vm="1">
        <f t="array" ref="F168">TRANSPOSE(_xlfn._xlws.FILTER(_xlfn.ANCHORARRAY($B$2),_xlfn.ANCHORARRAY($A$2)=$E168))</f>
        <v>#VALUE!</v>
      </c>
    </row>
    <row r="169" spans="6:6" x14ac:dyDescent="0.25">
      <c r="F169" t="e" cm="1" vm="1">
        <f t="array" ref="F169">TRANSPOSE(_xlfn._xlws.FILTER(_xlfn.ANCHORARRAY($B$2),_xlfn.ANCHORARRAY($A$2)=$E169))</f>
        <v>#VALUE!</v>
      </c>
    </row>
    <row r="170" spans="6:6" x14ac:dyDescent="0.25">
      <c r="F170" t="e" cm="1" vm="1">
        <f t="array" ref="F170">TRANSPOSE(_xlfn._xlws.FILTER(_xlfn.ANCHORARRAY($B$2),_xlfn.ANCHORARRAY($A$2)=$E170))</f>
        <v>#VALUE!</v>
      </c>
    </row>
    <row r="171" spans="6:6" x14ac:dyDescent="0.25">
      <c r="F171" t="e" cm="1" vm="1">
        <f t="array" ref="F171">TRANSPOSE(_xlfn._xlws.FILTER(_xlfn.ANCHORARRAY($B$2),_xlfn.ANCHORARRAY($A$2)=$E171))</f>
        <v>#VALUE!</v>
      </c>
    </row>
    <row r="172" spans="6:6" x14ac:dyDescent="0.25">
      <c r="F172" t="e" cm="1" vm="1">
        <f t="array" ref="F172">TRANSPOSE(_xlfn._xlws.FILTER(_xlfn.ANCHORARRAY($B$2),_xlfn.ANCHORARRAY($A$2)=$E172))</f>
        <v>#VALUE!</v>
      </c>
    </row>
    <row r="173" spans="6:6" x14ac:dyDescent="0.25">
      <c r="F173" t="e" cm="1" vm="1">
        <f t="array" ref="F173">TRANSPOSE(_xlfn._xlws.FILTER(_xlfn.ANCHORARRAY($B$2),_xlfn.ANCHORARRAY($A$2)=$E173))</f>
        <v>#VALUE!</v>
      </c>
    </row>
    <row r="174" spans="6:6" x14ac:dyDescent="0.25">
      <c r="F174" t="e" cm="1" vm="1">
        <f t="array" ref="F174">TRANSPOSE(_xlfn._xlws.FILTER(_xlfn.ANCHORARRAY($B$2),_xlfn.ANCHORARRAY($A$2)=$E174))</f>
        <v>#VALUE!</v>
      </c>
    </row>
    <row r="175" spans="6:6" x14ac:dyDescent="0.25">
      <c r="F175" t="e" cm="1" vm="1">
        <f t="array" ref="F175">TRANSPOSE(_xlfn._xlws.FILTER(_xlfn.ANCHORARRAY($B$2),_xlfn.ANCHORARRAY($A$2)=$E175))</f>
        <v>#VALUE!</v>
      </c>
    </row>
    <row r="176" spans="6:6" x14ac:dyDescent="0.25">
      <c r="F176" t="e" cm="1" vm="1">
        <f t="array" ref="F176">TRANSPOSE(_xlfn._xlws.FILTER(_xlfn.ANCHORARRAY($B$2),_xlfn.ANCHORARRAY($A$2)=$E176))</f>
        <v>#VALUE!</v>
      </c>
    </row>
    <row r="177" spans="6:6" x14ac:dyDescent="0.25">
      <c r="F177" t="e" cm="1" vm="1">
        <f t="array" ref="F177">TRANSPOSE(_xlfn._xlws.FILTER(_xlfn.ANCHORARRAY($B$2),_xlfn.ANCHORARRAY($A$2)=$E177))</f>
        <v>#VALUE!</v>
      </c>
    </row>
    <row r="178" spans="6:6" x14ac:dyDescent="0.25">
      <c r="F178" t="e" cm="1" vm="1">
        <f t="array" ref="F178">TRANSPOSE(_xlfn._xlws.FILTER(_xlfn.ANCHORARRAY($B$2),_xlfn.ANCHORARRAY($A$2)=$E178))</f>
        <v>#VALUE!</v>
      </c>
    </row>
    <row r="179" spans="6:6" x14ac:dyDescent="0.25">
      <c r="F179" t="e" cm="1" vm="1">
        <f t="array" ref="F179">TRANSPOSE(_xlfn._xlws.FILTER(_xlfn.ANCHORARRAY($B$2),_xlfn.ANCHORARRAY($A$2)=$E179))</f>
        <v>#VALUE!</v>
      </c>
    </row>
    <row r="180" spans="6:6" x14ac:dyDescent="0.25">
      <c r="F180" t="e" cm="1" vm="1">
        <f t="array" ref="F180">TRANSPOSE(_xlfn._xlws.FILTER(_xlfn.ANCHORARRAY($B$2),_xlfn.ANCHORARRAY($A$2)=$E180))</f>
        <v>#VALUE!</v>
      </c>
    </row>
    <row r="181" spans="6:6" x14ac:dyDescent="0.25">
      <c r="F181" t="e" cm="1" vm="1">
        <f t="array" ref="F181">TRANSPOSE(_xlfn._xlws.FILTER(_xlfn.ANCHORARRAY($B$2),_xlfn.ANCHORARRAY($A$2)=$E181))</f>
        <v>#VALUE!</v>
      </c>
    </row>
    <row r="182" spans="6:6" x14ac:dyDescent="0.25">
      <c r="F182" t="e" cm="1" vm="1">
        <f t="array" ref="F182">TRANSPOSE(_xlfn._xlws.FILTER(_xlfn.ANCHORARRAY($B$2),_xlfn.ANCHORARRAY($A$2)=$E182))</f>
        <v>#VALUE!</v>
      </c>
    </row>
    <row r="183" spans="6:6" x14ac:dyDescent="0.25">
      <c r="F183" t="e" cm="1" vm="1">
        <f t="array" ref="F183">TRANSPOSE(_xlfn._xlws.FILTER(_xlfn.ANCHORARRAY($B$2),_xlfn.ANCHORARRAY($A$2)=$E183))</f>
        <v>#VALUE!</v>
      </c>
    </row>
    <row r="184" spans="6:6" x14ac:dyDescent="0.25">
      <c r="F184" t="e" cm="1" vm="1">
        <f t="array" ref="F184">TRANSPOSE(_xlfn._xlws.FILTER(_xlfn.ANCHORARRAY($B$2),_xlfn.ANCHORARRAY($A$2)=$E184))</f>
        <v>#VALUE!</v>
      </c>
    </row>
    <row r="185" spans="6:6" x14ac:dyDescent="0.25">
      <c r="F185" t="e" cm="1" vm="1">
        <f t="array" ref="F185">TRANSPOSE(_xlfn._xlws.FILTER(_xlfn.ANCHORARRAY($B$2),_xlfn.ANCHORARRAY($A$2)=$E185))</f>
        <v>#VALUE!</v>
      </c>
    </row>
    <row r="186" spans="6:6" x14ac:dyDescent="0.25">
      <c r="F186" t="e" cm="1" vm="1">
        <f t="array" ref="F186">TRANSPOSE(_xlfn._xlws.FILTER(_xlfn.ANCHORARRAY($B$2),_xlfn.ANCHORARRAY($A$2)=$E186))</f>
        <v>#VALUE!</v>
      </c>
    </row>
    <row r="187" spans="6:6" x14ac:dyDescent="0.25">
      <c r="F187" t="e" cm="1" vm="1">
        <f t="array" ref="F187">TRANSPOSE(_xlfn._xlws.FILTER(_xlfn.ANCHORARRAY($B$2),_xlfn.ANCHORARRAY($A$2)=$E187))</f>
        <v>#VALUE!</v>
      </c>
    </row>
    <row r="188" spans="6:6" x14ac:dyDescent="0.25">
      <c r="F188" t="e" cm="1" vm="1">
        <f t="array" ref="F188">TRANSPOSE(_xlfn._xlws.FILTER(_xlfn.ANCHORARRAY($B$2),_xlfn.ANCHORARRAY($A$2)=$E188))</f>
        <v>#VALUE!</v>
      </c>
    </row>
    <row r="189" spans="6:6" x14ac:dyDescent="0.25">
      <c r="F189" t="e" cm="1" vm="1">
        <f t="array" ref="F189">TRANSPOSE(_xlfn._xlws.FILTER(_xlfn.ANCHORARRAY($B$2),_xlfn.ANCHORARRAY($A$2)=$E189))</f>
        <v>#VALUE!</v>
      </c>
    </row>
    <row r="190" spans="6:6" x14ac:dyDescent="0.25">
      <c r="F190" t="e" cm="1" vm="1">
        <f t="array" ref="F190">TRANSPOSE(_xlfn._xlws.FILTER(_xlfn.ANCHORARRAY($B$2),_xlfn.ANCHORARRAY($A$2)=$E190))</f>
        <v>#VALUE!</v>
      </c>
    </row>
    <row r="191" spans="6:6" x14ac:dyDescent="0.25">
      <c r="F191" t="e" cm="1" vm="1">
        <f t="array" ref="F191">TRANSPOSE(_xlfn._xlws.FILTER(_xlfn.ANCHORARRAY($B$2),_xlfn.ANCHORARRAY($A$2)=$E191))</f>
        <v>#VALUE!</v>
      </c>
    </row>
    <row r="192" spans="6:6" x14ac:dyDescent="0.25">
      <c r="F192" t="e" cm="1" vm="1">
        <f t="array" ref="F192">TRANSPOSE(_xlfn._xlws.FILTER(_xlfn.ANCHORARRAY($B$2),_xlfn.ANCHORARRAY($A$2)=$E192))</f>
        <v>#VALUE!</v>
      </c>
    </row>
    <row r="193" spans="6:6" x14ac:dyDescent="0.25">
      <c r="F193" t="e" cm="1" vm="1">
        <f t="array" ref="F193">TRANSPOSE(_xlfn._xlws.FILTER(_xlfn.ANCHORARRAY($B$2),_xlfn.ANCHORARRAY($A$2)=$E193))</f>
        <v>#VALUE!</v>
      </c>
    </row>
    <row r="194" spans="6:6" x14ac:dyDescent="0.25">
      <c r="F194" t="e" cm="1" vm="1">
        <f t="array" ref="F194">TRANSPOSE(_xlfn._xlws.FILTER(_xlfn.ANCHORARRAY($B$2),_xlfn.ANCHORARRAY($A$2)=$E194))</f>
        <v>#VALUE!</v>
      </c>
    </row>
    <row r="195" spans="6:6" x14ac:dyDescent="0.25">
      <c r="F195" t="e" cm="1" vm="1">
        <f t="array" ref="F195">TRANSPOSE(_xlfn._xlws.FILTER(_xlfn.ANCHORARRAY($B$2),_xlfn.ANCHORARRAY($A$2)=$E195))</f>
        <v>#VALUE!</v>
      </c>
    </row>
    <row r="196" spans="6:6" x14ac:dyDescent="0.25">
      <c r="F196" t="e" cm="1" vm="1">
        <f t="array" ref="F196">TRANSPOSE(_xlfn._xlws.FILTER(_xlfn.ANCHORARRAY($B$2),_xlfn.ANCHORARRAY($A$2)=$E196))</f>
        <v>#VALUE!</v>
      </c>
    </row>
    <row r="197" spans="6:6" x14ac:dyDescent="0.25">
      <c r="F197" t="e" cm="1" vm="1">
        <f t="array" ref="F197">TRANSPOSE(_xlfn._xlws.FILTER(_xlfn.ANCHORARRAY($B$2),_xlfn.ANCHORARRAY($A$2)=$E197))</f>
        <v>#VALUE!</v>
      </c>
    </row>
    <row r="198" spans="6:6" x14ac:dyDescent="0.25">
      <c r="F198" t="e" cm="1" vm="1">
        <f t="array" ref="F198">TRANSPOSE(_xlfn._xlws.FILTER(_xlfn.ANCHORARRAY($B$2),_xlfn.ANCHORARRAY($A$2)=$E198))</f>
        <v>#VALUE!</v>
      </c>
    </row>
    <row r="199" spans="6:6" x14ac:dyDescent="0.25">
      <c r="F199" t="e" cm="1" vm="1">
        <f t="array" ref="F199">TRANSPOSE(_xlfn._xlws.FILTER(_xlfn.ANCHORARRAY($B$2),_xlfn.ANCHORARRAY($A$2)=$E199))</f>
        <v>#VALUE!</v>
      </c>
    </row>
    <row r="200" spans="6:6" x14ac:dyDescent="0.25">
      <c r="F200" t="e" cm="1" vm="1">
        <f t="array" ref="F200">TRANSPOSE(_xlfn._xlws.FILTER(_xlfn.ANCHORARRAY($B$2),_xlfn.ANCHORARRAY($A$2)=$E200))</f>
        <v>#VALUE!</v>
      </c>
    </row>
    <row r="201" spans="6:6" x14ac:dyDescent="0.25">
      <c r="F201" t="e" cm="1" vm="1">
        <f t="array" ref="F201">TRANSPOSE(_xlfn._xlws.FILTER(_xlfn.ANCHORARRAY($B$2),_xlfn.ANCHORARRAY($A$2)=$E201))</f>
        <v>#VALUE!</v>
      </c>
    </row>
    <row r="202" spans="6:6" x14ac:dyDescent="0.25">
      <c r="F202" t="e" cm="1" vm="1">
        <f t="array" ref="F202">TRANSPOSE(_xlfn._xlws.FILTER(_xlfn.ANCHORARRAY($B$2),_xlfn.ANCHORARRAY($A$2)=$E202))</f>
        <v>#VALUE!</v>
      </c>
    </row>
    <row r="203" spans="6:6" x14ac:dyDescent="0.25">
      <c r="F203" t="e" cm="1" vm="1">
        <f t="array" ref="F203">TRANSPOSE(_xlfn._xlws.FILTER(_xlfn.ANCHORARRAY($B$2),_xlfn.ANCHORARRAY($A$2)=$E203))</f>
        <v>#VALUE!</v>
      </c>
    </row>
    <row r="204" spans="6:6" x14ac:dyDescent="0.25">
      <c r="F204" t="e" cm="1" vm="1">
        <f t="array" ref="F204">TRANSPOSE(_xlfn._xlws.FILTER(_xlfn.ANCHORARRAY($B$2),_xlfn.ANCHORARRAY($A$2)=$E204))</f>
        <v>#VALUE!</v>
      </c>
    </row>
    <row r="205" spans="6:6" x14ac:dyDescent="0.25">
      <c r="F205" t="e" cm="1" vm="1">
        <f t="array" ref="F205">TRANSPOSE(_xlfn._xlws.FILTER(_xlfn.ANCHORARRAY($B$2),_xlfn.ANCHORARRAY($A$2)=$E205))</f>
        <v>#VALUE!</v>
      </c>
    </row>
    <row r="206" spans="6:6" x14ac:dyDescent="0.25">
      <c r="F206" t="e" cm="1" vm="1">
        <f t="array" ref="F206">TRANSPOSE(_xlfn._xlws.FILTER(_xlfn.ANCHORARRAY($B$2),_xlfn.ANCHORARRAY($A$2)=$E206))</f>
        <v>#VALUE!</v>
      </c>
    </row>
    <row r="207" spans="6:6" x14ac:dyDescent="0.25">
      <c r="F207" t="e" cm="1" vm="1">
        <f t="array" ref="F207">TRANSPOSE(_xlfn._xlws.FILTER(_xlfn.ANCHORARRAY($B$2),_xlfn.ANCHORARRAY($A$2)=$E207))</f>
        <v>#VALUE!</v>
      </c>
    </row>
    <row r="208" spans="6:6" x14ac:dyDescent="0.25">
      <c r="F208" t="e" cm="1" vm="1">
        <f t="array" ref="F208">TRANSPOSE(_xlfn._xlws.FILTER(_xlfn.ANCHORARRAY($B$2),_xlfn.ANCHORARRAY($A$2)=$E208))</f>
        <v>#VALUE!</v>
      </c>
    </row>
    <row r="209" spans="6:6" x14ac:dyDescent="0.25">
      <c r="F209" t="e" cm="1" vm="1">
        <f t="array" ref="F209">TRANSPOSE(_xlfn._xlws.FILTER(_xlfn.ANCHORARRAY($B$2),_xlfn.ANCHORARRAY($A$2)=$E209))</f>
        <v>#VALUE!</v>
      </c>
    </row>
    <row r="210" spans="6:6" x14ac:dyDescent="0.25">
      <c r="F210" t="e" cm="1" vm="1">
        <f t="array" ref="F210">TRANSPOSE(_xlfn._xlws.FILTER(_xlfn.ANCHORARRAY($B$2),_xlfn.ANCHORARRAY($A$2)=$E210))</f>
        <v>#VALUE!</v>
      </c>
    </row>
    <row r="211" spans="6:6" x14ac:dyDescent="0.25">
      <c r="F211" t="e" cm="1" vm="1">
        <f t="array" ref="F211">TRANSPOSE(_xlfn._xlws.FILTER(_xlfn.ANCHORARRAY($B$2),_xlfn.ANCHORARRAY($A$2)=$E211))</f>
        <v>#VALUE!</v>
      </c>
    </row>
    <row r="212" spans="6:6" x14ac:dyDescent="0.25">
      <c r="F212" t="e" cm="1" vm="1">
        <f t="array" ref="F212">TRANSPOSE(_xlfn._xlws.FILTER(_xlfn.ANCHORARRAY($B$2),_xlfn.ANCHORARRAY($A$2)=$E212))</f>
        <v>#VALUE!</v>
      </c>
    </row>
    <row r="213" spans="6:6" x14ac:dyDescent="0.25">
      <c r="F213" t="e" cm="1" vm="1">
        <f t="array" ref="F213">TRANSPOSE(_xlfn._xlws.FILTER(_xlfn.ANCHORARRAY($B$2),_xlfn.ANCHORARRAY($A$2)=$E213))</f>
        <v>#VALUE!</v>
      </c>
    </row>
    <row r="214" spans="6:6" x14ac:dyDescent="0.25">
      <c r="F214" t="e" cm="1" vm="1">
        <f t="array" ref="F214">TRANSPOSE(_xlfn._xlws.FILTER(_xlfn.ANCHORARRAY($B$2),_xlfn.ANCHORARRAY($A$2)=$E214))</f>
        <v>#VALUE!</v>
      </c>
    </row>
    <row r="215" spans="6:6" x14ac:dyDescent="0.25">
      <c r="F215" t="e" cm="1" vm="1">
        <f t="array" ref="F215">TRANSPOSE(_xlfn._xlws.FILTER(_xlfn.ANCHORARRAY($B$2),_xlfn.ANCHORARRAY($A$2)=$E215))</f>
        <v>#VALUE!</v>
      </c>
    </row>
    <row r="216" spans="6:6" x14ac:dyDescent="0.25">
      <c r="F216" t="e" cm="1" vm="1">
        <f t="array" ref="F216">TRANSPOSE(_xlfn._xlws.FILTER(_xlfn.ANCHORARRAY($B$2),_xlfn.ANCHORARRAY($A$2)=$E216))</f>
        <v>#VALUE!</v>
      </c>
    </row>
    <row r="217" spans="6:6" x14ac:dyDescent="0.25">
      <c r="F217" t="e" cm="1" vm="1">
        <f t="array" ref="F217">TRANSPOSE(_xlfn._xlws.FILTER(_xlfn.ANCHORARRAY($B$2),_xlfn.ANCHORARRAY($A$2)=$E217))</f>
        <v>#VALUE!</v>
      </c>
    </row>
    <row r="218" spans="6:6" x14ac:dyDescent="0.25">
      <c r="F218" t="e" cm="1" vm="1">
        <f t="array" ref="F218">TRANSPOSE(_xlfn._xlws.FILTER(_xlfn.ANCHORARRAY($B$2),_xlfn.ANCHORARRAY($A$2)=$E218))</f>
        <v>#VALUE!</v>
      </c>
    </row>
    <row r="219" spans="6:6" x14ac:dyDescent="0.25">
      <c r="F219" t="e" cm="1" vm="1">
        <f t="array" ref="F219">TRANSPOSE(_xlfn._xlws.FILTER(_xlfn.ANCHORARRAY($B$2),_xlfn.ANCHORARRAY($A$2)=$E219))</f>
        <v>#VALUE!</v>
      </c>
    </row>
    <row r="220" spans="6:6" x14ac:dyDescent="0.25">
      <c r="F220" t="e" cm="1" vm="1">
        <f t="array" ref="F220">TRANSPOSE(_xlfn._xlws.FILTER(_xlfn.ANCHORARRAY($B$2),_xlfn.ANCHORARRAY($A$2)=$E220))</f>
        <v>#VALUE!</v>
      </c>
    </row>
    <row r="221" spans="6:6" x14ac:dyDescent="0.25">
      <c r="F221" t="e" cm="1" vm="1">
        <f t="array" ref="F221">TRANSPOSE(_xlfn._xlws.FILTER(_xlfn.ANCHORARRAY($B$2),_xlfn.ANCHORARRAY($A$2)=$E221))</f>
        <v>#VALUE!</v>
      </c>
    </row>
    <row r="222" spans="6:6" x14ac:dyDescent="0.25">
      <c r="F222" t="e" cm="1" vm="1">
        <f t="array" ref="F222">TRANSPOSE(_xlfn._xlws.FILTER(_xlfn.ANCHORARRAY($B$2),_xlfn.ANCHORARRAY($A$2)=$E222))</f>
        <v>#VALUE!</v>
      </c>
    </row>
    <row r="223" spans="6:6" x14ac:dyDescent="0.25">
      <c r="F223" t="e" cm="1" vm="1">
        <f t="array" ref="F223">TRANSPOSE(_xlfn._xlws.FILTER(_xlfn.ANCHORARRAY($B$2),_xlfn.ANCHORARRAY($A$2)=$E223))</f>
        <v>#VALUE!</v>
      </c>
    </row>
    <row r="224" spans="6:6" x14ac:dyDescent="0.25">
      <c r="F224" t="e" cm="1" vm="1">
        <f t="array" ref="F224">TRANSPOSE(_xlfn._xlws.FILTER(_xlfn.ANCHORARRAY($B$2),_xlfn.ANCHORARRAY($A$2)=$E224))</f>
        <v>#VALUE!</v>
      </c>
    </row>
    <row r="225" spans="6:6" x14ac:dyDescent="0.25">
      <c r="F225" t="e" cm="1" vm="1">
        <f t="array" ref="F225">TRANSPOSE(_xlfn._xlws.FILTER(_xlfn.ANCHORARRAY($B$2),_xlfn.ANCHORARRAY($A$2)=$E225))</f>
        <v>#VALUE!</v>
      </c>
    </row>
    <row r="226" spans="6:6" x14ac:dyDescent="0.25">
      <c r="F226" t="e" cm="1" vm="1">
        <f t="array" ref="F226">TRANSPOSE(_xlfn._xlws.FILTER(_xlfn.ANCHORARRAY($B$2),_xlfn.ANCHORARRAY($A$2)=$E226))</f>
        <v>#VALUE!</v>
      </c>
    </row>
    <row r="227" spans="6:6" x14ac:dyDescent="0.25">
      <c r="F227" t="e" cm="1" vm="1">
        <f t="array" ref="F227">TRANSPOSE(_xlfn._xlws.FILTER(_xlfn.ANCHORARRAY($B$2),_xlfn.ANCHORARRAY($A$2)=$E227))</f>
        <v>#VALUE!</v>
      </c>
    </row>
    <row r="228" spans="6:6" x14ac:dyDescent="0.25">
      <c r="F228" t="e" cm="1" vm="1">
        <f t="array" ref="F228">TRANSPOSE(_xlfn._xlws.FILTER(_xlfn.ANCHORARRAY($B$2),_xlfn.ANCHORARRAY($A$2)=$E228))</f>
        <v>#VALUE!</v>
      </c>
    </row>
    <row r="229" spans="6:6" x14ac:dyDescent="0.25">
      <c r="F229" t="e" cm="1" vm="1">
        <f t="array" ref="F229">TRANSPOSE(_xlfn._xlws.FILTER(_xlfn.ANCHORARRAY($B$2),_xlfn.ANCHORARRAY($A$2)=$E229))</f>
        <v>#VALUE!</v>
      </c>
    </row>
    <row r="230" spans="6:6" x14ac:dyDescent="0.25">
      <c r="F230" t="e" cm="1" vm="1">
        <f t="array" ref="F230">TRANSPOSE(_xlfn._xlws.FILTER(_xlfn.ANCHORARRAY($B$2),_xlfn.ANCHORARRAY($A$2)=$E230))</f>
        <v>#VALUE!</v>
      </c>
    </row>
    <row r="231" spans="6:6" x14ac:dyDescent="0.25">
      <c r="F231" t="e" cm="1" vm="1">
        <f t="array" ref="F231">TRANSPOSE(_xlfn._xlws.FILTER(_xlfn.ANCHORARRAY($B$2),_xlfn.ANCHORARRAY($A$2)=$E231))</f>
        <v>#VALUE!</v>
      </c>
    </row>
    <row r="232" spans="6:6" x14ac:dyDescent="0.25">
      <c r="F232" t="e" cm="1" vm="1">
        <f t="array" ref="F232">TRANSPOSE(_xlfn._xlws.FILTER(_xlfn.ANCHORARRAY($B$2),_xlfn.ANCHORARRAY($A$2)=$E232))</f>
        <v>#VALUE!</v>
      </c>
    </row>
    <row r="233" spans="6:6" x14ac:dyDescent="0.25">
      <c r="F233" t="e" cm="1" vm="1">
        <f t="array" ref="F233">TRANSPOSE(_xlfn._xlws.FILTER(_xlfn.ANCHORARRAY($B$2),_xlfn.ANCHORARRAY($A$2)=$E233))</f>
        <v>#VALUE!</v>
      </c>
    </row>
    <row r="234" spans="6:6" x14ac:dyDescent="0.25">
      <c r="F234" t="e" cm="1" vm="1">
        <f t="array" ref="F234">TRANSPOSE(_xlfn._xlws.FILTER(_xlfn.ANCHORARRAY($B$2),_xlfn.ANCHORARRAY($A$2)=$E234))</f>
        <v>#VALUE!</v>
      </c>
    </row>
    <row r="235" spans="6:6" x14ac:dyDescent="0.25">
      <c r="F235" t="e" cm="1" vm="1">
        <f t="array" ref="F235">TRANSPOSE(_xlfn._xlws.FILTER(_xlfn.ANCHORARRAY($B$2),_xlfn.ANCHORARRAY($A$2)=$E235))</f>
        <v>#VALUE!</v>
      </c>
    </row>
    <row r="236" spans="6:6" x14ac:dyDescent="0.25">
      <c r="F236" t="e" cm="1" vm="1">
        <f t="array" ref="F236">TRANSPOSE(_xlfn._xlws.FILTER(_xlfn.ANCHORARRAY($B$2),_xlfn.ANCHORARRAY($A$2)=$E236))</f>
        <v>#VALUE!</v>
      </c>
    </row>
    <row r="237" spans="6:6" x14ac:dyDescent="0.25">
      <c r="F237" t="e" cm="1" vm="1">
        <f t="array" ref="F237">TRANSPOSE(_xlfn._xlws.FILTER(_xlfn.ANCHORARRAY($B$2),_xlfn.ANCHORARRAY($A$2)=$E237))</f>
        <v>#VALUE!</v>
      </c>
    </row>
    <row r="238" spans="6:6" x14ac:dyDescent="0.25">
      <c r="F238" t="e" cm="1" vm="1">
        <f t="array" ref="F238">TRANSPOSE(_xlfn._xlws.FILTER(_xlfn.ANCHORARRAY($B$2),_xlfn.ANCHORARRAY($A$2)=$E238))</f>
        <v>#VALUE!</v>
      </c>
    </row>
    <row r="239" spans="6:6" x14ac:dyDescent="0.25">
      <c r="F239" t="e" cm="1" vm="1">
        <f t="array" ref="F239">TRANSPOSE(_xlfn._xlws.FILTER(_xlfn.ANCHORARRAY($B$2),_xlfn.ANCHORARRAY($A$2)=$E239))</f>
        <v>#VALUE!</v>
      </c>
    </row>
    <row r="240" spans="6:6" x14ac:dyDescent="0.25">
      <c r="F240" t="e" cm="1" vm="1">
        <f t="array" ref="F240">TRANSPOSE(_xlfn._xlws.FILTER(_xlfn.ANCHORARRAY($B$2),_xlfn.ANCHORARRAY($A$2)=$E240))</f>
        <v>#VALUE!</v>
      </c>
    </row>
    <row r="241" spans="6:6" x14ac:dyDescent="0.25">
      <c r="F241" t="e" cm="1" vm="1">
        <f t="array" ref="F241">TRANSPOSE(_xlfn._xlws.FILTER(_xlfn.ANCHORARRAY($B$2),_xlfn.ANCHORARRAY($A$2)=$E241))</f>
        <v>#VALUE!</v>
      </c>
    </row>
    <row r="242" spans="6:6" x14ac:dyDescent="0.25">
      <c r="F242" t="e" cm="1" vm="1">
        <f t="array" ref="F242">TRANSPOSE(_xlfn._xlws.FILTER(_xlfn.ANCHORARRAY($B$2),_xlfn.ANCHORARRAY($A$2)=$E242))</f>
        <v>#VALUE!</v>
      </c>
    </row>
    <row r="243" spans="6:6" x14ac:dyDescent="0.25">
      <c r="F243" t="e" cm="1" vm="1">
        <f t="array" ref="F243">TRANSPOSE(_xlfn._xlws.FILTER(_xlfn.ANCHORARRAY($B$2),_xlfn.ANCHORARRAY($A$2)=$E243))</f>
        <v>#VALUE!</v>
      </c>
    </row>
    <row r="244" spans="6:6" x14ac:dyDescent="0.25">
      <c r="F244" t="e" cm="1" vm="1">
        <f t="array" ref="F244">TRANSPOSE(_xlfn._xlws.FILTER(_xlfn.ANCHORARRAY($B$2),_xlfn.ANCHORARRAY($A$2)=$E244))</f>
        <v>#VALUE!</v>
      </c>
    </row>
    <row r="245" spans="6:6" x14ac:dyDescent="0.25">
      <c r="F245" t="e" cm="1" vm="1">
        <f t="array" ref="F245">TRANSPOSE(_xlfn._xlws.FILTER(_xlfn.ANCHORARRAY($B$2),_xlfn.ANCHORARRAY($A$2)=$E245))</f>
        <v>#VALUE!</v>
      </c>
    </row>
    <row r="246" spans="6:6" x14ac:dyDescent="0.25">
      <c r="F246" t="e" cm="1" vm="1">
        <f t="array" ref="F246">TRANSPOSE(_xlfn._xlws.FILTER(_xlfn.ANCHORARRAY($B$2),_xlfn.ANCHORARRAY($A$2)=$E246))</f>
        <v>#VALUE!</v>
      </c>
    </row>
    <row r="247" spans="6:6" x14ac:dyDescent="0.25">
      <c r="F247" t="e" cm="1" vm="1">
        <f t="array" ref="F247">TRANSPOSE(_xlfn._xlws.FILTER(_xlfn.ANCHORARRAY($B$2),_xlfn.ANCHORARRAY($A$2)=$E247))</f>
        <v>#VALUE!</v>
      </c>
    </row>
    <row r="248" spans="6:6" x14ac:dyDescent="0.25">
      <c r="F248" t="e" cm="1" vm="1">
        <f t="array" ref="F248">TRANSPOSE(_xlfn._xlws.FILTER(_xlfn.ANCHORARRAY($B$2),_xlfn.ANCHORARRAY($A$2)=$E248))</f>
        <v>#VALUE!</v>
      </c>
    </row>
    <row r="249" spans="6:6" x14ac:dyDescent="0.25">
      <c r="F249" t="e" cm="1" vm="1">
        <f t="array" ref="F249">TRANSPOSE(_xlfn._xlws.FILTER(_xlfn.ANCHORARRAY($B$2),_xlfn.ANCHORARRAY($A$2)=$E249))</f>
        <v>#VALUE!</v>
      </c>
    </row>
    <row r="250" spans="6:6" x14ac:dyDescent="0.25">
      <c r="F250" t="e" cm="1" vm="1">
        <f t="array" ref="F250">TRANSPOSE(_xlfn._xlws.FILTER(_xlfn.ANCHORARRAY($B$2),_xlfn.ANCHORARRAY($A$2)=$E250))</f>
        <v>#VALUE!</v>
      </c>
    </row>
    <row r="251" spans="6:6" x14ac:dyDescent="0.25">
      <c r="F251" t="e" cm="1" vm="1">
        <f t="array" ref="F251">TRANSPOSE(_xlfn._xlws.FILTER(_xlfn.ANCHORARRAY($B$2),_xlfn.ANCHORARRAY($A$2)=$E251))</f>
        <v>#VALUE!</v>
      </c>
    </row>
    <row r="252" spans="6:6" x14ac:dyDescent="0.25">
      <c r="F252" t="e" cm="1" vm="1">
        <f t="array" ref="F252">TRANSPOSE(_xlfn._xlws.FILTER(_xlfn.ANCHORARRAY($B$2),_xlfn.ANCHORARRAY($A$2)=$E252))</f>
        <v>#VALUE!</v>
      </c>
    </row>
    <row r="253" spans="6:6" x14ac:dyDescent="0.25">
      <c r="F253" t="e" cm="1" vm="1">
        <f t="array" ref="F253">TRANSPOSE(_xlfn._xlws.FILTER(_xlfn.ANCHORARRAY($B$2),_xlfn.ANCHORARRAY($A$2)=$E253))</f>
        <v>#VALUE!</v>
      </c>
    </row>
    <row r="254" spans="6:6" x14ac:dyDescent="0.25">
      <c r="F254" t="e" cm="1" vm="1">
        <f t="array" ref="F254">TRANSPOSE(_xlfn._xlws.FILTER(_xlfn.ANCHORARRAY($B$2),_xlfn.ANCHORARRAY($A$2)=$E254))</f>
        <v>#VALUE!</v>
      </c>
    </row>
    <row r="255" spans="6:6" x14ac:dyDescent="0.25">
      <c r="F255" t="e" cm="1" vm="1">
        <f t="array" ref="F255">TRANSPOSE(_xlfn._xlws.FILTER(_xlfn.ANCHORARRAY($B$2),_xlfn.ANCHORARRAY($A$2)=$E255))</f>
        <v>#VALUE!</v>
      </c>
    </row>
    <row r="256" spans="6:6" x14ac:dyDescent="0.25">
      <c r="F256" t="e" cm="1" vm="1">
        <f t="array" ref="F256">TRANSPOSE(_xlfn._xlws.FILTER(_xlfn.ANCHORARRAY($B$2),_xlfn.ANCHORARRAY($A$2)=$E256))</f>
        <v>#VALUE!</v>
      </c>
    </row>
    <row r="257" spans="6:6" x14ac:dyDescent="0.25">
      <c r="F257" t="e" cm="1" vm="1">
        <f t="array" ref="F257">TRANSPOSE(_xlfn._xlws.FILTER(_xlfn.ANCHORARRAY($B$2),_xlfn.ANCHORARRAY($A$2)=$E257))</f>
        <v>#VALUE!</v>
      </c>
    </row>
    <row r="258" spans="6:6" x14ac:dyDescent="0.25">
      <c r="F258" t="e" cm="1" vm="1">
        <f t="array" ref="F258">TRANSPOSE(_xlfn._xlws.FILTER(_xlfn.ANCHORARRAY($B$2),_xlfn.ANCHORARRAY($A$2)=$E258))</f>
        <v>#VALUE!</v>
      </c>
    </row>
    <row r="259" spans="6:6" x14ac:dyDescent="0.25">
      <c r="F259" t="e" cm="1" vm="1">
        <f t="array" ref="F259">TRANSPOSE(_xlfn._xlws.FILTER(_xlfn.ANCHORARRAY($B$2),_xlfn.ANCHORARRAY($A$2)=$E259))</f>
        <v>#VALUE!</v>
      </c>
    </row>
    <row r="260" spans="6:6" x14ac:dyDescent="0.25">
      <c r="F260" t="e" cm="1" vm="1">
        <f t="array" ref="F260">TRANSPOSE(_xlfn._xlws.FILTER(_xlfn.ANCHORARRAY($B$2),_xlfn.ANCHORARRAY($A$2)=$E260))</f>
        <v>#VALUE!</v>
      </c>
    </row>
    <row r="261" spans="6:6" x14ac:dyDescent="0.25">
      <c r="F261" t="e" cm="1" vm="1">
        <f t="array" ref="F261">TRANSPOSE(_xlfn._xlws.FILTER(_xlfn.ANCHORARRAY($B$2),_xlfn.ANCHORARRAY($A$2)=$E261))</f>
        <v>#VALUE!</v>
      </c>
    </row>
    <row r="262" spans="6:6" x14ac:dyDescent="0.25">
      <c r="F262" t="e" cm="1" vm="1">
        <f t="array" ref="F262">TRANSPOSE(_xlfn._xlws.FILTER(_xlfn.ANCHORARRAY($B$2),_xlfn.ANCHORARRAY($A$2)=$E262))</f>
        <v>#VALUE!</v>
      </c>
    </row>
    <row r="263" spans="6:6" x14ac:dyDescent="0.25">
      <c r="F263" t="e" cm="1" vm="1">
        <f t="array" ref="F263">TRANSPOSE(_xlfn._xlws.FILTER(_xlfn.ANCHORARRAY($B$2),_xlfn.ANCHORARRAY($A$2)=$E263))</f>
        <v>#VALUE!</v>
      </c>
    </row>
    <row r="264" spans="6:6" x14ac:dyDescent="0.25">
      <c r="F264" t="e" cm="1" vm="1">
        <f t="array" ref="F264">TRANSPOSE(_xlfn._xlws.FILTER(_xlfn.ANCHORARRAY($B$2),_xlfn.ANCHORARRAY($A$2)=$E264))</f>
        <v>#VALUE!</v>
      </c>
    </row>
    <row r="265" spans="6:6" x14ac:dyDescent="0.25">
      <c r="F265" t="e" cm="1" vm="1">
        <f t="array" ref="F265">TRANSPOSE(_xlfn._xlws.FILTER(_xlfn.ANCHORARRAY($B$2),_xlfn.ANCHORARRAY($A$2)=$E265))</f>
        <v>#VALUE!</v>
      </c>
    </row>
    <row r="266" spans="6:6" x14ac:dyDescent="0.25">
      <c r="F266" t="e" cm="1" vm="1">
        <f t="array" ref="F266">TRANSPOSE(_xlfn._xlws.FILTER(_xlfn.ANCHORARRAY($B$2),_xlfn.ANCHORARRAY($A$2)=$E266))</f>
        <v>#VALUE!</v>
      </c>
    </row>
    <row r="267" spans="6:6" x14ac:dyDescent="0.25">
      <c r="F267" t="e" cm="1" vm="1">
        <f t="array" ref="F267">TRANSPOSE(_xlfn._xlws.FILTER(_xlfn.ANCHORARRAY($B$2),_xlfn.ANCHORARRAY($A$2)=$E267))</f>
        <v>#VALUE!</v>
      </c>
    </row>
    <row r="268" spans="6:6" x14ac:dyDescent="0.25">
      <c r="F268" t="e" cm="1" vm="1">
        <f t="array" ref="F268">TRANSPOSE(_xlfn._xlws.FILTER(_xlfn.ANCHORARRAY($B$2),_xlfn.ANCHORARRAY($A$2)=$E268))</f>
        <v>#VALUE!</v>
      </c>
    </row>
    <row r="269" spans="6:6" x14ac:dyDescent="0.25">
      <c r="F269" t="e" cm="1" vm="1">
        <f t="array" ref="F269">TRANSPOSE(_xlfn._xlws.FILTER(_xlfn.ANCHORARRAY($B$2),_xlfn.ANCHORARRAY($A$2)=$E269))</f>
        <v>#VALUE!</v>
      </c>
    </row>
    <row r="270" spans="6:6" x14ac:dyDescent="0.25">
      <c r="F270" t="e" cm="1" vm="1">
        <f t="array" ref="F270">TRANSPOSE(_xlfn._xlws.FILTER(_xlfn.ANCHORARRAY($B$2),_xlfn.ANCHORARRAY($A$2)=$E270))</f>
        <v>#VALUE!</v>
      </c>
    </row>
    <row r="271" spans="6:6" x14ac:dyDescent="0.25">
      <c r="F271" t="e" cm="1" vm="1">
        <f t="array" ref="F271">TRANSPOSE(_xlfn._xlws.FILTER(_xlfn.ANCHORARRAY($B$2),_xlfn.ANCHORARRAY($A$2)=$E271))</f>
        <v>#VALUE!</v>
      </c>
    </row>
    <row r="272" spans="6:6" x14ac:dyDescent="0.25">
      <c r="F272" t="e" cm="1" vm="1">
        <f t="array" ref="F272">TRANSPOSE(_xlfn._xlws.FILTER(_xlfn.ANCHORARRAY($B$2),_xlfn.ANCHORARRAY($A$2)=$E272))</f>
        <v>#VALUE!</v>
      </c>
    </row>
    <row r="273" spans="6:6" x14ac:dyDescent="0.25">
      <c r="F273" t="e" cm="1" vm="1">
        <f t="array" ref="F273">TRANSPOSE(_xlfn._xlws.FILTER(_xlfn.ANCHORARRAY($B$2),_xlfn.ANCHORARRAY($A$2)=$E273))</f>
        <v>#VALUE!</v>
      </c>
    </row>
    <row r="274" spans="6:6" x14ac:dyDescent="0.25">
      <c r="F274" t="e" cm="1" vm="1">
        <f t="array" ref="F274">TRANSPOSE(_xlfn._xlws.FILTER(_xlfn.ANCHORARRAY($B$2),_xlfn.ANCHORARRAY($A$2)=$E274))</f>
        <v>#VALUE!</v>
      </c>
    </row>
    <row r="275" spans="6:6" x14ac:dyDescent="0.25">
      <c r="F275" t="e" cm="1" vm="1">
        <f t="array" ref="F275">TRANSPOSE(_xlfn._xlws.FILTER(_xlfn.ANCHORARRAY($B$2),_xlfn.ANCHORARRAY($A$2)=$E275))</f>
        <v>#VALUE!</v>
      </c>
    </row>
    <row r="276" spans="6:6" x14ac:dyDescent="0.25">
      <c r="F276" t="e" cm="1" vm="1">
        <f t="array" ref="F276">TRANSPOSE(_xlfn._xlws.FILTER(_xlfn.ANCHORARRAY($B$2),_xlfn.ANCHORARRAY($A$2)=$E276))</f>
        <v>#VALUE!</v>
      </c>
    </row>
    <row r="277" spans="6:6" x14ac:dyDescent="0.25">
      <c r="F277" t="e" cm="1" vm="1">
        <f t="array" ref="F277">TRANSPOSE(_xlfn._xlws.FILTER(_xlfn.ANCHORARRAY($B$2),_xlfn.ANCHORARRAY($A$2)=$E277))</f>
        <v>#VALUE!</v>
      </c>
    </row>
    <row r="278" spans="6:6" x14ac:dyDescent="0.25">
      <c r="F278" t="e" cm="1" vm="1">
        <f t="array" ref="F278">TRANSPOSE(_xlfn._xlws.FILTER(_xlfn.ANCHORARRAY($B$2),_xlfn.ANCHORARRAY($A$2)=$E278))</f>
        <v>#VALUE!</v>
      </c>
    </row>
    <row r="279" spans="6:6" x14ac:dyDescent="0.25">
      <c r="F279" t="e" cm="1" vm="1">
        <f t="array" ref="F279">TRANSPOSE(_xlfn._xlws.FILTER(_xlfn.ANCHORARRAY($B$2),_xlfn.ANCHORARRAY($A$2)=$E279))</f>
        <v>#VALUE!</v>
      </c>
    </row>
    <row r="280" spans="6:6" x14ac:dyDescent="0.25">
      <c r="F280" t="e" cm="1" vm="1">
        <f t="array" ref="F280">TRANSPOSE(_xlfn._xlws.FILTER(_xlfn.ANCHORARRAY($B$2),_xlfn.ANCHORARRAY($A$2)=$E280))</f>
        <v>#VALUE!</v>
      </c>
    </row>
    <row r="281" spans="6:6" x14ac:dyDescent="0.25">
      <c r="F281" t="e" cm="1" vm="1">
        <f t="array" ref="F281">TRANSPOSE(_xlfn._xlws.FILTER(_xlfn.ANCHORARRAY($B$2),_xlfn.ANCHORARRAY($A$2)=$E281))</f>
        <v>#VALUE!</v>
      </c>
    </row>
    <row r="282" spans="6:6" x14ac:dyDescent="0.25">
      <c r="F282" t="e" cm="1" vm="1">
        <f t="array" ref="F282">TRANSPOSE(_xlfn._xlws.FILTER(_xlfn.ANCHORARRAY($B$2),_xlfn.ANCHORARRAY($A$2)=$E282))</f>
        <v>#VALUE!</v>
      </c>
    </row>
    <row r="283" spans="6:6" x14ac:dyDescent="0.25">
      <c r="F283" t="e" cm="1" vm="1">
        <f t="array" ref="F283">TRANSPOSE(_xlfn._xlws.FILTER(_xlfn.ANCHORARRAY($B$2),_xlfn.ANCHORARRAY($A$2)=$E283))</f>
        <v>#VALUE!</v>
      </c>
    </row>
    <row r="284" spans="6:6" x14ac:dyDescent="0.25">
      <c r="F284" t="e" cm="1" vm="1">
        <f t="array" ref="F284">TRANSPOSE(_xlfn._xlws.FILTER(_xlfn.ANCHORARRAY($B$2),_xlfn.ANCHORARRAY($A$2)=$E284))</f>
        <v>#VALUE!</v>
      </c>
    </row>
    <row r="285" spans="6:6" x14ac:dyDescent="0.25">
      <c r="F285" t="e" cm="1" vm="1">
        <f t="array" ref="F285">TRANSPOSE(_xlfn._xlws.FILTER(_xlfn.ANCHORARRAY($B$2),_xlfn.ANCHORARRAY($A$2)=$E285))</f>
        <v>#VALUE!</v>
      </c>
    </row>
    <row r="286" spans="6:6" x14ac:dyDescent="0.25">
      <c r="F286" t="e" cm="1" vm="1">
        <f t="array" ref="F286">TRANSPOSE(_xlfn._xlws.FILTER(_xlfn.ANCHORARRAY($B$2),_xlfn.ANCHORARRAY($A$2)=$E286))</f>
        <v>#VALUE!</v>
      </c>
    </row>
    <row r="287" spans="6:6" x14ac:dyDescent="0.25">
      <c r="F287" t="e" cm="1" vm="1">
        <f t="array" ref="F287">TRANSPOSE(_xlfn._xlws.FILTER(_xlfn.ANCHORARRAY($B$2),_xlfn.ANCHORARRAY($A$2)=$E287))</f>
        <v>#VALUE!</v>
      </c>
    </row>
    <row r="288" spans="6:6" x14ac:dyDescent="0.25">
      <c r="F288" t="e" cm="1" vm="1">
        <f t="array" ref="F288">TRANSPOSE(_xlfn._xlws.FILTER(_xlfn.ANCHORARRAY($B$2),_xlfn.ANCHORARRAY($A$2)=$E288))</f>
        <v>#VALUE!</v>
      </c>
    </row>
    <row r="289" spans="6:6" x14ac:dyDescent="0.25">
      <c r="F289" t="e" cm="1" vm="1">
        <f t="array" ref="F289">TRANSPOSE(_xlfn._xlws.FILTER(_xlfn.ANCHORARRAY($B$2),_xlfn.ANCHORARRAY($A$2)=$E289))</f>
        <v>#VALUE!</v>
      </c>
    </row>
    <row r="290" spans="6:6" x14ac:dyDescent="0.25">
      <c r="F290" t="e" cm="1" vm="1">
        <f t="array" ref="F290">TRANSPOSE(_xlfn._xlws.FILTER(_xlfn.ANCHORARRAY($B$2),_xlfn.ANCHORARRAY($A$2)=$E290))</f>
        <v>#VALUE!</v>
      </c>
    </row>
    <row r="291" spans="6:6" x14ac:dyDescent="0.25">
      <c r="F291" t="e" cm="1" vm="1">
        <f t="array" ref="F291">TRANSPOSE(_xlfn._xlws.FILTER(_xlfn.ANCHORARRAY($B$2),_xlfn.ANCHORARRAY($A$2)=$E291))</f>
        <v>#VALUE!</v>
      </c>
    </row>
    <row r="292" spans="6:6" x14ac:dyDescent="0.25">
      <c r="F292" t="e" cm="1" vm="1">
        <f t="array" ref="F292">TRANSPOSE(_xlfn._xlws.FILTER(_xlfn.ANCHORARRAY($B$2),_xlfn.ANCHORARRAY($A$2)=$E292))</f>
        <v>#VALUE!</v>
      </c>
    </row>
    <row r="293" spans="6:6" x14ac:dyDescent="0.25">
      <c r="F293" t="e" cm="1" vm="1">
        <f t="array" ref="F293">TRANSPOSE(_xlfn._xlws.FILTER(_xlfn.ANCHORARRAY($B$2),_xlfn.ANCHORARRAY($A$2)=$E293))</f>
        <v>#VALUE!</v>
      </c>
    </row>
    <row r="294" spans="6:6" x14ac:dyDescent="0.25">
      <c r="F294" t="e" cm="1" vm="1">
        <f t="array" ref="F294">TRANSPOSE(_xlfn._xlws.FILTER(_xlfn.ANCHORARRAY($B$2),_xlfn.ANCHORARRAY($A$2)=$E294))</f>
        <v>#VALUE!</v>
      </c>
    </row>
    <row r="295" spans="6:6" x14ac:dyDescent="0.25">
      <c r="F295" t="e" cm="1" vm="1">
        <f t="array" ref="F295">TRANSPOSE(_xlfn._xlws.FILTER(_xlfn.ANCHORARRAY($B$2),_xlfn.ANCHORARRAY($A$2)=$E295))</f>
        <v>#VALUE!</v>
      </c>
    </row>
    <row r="296" spans="6:6" x14ac:dyDescent="0.25">
      <c r="F296" t="e" cm="1" vm="1">
        <f t="array" ref="F296">TRANSPOSE(_xlfn._xlws.FILTER(_xlfn.ANCHORARRAY($B$2),_xlfn.ANCHORARRAY($A$2)=$E296))</f>
        <v>#VALUE!</v>
      </c>
    </row>
    <row r="297" spans="6:6" x14ac:dyDescent="0.25">
      <c r="F297" t="e" cm="1" vm="1">
        <f t="array" ref="F297">TRANSPOSE(_xlfn._xlws.FILTER(_xlfn.ANCHORARRAY($B$2),_xlfn.ANCHORARRAY($A$2)=$E297))</f>
        <v>#VALUE!</v>
      </c>
    </row>
    <row r="298" spans="6:6" x14ac:dyDescent="0.25">
      <c r="F298" t="e" cm="1" vm="1">
        <f t="array" ref="F298">TRANSPOSE(_xlfn._xlws.FILTER(_xlfn.ANCHORARRAY($B$2),_xlfn.ANCHORARRAY($A$2)=$E298))</f>
        <v>#VALUE!</v>
      </c>
    </row>
    <row r="299" spans="6:6" x14ac:dyDescent="0.25">
      <c r="F299" t="e" cm="1" vm="1">
        <f t="array" ref="F299">TRANSPOSE(_xlfn._xlws.FILTER(_xlfn.ANCHORARRAY($B$2),_xlfn.ANCHORARRAY($A$2)=$E299))</f>
        <v>#VALUE!</v>
      </c>
    </row>
    <row r="300" spans="6:6" x14ac:dyDescent="0.25">
      <c r="F300" t="e" cm="1" vm="1">
        <f t="array" ref="F300">TRANSPOSE(_xlfn._xlws.FILTER(_xlfn.ANCHORARRAY($B$2),_xlfn.ANCHORARRAY($A$2)=$E300))</f>
        <v>#VALUE!</v>
      </c>
    </row>
    <row r="301" spans="6:6" x14ac:dyDescent="0.25">
      <c r="F301" t="e" cm="1" vm="1">
        <f t="array" ref="F301">TRANSPOSE(_xlfn._xlws.FILTER(_xlfn.ANCHORARRAY($B$2),_xlfn.ANCHORARRAY($A$2)=$E301))</f>
        <v>#VALUE!</v>
      </c>
    </row>
    <row r="302" spans="6:6" x14ac:dyDescent="0.25">
      <c r="F302" t="e" cm="1" vm="1">
        <f t="array" ref="F302">TRANSPOSE(_xlfn._xlws.FILTER(_xlfn.ANCHORARRAY($B$2),_xlfn.ANCHORARRAY($A$2)=$E302))</f>
        <v>#VALUE!</v>
      </c>
    </row>
    <row r="303" spans="6:6" x14ac:dyDescent="0.25">
      <c r="F303" t="e" cm="1" vm="1">
        <f t="array" ref="F303">TRANSPOSE(_xlfn._xlws.FILTER(_xlfn.ANCHORARRAY($B$2),_xlfn.ANCHORARRAY($A$2)=$E303))</f>
        <v>#VALUE!</v>
      </c>
    </row>
    <row r="304" spans="6:6" x14ac:dyDescent="0.25">
      <c r="F304" t="e" cm="1" vm="1">
        <f t="array" ref="F304">TRANSPOSE(_xlfn._xlws.FILTER(_xlfn.ANCHORARRAY($B$2),_xlfn.ANCHORARRAY($A$2)=$E304))</f>
        <v>#VALUE!</v>
      </c>
    </row>
    <row r="305" spans="6:6" x14ac:dyDescent="0.25">
      <c r="F305" t="e" cm="1" vm="1">
        <f t="array" ref="F305">TRANSPOSE(_xlfn._xlws.FILTER(_xlfn.ANCHORARRAY($B$2),_xlfn.ANCHORARRAY($A$2)=$E305))</f>
        <v>#VALUE!</v>
      </c>
    </row>
    <row r="306" spans="6:6" x14ac:dyDescent="0.25">
      <c r="F306" t="e" cm="1" vm="1">
        <f t="array" ref="F306">TRANSPOSE(_xlfn._xlws.FILTER(_xlfn.ANCHORARRAY($B$2),_xlfn.ANCHORARRAY($A$2)=$E306))</f>
        <v>#VALUE!</v>
      </c>
    </row>
    <row r="307" spans="6:6" x14ac:dyDescent="0.25">
      <c r="F307" t="e" cm="1" vm="1">
        <f t="array" ref="F307">TRANSPOSE(_xlfn._xlws.FILTER(_xlfn.ANCHORARRAY($B$2),_xlfn.ANCHORARRAY($A$2)=$E307))</f>
        <v>#VALUE!</v>
      </c>
    </row>
    <row r="308" spans="6:6" x14ac:dyDescent="0.25">
      <c r="F308" t="e" cm="1" vm="1">
        <f t="array" ref="F308">TRANSPOSE(_xlfn._xlws.FILTER(_xlfn.ANCHORARRAY($B$2),_xlfn.ANCHORARRAY($A$2)=$E308))</f>
        <v>#VALUE!</v>
      </c>
    </row>
    <row r="309" spans="6:6" x14ac:dyDescent="0.25">
      <c r="F309" t="e" cm="1" vm="1">
        <f t="array" ref="F309">TRANSPOSE(_xlfn._xlws.FILTER(_xlfn.ANCHORARRAY($B$2),_xlfn.ANCHORARRAY($A$2)=$E309))</f>
        <v>#VALUE!</v>
      </c>
    </row>
    <row r="310" spans="6:6" x14ac:dyDescent="0.25">
      <c r="F310" t="e" cm="1" vm="1">
        <f t="array" ref="F310">TRANSPOSE(_xlfn._xlws.FILTER(_xlfn.ANCHORARRAY($B$2),_xlfn.ANCHORARRAY($A$2)=$E310))</f>
        <v>#VALUE!</v>
      </c>
    </row>
    <row r="311" spans="6:6" x14ac:dyDescent="0.25">
      <c r="F311" t="e" cm="1" vm="1">
        <f t="array" ref="F311">TRANSPOSE(_xlfn._xlws.FILTER(_xlfn.ANCHORARRAY($B$2),_xlfn.ANCHORARRAY($A$2)=$E311))</f>
        <v>#VALUE!</v>
      </c>
    </row>
    <row r="312" spans="6:6" x14ac:dyDescent="0.25">
      <c r="F312" t="e" cm="1" vm="1">
        <f t="array" ref="F312">TRANSPOSE(_xlfn._xlws.FILTER(_xlfn.ANCHORARRAY($B$2),_xlfn.ANCHORARRAY($A$2)=$E312))</f>
        <v>#VALUE!</v>
      </c>
    </row>
    <row r="313" spans="6:6" x14ac:dyDescent="0.25">
      <c r="F313" t="e" cm="1" vm="1">
        <f t="array" ref="F313">TRANSPOSE(_xlfn._xlws.FILTER(_xlfn.ANCHORARRAY($B$2),_xlfn.ANCHORARRAY($A$2)=$E313))</f>
        <v>#VALUE!</v>
      </c>
    </row>
    <row r="314" spans="6:6" x14ac:dyDescent="0.25">
      <c r="F314" t="e" cm="1" vm="1">
        <f t="array" ref="F314">TRANSPOSE(_xlfn._xlws.FILTER(_xlfn.ANCHORARRAY($B$2),_xlfn.ANCHORARRAY($A$2)=$E314))</f>
        <v>#VALUE!</v>
      </c>
    </row>
    <row r="315" spans="6:6" x14ac:dyDescent="0.25">
      <c r="F315" t="e" cm="1" vm="1">
        <f t="array" ref="F315">TRANSPOSE(_xlfn._xlws.FILTER(_xlfn.ANCHORARRAY($B$2),_xlfn.ANCHORARRAY($A$2)=$E315))</f>
        <v>#VALUE!</v>
      </c>
    </row>
    <row r="316" spans="6:6" x14ac:dyDescent="0.25">
      <c r="F316" t="e" cm="1" vm="1">
        <f t="array" ref="F316">TRANSPOSE(_xlfn._xlws.FILTER(_xlfn.ANCHORARRAY($B$2),_xlfn.ANCHORARRAY($A$2)=$E316))</f>
        <v>#VALUE!</v>
      </c>
    </row>
    <row r="317" spans="6:6" x14ac:dyDescent="0.25">
      <c r="F317" t="e" cm="1" vm="1">
        <f t="array" ref="F317">TRANSPOSE(_xlfn._xlws.FILTER(_xlfn.ANCHORARRAY($B$2),_xlfn.ANCHORARRAY($A$2)=$E317))</f>
        <v>#VALUE!</v>
      </c>
    </row>
    <row r="318" spans="6:6" x14ac:dyDescent="0.25">
      <c r="F318" t="e" cm="1" vm="1">
        <f t="array" ref="F318">TRANSPOSE(_xlfn._xlws.FILTER(_xlfn.ANCHORARRAY($B$2),_xlfn.ANCHORARRAY($A$2)=$E318))</f>
        <v>#VALUE!</v>
      </c>
    </row>
    <row r="319" spans="6:6" x14ac:dyDescent="0.25">
      <c r="F319" t="e" cm="1" vm="1">
        <f t="array" ref="F319">TRANSPOSE(_xlfn._xlws.FILTER(_xlfn.ANCHORARRAY($B$2),_xlfn.ANCHORARRAY($A$2)=$E319))</f>
        <v>#VALUE!</v>
      </c>
    </row>
    <row r="320" spans="6:6" x14ac:dyDescent="0.25">
      <c r="F320" t="e" cm="1" vm="1">
        <f t="array" ref="F320">TRANSPOSE(_xlfn._xlws.FILTER(_xlfn.ANCHORARRAY($B$2),_xlfn.ANCHORARRAY($A$2)=$E320))</f>
        <v>#VALUE!</v>
      </c>
    </row>
    <row r="321" spans="6:6" x14ac:dyDescent="0.25">
      <c r="F321" t="e" cm="1" vm="1">
        <f t="array" ref="F321">TRANSPOSE(_xlfn._xlws.FILTER(_xlfn.ANCHORARRAY($B$2),_xlfn.ANCHORARRAY($A$2)=$E321))</f>
        <v>#VALUE!</v>
      </c>
    </row>
    <row r="322" spans="6:6" x14ac:dyDescent="0.25">
      <c r="F322" t="e" cm="1" vm="1">
        <f t="array" ref="F322">TRANSPOSE(_xlfn._xlws.FILTER(_xlfn.ANCHORARRAY($B$2),_xlfn.ANCHORARRAY($A$2)=$E322))</f>
        <v>#VALUE!</v>
      </c>
    </row>
    <row r="323" spans="6:6" x14ac:dyDescent="0.25">
      <c r="F323" t="e" cm="1" vm="1">
        <f t="array" ref="F323">TRANSPOSE(_xlfn._xlws.FILTER(_xlfn.ANCHORARRAY($B$2),_xlfn.ANCHORARRAY($A$2)=$E323))</f>
        <v>#VALUE!</v>
      </c>
    </row>
    <row r="324" spans="6:6" x14ac:dyDescent="0.25">
      <c r="F324" t="e" cm="1" vm="1">
        <f t="array" ref="F324">TRANSPOSE(_xlfn._xlws.FILTER(_xlfn.ANCHORARRAY($B$2),_xlfn.ANCHORARRAY($A$2)=$E324))</f>
        <v>#VALUE!</v>
      </c>
    </row>
    <row r="325" spans="6:6" x14ac:dyDescent="0.25">
      <c r="F325" t="e" cm="1" vm="1">
        <f t="array" ref="F325">TRANSPOSE(_xlfn._xlws.FILTER(_xlfn.ANCHORARRAY($B$2),_xlfn.ANCHORARRAY($A$2)=$E325))</f>
        <v>#VALUE!</v>
      </c>
    </row>
    <row r="326" spans="6:6" x14ac:dyDescent="0.25">
      <c r="F326" t="e" cm="1" vm="1">
        <f t="array" ref="F326">TRANSPOSE(_xlfn._xlws.FILTER(_xlfn.ANCHORARRAY($B$2),_xlfn.ANCHORARRAY($A$2)=$E326))</f>
        <v>#VALUE!</v>
      </c>
    </row>
    <row r="327" spans="6:6" x14ac:dyDescent="0.25">
      <c r="F327" t="e" cm="1" vm="1">
        <f t="array" ref="F327">TRANSPOSE(_xlfn._xlws.FILTER(_xlfn.ANCHORARRAY($B$2),_xlfn.ANCHORARRAY($A$2)=$E327))</f>
        <v>#VALUE!</v>
      </c>
    </row>
    <row r="328" spans="6:6" x14ac:dyDescent="0.25">
      <c r="F328" t="e" cm="1" vm="1">
        <f t="array" ref="F328">TRANSPOSE(_xlfn._xlws.FILTER(_xlfn.ANCHORARRAY($B$2),_xlfn.ANCHORARRAY($A$2)=$E328))</f>
        <v>#VALUE!</v>
      </c>
    </row>
    <row r="329" spans="6:6" x14ac:dyDescent="0.25">
      <c r="F329" t="e" cm="1" vm="1">
        <f t="array" ref="F329">TRANSPOSE(_xlfn._xlws.FILTER(_xlfn.ANCHORARRAY($B$2),_xlfn.ANCHORARRAY($A$2)=$E329))</f>
        <v>#VALUE!</v>
      </c>
    </row>
    <row r="330" spans="6:6" x14ac:dyDescent="0.25">
      <c r="F330" t="e" cm="1" vm="1">
        <f t="array" ref="F330">TRANSPOSE(_xlfn._xlws.FILTER(_xlfn.ANCHORARRAY($B$2),_xlfn.ANCHORARRAY($A$2)=$E330))</f>
        <v>#VALUE!</v>
      </c>
    </row>
    <row r="331" spans="6:6" x14ac:dyDescent="0.25">
      <c r="F331" t="e" cm="1" vm="1">
        <f t="array" ref="F331">TRANSPOSE(_xlfn._xlws.FILTER(_xlfn.ANCHORARRAY($B$2),_xlfn.ANCHORARRAY($A$2)=$E331))</f>
        <v>#VALUE!</v>
      </c>
    </row>
    <row r="332" spans="6:6" x14ac:dyDescent="0.25">
      <c r="F332" t="e" cm="1" vm="1">
        <f t="array" ref="F332">TRANSPOSE(_xlfn._xlws.FILTER(_xlfn.ANCHORARRAY($B$2),_xlfn.ANCHORARRAY($A$2)=$E332))</f>
        <v>#VALUE!</v>
      </c>
    </row>
    <row r="333" spans="6:6" x14ac:dyDescent="0.25">
      <c r="F333" t="e" cm="1" vm="1">
        <f t="array" ref="F333">TRANSPOSE(_xlfn._xlws.FILTER(_xlfn.ANCHORARRAY($B$2),_xlfn.ANCHORARRAY($A$2)=$E333))</f>
        <v>#VALUE!</v>
      </c>
    </row>
    <row r="334" spans="6:6" x14ac:dyDescent="0.25">
      <c r="F334" t="e" cm="1" vm="1">
        <f t="array" ref="F334">TRANSPOSE(_xlfn._xlws.FILTER(_xlfn.ANCHORARRAY($B$2),_xlfn.ANCHORARRAY($A$2)=$E334))</f>
        <v>#VALUE!</v>
      </c>
    </row>
    <row r="335" spans="6:6" x14ac:dyDescent="0.25">
      <c r="F335" t="e" cm="1" vm="1">
        <f t="array" ref="F335">TRANSPOSE(_xlfn._xlws.FILTER(_xlfn.ANCHORARRAY($B$2),_xlfn.ANCHORARRAY($A$2)=$E335))</f>
        <v>#VALUE!</v>
      </c>
    </row>
    <row r="336" spans="6:6" x14ac:dyDescent="0.25">
      <c r="F336" t="e" cm="1" vm="1">
        <f t="array" ref="F336">TRANSPOSE(_xlfn._xlws.FILTER(_xlfn.ANCHORARRAY($B$2),_xlfn.ANCHORARRAY($A$2)=$E336))</f>
        <v>#VALUE!</v>
      </c>
    </row>
    <row r="337" spans="6:6" x14ac:dyDescent="0.25">
      <c r="F337" t="e" cm="1" vm="1">
        <f t="array" ref="F337">TRANSPOSE(_xlfn._xlws.FILTER(_xlfn.ANCHORARRAY($B$2),_xlfn.ANCHORARRAY($A$2)=$E337))</f>
        <v>#VALUE!</v>
      </c>
    </row>
    <row r="338" spans="6:6" x14ac:dyDescent="0.25">
      <c r="F338" t="e" cm="1" vm="1">
        <f t="array" ref="F338">TRANSPOSE(_xlfn._xlws.FILTER(_xlfn.ANCHORARRAY($B$2),_xlfn.ANCHORARRAY($A$2)=$E338))</f>
        <v>#VALUE!</v>
      </c>
    </row>
    <row r="339" spans="6:6" x14ac:dyDescent="0.25">
      <c r="F339" t="e" cm="1" vm="1">
        <f t="array" ref="F339">TRANSPOSE(_xlfn._xlws.FILTER(_xlfn.ANCHORARRAY($B$2),_xlfn.ANCHORARRAY($A$2)=$E339))</f>
        <v>#VALUE!</v>
      </c>
    </row>
    <row r="340" spans="6:6" x14ac:dyDescent="0.25">
      <c r="F340" t="e" cm="1" vm="1">
        <f t="array" ref="F340">TRANSPOSE(_xlfn._xlws.FILTER(_xlfn.ANCHORARRAY($B$2),_xlfn.ANCHORARRAY($A$2)=$E340))</f>
        <v>#VALUE!</v>
      </c>
    </row>
    <row r="341" spans="6:6" x14ac:dyDescent="0.25">
      <c r="F341" t="e" cm="1" vm="1">
        <f t="array" ref="F341">TRANSPOSE(_xlfn._xlws.FILTER(_xlfn.ANCHORARRAY($B$2),_xlfn.ANCHORARRAY($A$2)=$E341))</f>
        <v>#VALUE!</v>
      </c>
    </row>
    <row r="342" spans="6:6" x14ac:dyDescent="0.25">
      <c r="F342" t="e" cm="1" vm="1">
        <f t="array" ref="F342">TRANSPOSE(_xlfn._xlws.FILTER(_xlfn.ANCHORARRAY($B$2),_xlfn.ANCHORARRAY($A$2)=$E342))</f>
        <v>#VALUE!</v>
      </c>
    </row>
    <row r="343" spans="6:6" x14ac:dyDescent="0.25">
      <c r="F343" t="e" cm="1" vm="1">
        <f t="array" ref="F343">TRANSPOSE(_xlfn._xlws.FILTER(_xlfn.ANCHORARRAY($B$2),_xlfn.ANCHORARRAY($A$2)=$E343))</f>
        <v>#VALUE!</v>
      </c>
    </row>
    <row r="344" spans="6:6" x14ac:dyDescent="0.25">
      <c r="F344" t="e" cm="1" vm="1">
        <f t="array" ref="F344">TRANSPOSE(_xlfn._xlws.FILTER(_xlfn.ANCHORARRAY($B$2),_xlfn.ANCHORARRAY($A$2)=$E344))</f>
        <v>#VALUE!</v>
      </c>
    </row>
    <row r="345" spans="6:6" x14ac:dyDescent="0.25">
      <c r="F345" t="e" cm="1" vm="1">
        <f t="array" ref="F345">TRANSPOSE(_xlfn._xlws.FILTER(_xlfn.ANCHORARRAY($B$2),_xlfn.ANCHORARRAY($A$2)=$E345))</f>
        <v>#VALUE!</v>
      </c>
    </row>
    <row r="346" spans="6:6" x14ac:dyDescent="0.25">
      <c r="F346" t="e" cm="1" vm="1">
        <f t="array" ref="F346">TRANSPOSE(_xlfn._xlws.FILTER(_xlfn.ANCHORARRAY($B$2),_xlfn.ANCHORARRAY($A$2)=$E346))</f>
        <v>#VALUE!</v>
      </c>
    </row>
    <row r="347" spans="6:6" x14ac:dyDescent="0.25">
      <c r="F347" t="e" cm="1" vm="1">
        <f t="array" ref="F347">TRANSPOSE(_xlfn._xlws.FILTER(_xlfn.ANCHORARRAY($B$2),_xlfn.ANCHORARRAY($A$2)=$E347))</f>
        <v>#VALUE!</v>
      </c>
    </row>
    <row r="348" spans="6:6" x14ac:dyDescent="0.25">
      <c r="F348" t="e" cm="1" vm="1">
        <f t="array" ref="F348">TRANSPOSE(_xlfn._xlws.FILTER(_xlfn.ANCHORARRAY($B$2),_xlfn.ANCHORARRAY($A$2)=$E348))</f>
        <v>#VALUE!</v>
      </c>
    </row>
    <row r="349" spans="6:6" x14ac:dyDescent="0.25">
      <c r="F349" t="e" cm="1" vm="1">
        <f t="array" ref="F349">TRANSPOSE(_xlfn._xlws.FILTER(_xlfn.ANCHORARRAY($B$2),_xlfn.ANCHORARRAY($A$2)=$E349))</f>
        <v>#VALUE!</v>
      </c>
    </row>
    <row r="350" spans="6:6" x14ac:dyDescent="0.25">
      <c r="F350" t="e" cm="1" vm="1">
        <f t="array" ref="F350">TRANSPOSE(_xlfn._xlws.FILTER(_xlfn.ANCHORARRAY($B$2),_xlfn.ANCHORARRAY($A$2)=$E350))</f>
        <v>#VALUE!</v>
      </c>
    </row>
    <row r="351" spans="6:6" x14ac:dyDescent="0.25">
      <c r="F351" t="e" cm="1" vm="1">
        <f t="array" ref="F351">TRANSPOSE(_xlfn._xlws.FILTER(_xlfn.ANCHORARRAY($B$2),_xlfn.ANCHORARRAY($A$2)=$E351))</f>
        <v>#VALUE!</v>
      </c>
    </row>
    <row r="352" spans="6:6" x14ac:dyDescent="0.25">
      <c r="F352" t="e" cm="1" vm="1">
        <f t="array" ref="F352">TRANSPOSE(_xlfn._xlws.FILTER(_xlfn.ANCHORARRAY($B$2),_xlfn.ANCHORARRAY($A$2)=$E352))</f>
        <v>#VALUE!</v>
      </c>
    </row>
    <row r="353" spans="6:6" x14ac:dyDescent="0.25">
      <c r="F353" t="e" cm="1" vm="1">
        <f t="array" ref="F353">TRANSPOSE(_xlfn._xlws.FILTER(_xlfn.ANCHORARRAY($B$2),_xlfn.ANCHORARRAY($A$2)=$E353))</f>
        <v>#VALUE!</v>
      </c>
    </row>
    <row r="354" spans="6:6" x14ac:dyDescent="0.25">
      <c r="F354" t="e" cm="1" vm="1">
        <f t="array" ref="F354">TRANSPOSE(_xlfn._xlws.FILTER(_xlfn.ANCHORARRAY($B$2),_xlfn.ANCHORARRAY($A$2)=$E354))</f>
        <v>#VALUE!</v>
      </c>
    </row>
    <row r="355" spans="6:6" x14ac:dyDescent="0.25">
      <c r="F355" t="e" cm="1" vm="1">
        <f t="array" ref="F355">TRANSPOSE(_xlfn._xlws.FILTER(_xlfn.ANCHORARRAY($B$2),_xlfn.ANCHORARRAY($A$2)=$E355))</f>
        <v>#VALUE!</v>
      </c>
    </row>
    <row r="356" spans="6:6" x14ac:dyDescent="0.25">
      <c r="F356" t="e" cm="1" vm="1">
        <f t="array" ref="F356">TRANSPOSE(_xlfn._xlws.FILTER(_xlfn.ANCHORARRAY($B$2),_xlfn.ANCHORARRAY($A$2)=$E356))</f>
        <v>#VALUE!</v>
      </c>
    </row>
    <row r="357" spans="6:6" x14ac:dyDescent="0.25">
      <c r="F357" t="e" cm="1" vm="1">
        <f t="array" ref="F357">TRANSPOSE(_xlfn._xlws.FILTER(_xlfn.ANCHORARRAY($B$2),_xlfn.ANCHORARRAY($A$2)=$E357))</f>
        <v>#VALUE!</v>
      </c>
    </row>
    <row r="358" spans="6:6" x14ac:dyDescent="0.25">
      <c r="F358" t="e" cm="1" vm="1">
        <f t="array" ref="F358">TRANSPOSE(_xlfn._xlws.FILTER(_xlfn.ANCHORARRAY($B$2),_xlfn.ANCHORARRAY($A$2)=$E358))</f>
        <v>#VALUE!</v>
      </c>
    </row>
    <row r="359" spans="6:6" x14ac:dyDescent="0.25">
      <c r="F359" t="e" cm="1" vm="1">
        <f t="array" ref="F359">TRANSPOSE(_xlfn._xlws.FILTER(_xlfn.ANCHORARRAY($B$2),_xlfn.ANCHORARRAY($A$2)=$E359))</f>
        <v>#VALUE!</v>
      </c>
    </row>
    <row r="360" spans="6:6" x14ac:dyDescent="0.25">
      <c r="F360" t="e" cm="1" vm="1">
        <f t="array" ref="F360">TRANSPOSE(_xlfn._xlws.FILTER(_xlfn.ANCHORARRAY($B$2),_xlfn.ANCHORARRAY($A$2)=$E360))</f>
        <v>#VALUE!</v>
      </c>
    </row>
    <row r="361" spans="6:6" x14ac:dyDescent="0.25">
      <c r="F361" t="e" cm="1" vm="1">
        <f t="array" ref="F361">TRANSPOSE(_xlfn._xlws.FILTER(_xlfn.ANCHORARRAY($B$2),_xlfn.ANCHORARRAY($A$2)=$E361))</f>
        <v>#VALUE!</v>
      </c>
    </row>
    <row r="362" spans="6:6" x14ac:dyDescent="0.25">
      <c r="F362" t="e" cm="1" vm="1">
        <f t="array" ref="F362">TRANSPOSE(_xlfn._xlws.FILTER(_xlfn.ANCHORARRAY($B$2),_xlfn.ANCHORARRAY($A$2)=$E362))</f>
        <v>#VALUE!</v>
      </c>
    </row>
    <row r="363" spans="6:6" x14ac:dyDescent="0.25">
      <c r="F363" t="e" cm="1" vm="1">
        <f t="array" ref="F363">TRANSPOSE(_xlfn._xlws.FILTER(_xlfn.ANCHORARRAY($B$2),_xlfn.ANCHORARRAY($A$2)=$E363))</f>
        <v>#VALUE!</v>
      </c>
    </row>
    <row r="364" spans="6:6" x14ac:dyDescent="0.25">
      <c r="F364" t="e" cm="1" vm="1">
        <f t="array" ref="F364">TRANSPOSE(_xlfn._xlws.FILTER(_xlfn.ANCHORARRAY($B$2),_xlfn.ANCHORARRAY($A$2)=$E364))</f>
        <v>#VALUE!</v>
      </c>
    </row>
    <row r="365" spans="6:6" x14ac:dyDescent="0.25">
      <c r="F365" t="e" cm="1" vm="1">
        <f t="array" ref="F365">TRANSPOSE(_xlfn._xlws.FILTER(_xlfn.ANCHORARRAY($B$2),_xlfn.ANCHORARRAY($A$2)=$E365))</f>
        <v>#VALUE!</v>
      </c>
    </row>
    <row r="366" spans="6:6" x14ac:dyDescent="0.25">
      <c r="F366" t="e" cm="1" vm="1">
        <f t="array" ref="F366">TRANSPOSE(_xlfn._xlws.FILTER(_xlfn.ANCHORARRAY($B$2),_xlfn.ANCHORARRAY($A$2)=$E366))</f>
        <v>#VALUE!</v>
      </c>
    </row>
    <row r="367" spans="6:6" x14ac:dyDescent="0.25">
      <c r="F367" t="e" cm="1" vm="1">
        <f t="array" ref="F367">TRANSPOSE(_xlfn._xlws.FILTER(_xlfn.ANCHORARRAY($B$2),_xlfn.ANCHORARRAY($A$2)=$E367))</f>
        <v>#VALUE!</v>
      </c>
    </row>
    <row r="368" spans="6:6" x14ac:dyDescent="0.25">
      <c r="F368" t="e" cm="1" vm="1">
        <f t="array" ref="F368">TRANSPOSE(_xlfn._xlws.FILTER(_xlfn.ANCHORARRAY($B$2),_xlfn.ANCHORARRAY($A$2)=$E368))</f>
        <v>#VALUE!</v>
      </c>
    </row>
    <row r="369" spans="6:6" x14ac:dyDescent="0.25">
      <c r="F369" t="e" cm="1" vm="1">
        <f t="array" ref="F369">TRANSPOSE(_xlfn._xlws.FILTER(_xlfn.ANCHORARRAY($B$2),_xlfn.ANCHORARRAY($A$2)=$E369))</f>
        <v>#VALUE!</v>
      </c>
    </row>
    <row r="370" spans="6:6" x14ac:dyDescent="0.25">
      <c r="F370" t="e" cm="1" vm="1">
        <f t="array" ref="F370">TRANSPOSE(_xlfn._xlws.FILTER(_xlfn.ANCHORARRAY($B$2),_xlfn.ANCHORARRAY($A$2)=$E370))</f>
        <v>#VALUE!</v>
      </c>
    </row>
    <row r="371" spans="6:6" x14ac:dyDescent="0.25">
      <c r="F371" t="e" cm="1" vm="1">
        <f t="array" ref="F371">TRANSPOSE(_xlfn._xlws.FILTER(_xlfn.ANCHORARRAY($B$2),_xlfn.ANCHORARRAY($A$2)=$E371))</f>
        <v>#VALUE!</v>
      </c>
    </row>
    <row r="372" spans="6:6" x14ac:dyDescent="0.25">
      <c r="F372" t="e" cm="1" vm="1">
        <f t="array" ref="F372">TRANSPOSE(_xlfn._xlws.FILTER(_xlfn.ANCHORARRAY($B$2),_xlfn.ANCHORARRAY($A$2)=$E372))</f>
        <v>#VALUE!</v>
      </c>
    </row>
    <row r="373" spans="6:6" x14ac:dyDescent="0.25">
      <c r="F373" t="e" cm="1" vm="1">
        <f t="array" ref="F373">TRANSPOSE(_xlfn._xlws.FILTER(_xlfn.ANCHORARRAY($B$2),_xlfn.ANCHORARRAY($A$2)=$E373))</f>
        <v>#VALUE!</v>
      </c>
    </row>
    <row r="374" spans="6:6" x14ac:dyDescent="0.25">
      <c r="F374" t="e" cm="1" vm="1">
        <f t="array" ref="F374">TRANSPOSE(_xlfn._xlws.FILTER(_xlfn.ANCHORARRAY($B$2),_xlfn.ANCHORARRAY($A$2)=$E374))</f>
        <v>#VALUE!</v>
      </c>
    </row>
    <row r="375" spans="6:6" x14ac:dyDescent="0.25">
      <c r="F375" t="e" cm="1" vm="1">
        <f t="array" ref="F375">TRANSPOSE(_xlfn._xlws.FILTER(_xlfn.ANCHORARRAY($B$2),_xlfn.ANCHORARRAY($A$2)=$E375))</f>
        <v>#VALUE!</v>
      </c>
    </row>
    <row r="376" spans="6:6" x14ac:dyDescent="0.25">
      <c r="F376" t="e" cm="1" vm="1">
        <f t="array" ref="F376">TRANSPOSE(_xlfn._xlws.FILTER(_xlfn.ANCHORARRAY($B$2),_xlfn.ANCHORARRAY($A$2)=$E376))</f>
        <v>#VALUE!</v>
      </c>
    </row>
    <row r="377" spans="6:6" x14ac:dyDescent="0.25">
      <c r="F377" t="e" cm="1" vm="1">
        <f t="array" ref="F377">TRANSPOSE(_xlfn._xlws.FILTER(_xlfn.ANCHORARRAY($B$2),_xlfn.ANCHORARRAY($A$2)=$E377))</f>
        <v>#VALUE!</v>
      </c>
    </row>
    <row r="378" spans="6:6" x14ac:dyDescent="0.25">
      <c r="F378" t="e" cm="1" vm="1">
        <f t="array" ref="F378">TRANSPOSE(_xlfn._xlws.FILTER(_xlfn.ANCHORARRAY($B$2),_xlfn.ANCHORARRAY($A$2)=$E378))</f>
        <v>#VALUE!</v>
      </c>
    </row>
    <row r="379" spans="6:6" x14ac:dyDescent="0.25">
      <c r="F379" t="e" cm="1" vm="1">
        <f t="array" ref="F379">TRANSPOSE(_xlfn._xlws.FILTER(_xlfn.ANCHORARRAY($B$2),_xlfn.ANCHORARRAY($A$2)=$E379))</f>
        <v>#VALUE!</v>
      </c>
    </row>
    <row r="380" spans="6:6" x14ac:dyDescent="0.25">
      <c r="F380" t="e" cm="1" vm="1">
        <f t="array" ref="F380">TRANSPOSE(_xlfn._xlws.FILTER(_xlfn.ANCHORARRAY($B$2),_xlfn.ANCHORARRAY($A$2)=$E380))</f>
        <v>#VALUE!</v>
      </c>
    </row>
    <row r="381" spans="6:6" x14ac:dyDescent="0.25">
      <c r="F381" t="e" cm="1" vm="1">
        <f t="array" ref="F381">TRANSPOSE(_xlfn._xlws.FILTER(_xlfn.ANCHORARRAY($B$2),_xlfn.ANCHORARRAY($A$2)=$E381))</f>
        <v>#VALUE!</v>
      </c>
    </row>
    <row r="382" spans="6:6" x14ac:dyDescent="0.25">
      <c r="F382" t="e" cm="1" vm="1">
        <f t="array" ref="F382">TRANSPOSE(_xlfn._xlws.FILTER(_xlfn.ANCHORARRAY($B$2),_xlfn.ANCHORARRAY($A$2)=$E382))</f>
        <v>#VALUE!</v>
      </c>
    </row>
    <row r="383" spans="6:6" x14ac:dyDescent="0.25">
      <c r="F383" t="e" cm="1" vm="1">
        <f t="array" ref="F383">TRANSPOSE(_xlfn._xlws.FILTER(_xlfn.ANCHORARRAY($B$2),_xlfn.ANCHORARRAY($A$2)=$E383))</f>
        <v>#VALUE!</v>
      </c>
    </row>
    <row r="384" spans="6:6" x14ac:dyDescent="0.25">
      <c r="F384" t="e" cm="1" vm="1">
        <f t="array" ref="F384">TRANSPOSE(_xlfn._xlws.FILTER(_xlfn.ANCHORARRAY($B$2),_xlfn.ANCHORARRAY($A$2)=$E384))</f>
        <v>#VALUE!</v>
      </c>
    </row>
    <row r="385" spans="6:6" x14ac:dyDescent="0.25">
      <c r="F385" t="e" cm="1" vm="1">
        <f t="array" ref="F385">TRANSPOSE(_xlfn._xlws.FILTER(_xlfn.ANCHORARRAY($B$2),_xlfn.ANCHORARRAY($A$2)=$E385))</f>
        <v>#VALUE!</v>
      </c>
    </row>
    <row r="386" spans="6:6" x14ac:dyDescent="0.25">
      <c r="F386" t="e" cm="1" vm="1">
        <f t="array" ref="F386">TRANSPOSE(_xlfn._xlws.FILTER(_xlfn.ANCHORARRAY($B$2),_xlfn.ANCHORARRAY($A$2)=$E386))</f>
        <v>#VALUE!</v>
      </c>
    </row>
    <row r="387" spans="6:6" x14ac:dyDescent="0.25">
      <c r="F387" t="e" cm="1" vm="1">
        <f t="array" ref="F387">TRANSPOSE(_xlfn._xlws.FILTER(_xlfn.ANCHORARRAY($B$2),_xlfn.ANCHORARRAY($A$2)=$E387))</f>
        <v>#VALUE!</v>
      </c>
    </row>
    <row r="388" spans="6:6" x14ac:dyDescent="0.25">
      <c r="F388" t="e" cm="1" vm="1">
        <f t="array" ref="F388">TRANSPOSE(_xlfn._xlws.FILTER(_xlfn.ANCHORARRAY($B$2),_xlfn.ANCHORARRAY($A$2)=$E388))</f>
        <v>#VALUE!</v>
      </c>
    </row>
    <row r="389" spans="6:6" x14ac:dyDescent="0.25">
      <c r="F389" t="e" cm="1" vm="1">
        <f t="array" ref="F389">TRANSPOSE(_xlfn._xlws.FILTER(_xlfn.ANCHORARRAY($B$2),_xlfn.ANCHORARRAY($A$2)=$E389))</f>
        <v>#VALUE!</v>
      </c>
    </row>
    <row r="390" spans="6:6" x14ac:dyDescent="0.25">
      <c r="F390" t="e" cm="1" vm="1">
        <f t="array" ref="F390">TRANSPOSE(_xlfn._xlws.FILTER(_xlfn.ANCHORARRAY($B$2),_xlfn.ANCHORARRAY($A$2)=$E390))</f>
        <v>#VALUE!</v>
      </c>
    </row>
    <row r="391" spans="6:6" x14ac:dyDescent="0.25">
      <c r="F391" t="e" cm="1" vm="1">
        <f t="array" ref="F391">TRANSPOSE(_xlfn._xlws.FILTER(_xlfn.ANCHORARRAY($B$2),_xlfn.ANCHORARRAY($A$2)=$E391))</f>
        <v>#VALUE!</v>
      </c>
    </row>
    <row r="392" spans="6:6" x14ac:dyDescent="0.25">
      <c r="F392" t="e" cm="1" vm="1">
        <f t="array" ref="F392">TRANSPOSE(_xlfn._xlws.FILTER(_xlfn.ANCHORARRAY($B$2),_xlfn.ANCHORARRAY($A$2)=$E392))</f>
        <v>#VALUE!</v>
      </c>
    </row>
    <row r="393" spans="6:6" x14ac:dyDescent="0.25">
      <c r="F393" t="e" cm="1" vm="1">
        <f t="array" ref="F393">TRANSPOSE(_xlfn._xlws.FILTER(_xlfn.ANCHORARRAY($B$2),_xlfn.ANCHORARRAY($A$2)=$E393))</f>
        <v>#VALUE!</v>
      </c>
    </row>
    <row r="394" spans="6:6" x14ac:dyDescent="0.25">
      <c r="F394" t="e" cm="1" vm="1">
        <f t="array" ref="F394">TRANSPOSE(_xlfn._xlws.FILTER(_xlfn.ANCHORARRAY($B$2),_xlfn.ANCHORARRAY($A$2)=$E394))</f>
        <v>#VALUE!</v>
      </c>
    </row>
    <row r="395" spans="6:6" x14ac:dyDescent="0.25">
      <c r="F395" t="e" cm="1" vm="1">
        <f t="array" ref="F395">TRANSPOSE(_xlfn._xlws.FILTER(_xlfn.ANCHORARRAY($B$2),_xlfn.ANCHORARRAY($A$2)=$E395))</f>
        <v>#VALUE!</v>
      </c>
    </row>
    <row r="396" spans="6:6" x14ac:dyDescent="0.25">
      <c r="F396" t="e" cm="1" vm="1">
        <f t="array" ref="F396">TRANSPOSE(_xlfn._xlws.FILTER(_xlfn.ANCHORARRAY($B$2),_xlfn.ANCHORARRAY($A$2)=$E396))</f>
        <v>#VALUE!</v>
      </c>
    </row>
    <row r="397" spans="6:6" x14ac:dyDescent="0.25">
      <c r="F397" t="e" cm="1" vm="1">
        <f t="array" ref="F397">TRANSPOSE(_xlfn._xlws.FILTER(_xlfn.ANCHORARRAY($B$2),_xlfn.ANCHORARRAY($A$2)=$E397))</f>
        <v>#VALUE!</v>
      </c>
    </row>
    <row r="398" spans="6:6" x14ac:dyDescent="0.25">
      <c r="F398" t="e" cm="1" vm="1">
        <f t="array" ref="F398">TRANSPOSE(_xlfn._xlws.FILTER(_xlfn.ANCHORARRAY($B$2),_xlfn.ANCHORARRAY($A$2)=$E398))</f>
        <v>#VALUE!</v>
      </c>
    </row>
    <row r="399" spans="6:6" x14ac:dyDescent="0.25">
      <c r="F399" t="e" cm="1" vm="1">
        <f t="array" ref="F399">TRANSPOSE(_xlfn._xlws.FILTER(_xlfn.ANCHORARRAY($B$2),_xlfn.ANCHORARRAY($A$2)=$E399))</f>
        <v>#VALUE!</v>
      </c>
    </row>
    <row r="400" spans="6:6" x14ac:dyDescent="0.25">
      <c r="F400" t="e" cm="1" vm="1">
        <f t="array" ref="F400">TRANSPOSE(_xlfn._xlws.FILTER(_xlfn.ANCHORARRAY($B$2),_xlfn.ANCHORARRAY($A$2)=$E400))</f>
        <v>#VALUE!</v>
      </c>
    </row>
    <row r="401" spans="6:6" x14ac:dyDescent="0.25">
      <c r="F401" t="e" cm="1" vm="1">
        <f t="array" ref="F401">TRANSPOSE(_xlfn._xlws.FILTER(_xlfn.ANCHORARRAY($B$2),_xlfn.ANCHORARRAY($A$2)=$E401))</f>
        <v>#VALUE!</v>
      </c>
    </row>
    <row r="402" spans="6:6" x14ac:dyDescent="0.25">
      <c r="F402" t="e" cm="1" vm="1">
        <f t="array" ref="F402">TRANSPOSE(_xlfn._xlws.FILTER(_xlfn.ANCHORARRAY($B$2),_xlfn.ANCHORARRAY($A$2)=$E402))</f>
        <v>#VALUE!</v>
      </c>
    </row>
    <row r="403" spans="6:6" x14ac:dyDescent="0.25">
      <c r="F403" t="e" cm="1" vm="1">
        <f t="array" ref="F403">TRANSPOSE(_xlfn._xlws.FILTER(_xlfn.ANCHORARRAY($B$2),_xlfn.ANCHORARRAY($A$2)=$E403))</f>
        <v>#VALUE!</v>
      </c>
    </row>
    <row r="404" spans="6:6" x14ac:dyDescent="0.25">
      <c r="F404" t="e" cm="1" vm="1">
        <f t="array" ref="F404">TRANSPOSE(_xlfn._xlws.FILTER(_xlfn.ANCHORARRAY($B$2),_xlfn.ANCHORARRAY($A$2)=$E404))</f>
        <v>#VALUE!</v>
      </c>
    </row>
    <row r="405" spans="6:6" x14ac:dyDescent="0.25">
      <c r="F405" t="e" cm="1" vm="1">
        <f t="array" ref="F405">TRANSPOSE(_xlfn._xlws.FILTER(_xlfn.ANCHORARRAY($B$2),_xlfn.ANCHORARRAY($A$2)=$E405))</f>
        <v>#VALUE!</v>
      </c>
    </row>
    <row r="406" spans="6:6" x14ac:dyDescent="0.25">
      <c r="F406" t="e" cm="1" vm="1">
        <f t="array" ref="F406">TRANSPOSE(_xlfn._xlws.FILTER(_xlfn.ANCHORARRAY($B$2),_xlfn.ANCHORARRAY($A$2)=$E406))</f>
        <v>#VALUE!</v>
      </c>
    </row>
    <row r="407" spans="6:6" x14ac:dyDescent="0.25">
      <c r="F407" t="e" cm="1" vm="1">
        <f t="array" ref="F407">TRANSPOSE(_xlfn._xlws.FILTER(_xlfn.ANCHORARRAY($B$2),_xlfn.ANCHORARRAY($A$2)=$E407))</f>
        <v>#VALUE!</v>
      </c>
    </row>
    <row r="408" spans="6:6" x14ac:dyDescent="0.25">
      <c r="F408" t="e" cm="1" vm="1">
        <f t="array" ref="F408">TRANSPOSE(_xlfn._xlws.FILTER(_xlfn.ANCHORARRAY($B$2),_xlfn.ANCHORARRAY($A$2)=$E408))</f>
        <v>#VALUE!</v>
      </c>
    </row>
    <row r="409" spans="6:6" x14ac:dyDescent="0.25">
      <c r="F409" t="e" cm="1" vm="1">
        <f t="array" ref="F409">TRANSPOSE(_xlfn._xlws.FILTER(_xlfn.ANCHORARRAY($B$2),_xlfn.ANCHORARRAY($A$2)=$E409))</f>
        <v>#VALUE!</v>
      </c>
    </row>
    <row r="410" spans="6:6" x14ac:dyDescent="0.25">
      <c r="F410" t="e" cm="1" vm="1">
        <f t="array" ref="F410">TRANSPOSE(_xlfn._xlws.FILTER(_xlfn.ANCHORARRAY($B$2),_xlfn.ANCHORARRAY($A$2)=$E410))</f>
        <v>#VALUE!</v>
      </c>
    </row>
    <row r="411" spans="6:6" x14ac:dyDescent="0.25">
      <c r="F411" t="e" cm="1" vm="1">
        <f t="array" ref="F411">TRANSPOSE(_xlfn._xlws.FILTER(_xlfn.ANCHORARRAY($B$2),_xlfn.ANCHORARRAY($A$2)=$E411))</f>
        <v>#VALUE!</v>
      </c>
    </row>
    <row r="412" spans="6:6" x14ac:dyDescent="0.25">
      <c r="F412" t="e" cm="1" vm="1">
        <f t="array" ref="F412">TRANSPOSE(_xlfn._xlws.FILTER(_xlfn.ANCHORARRAY($B$2),_xlfn.ANCHORARRAY($A$2)=$E412))</f>
        <v>#VALUE!</v>
      </c>
    </row>
    <row r="413" spans="6:6" x14ac:dyDescent="0.25">
      <c r="F413" t="e" cm="1" vm="1">
        <f t="array" ref="F413">TRANSPOSE(_xlfn._xlws.FILTER(_xlfn.ANCHORARRAY($B$2),_xlfn.ANCHORARRAY($A$2)=$E413))</f>
        <v>#VALUE!</v>
      </c>
    </row>
    <row r="414" spans="6:6" x14ac:dyDescent="0.25">
      <c r="F414" t="e" cm="1" vm="1">
        <f t="array" ref="F414">TRANSPOSE(_xlfn._xlws.FILTER(_xlfn.ANCHORARRAY($B$2),_xlfn.ANCHORARRAY($A$2)=$E414))</f>
        <v>#VALUE!</v>
      </c>
    </row>
    <row r="415" spans="6:6" x14ac:dyDescent="0.25">
      <c r="F415" t="e" cm="1" vm="1">
        <f t="array" ref="F415">TRANSPOSE(_xlfn._xlws.FILTER(_xlfn.ANCHORARRAY($B$2),_xlfn.ANCHORARRAY($A$2)=$E415))</f>
        <v>#VALUE!</v>
      </c>
    </row>
    <row r="416" spans="6:6" x14ac:dyDescent="0.25">
      <c r="F416" t="e" cm="1" vm="1">
        <f t="array" ref="F416">TRANSPOSE(_xlfn._xlws.FILTER(_xlfn.ANCHORARRAY($B$2),_xlfn.ANCHORARRAY($A$2)=$E416))</f>
        <v>#VALUE!</v>
      </c>
    </row>
    <row r="417" spans="6:6" x14ac:dyDescent="0.25">
      <c r="F417" t="e" cm="1" vm="1">
        <f t="array" ref="F417">TRANSPOSE(_xlfn._xlws.FILTER(_xlfn.ANCHORARRAY($B$2),_xlfn.ANCHORARRAY($A$2)=$E417))</f>
        <v>#VALUE!</v>
      </c>
    </row>
    <row r="418" spans="6:6" x14ac:dyDescent="0.25">
      <c r="F418" t="e" cm="1" vm="1">
        <f t="array" ref="F418">TRANSPOSE(_xlfn._xlws.FILTER(_xlfn.ANCHORARRAY($B$2),_xlfn.ANCHORARRAY($A$2)=$E418))</f>
        <v>#VALUE!</v>
      </c>
    </row>
    <row r="419" spans="6:6" x14ac:dyDescent="0.25">
      <c r="F419" t="e" cm="1" vm="1">
        <f t="array" ref="F419">TRANSPOSE(_xlfn._xlws.FILTER(_xlfn.ANCHORARRAY($B$2),_xlfn.ANCHORARRAY($A$2)=$E419))</f>
        <v>#VALUE!</v>
      </c>
    </row>
    <row r="420" spans="6:6" x14ac:dyDescent="0.25">
      <c r="F420" t="e" cm="1" vm="1">
        <f t="array" ref="F420">TRANSPOSE(_xlfn._xlws.FILTER(_xlfn.ANCHORARRAY($B$2),_xlfn.ANCHORARRAY($A$2)=$E420))</f>
        <v>#VALUE!</v>
      </c>
    </row>
    <row r="421" spans="6:6" x14ac:dyDescent="0.25">
      <c r="F421" t="e" cm="1" vm="1">
        <f t="array" ref="F421">TRANSPOSE(_xlfn._xlws.FILTER(_xlfn.ANCHORARRAY($B$2),_xlfn.ANCHORARRAY($A$2)=$E421))</f>
        <v>#VALUE!</v>
      </c>
    </row>
    <row r="422" spans="6:6" x14ac:dyDescent="0.25">
      <c r="F422" t="e" cm="1" vm="1">
        <f t="array" ref="F422">TRANSPOSE(_xlfn._xlws.FILTER(_xlfn.ANCHORARRAY($B$2),_xlfn.ANCHORARRAY($A$2)=$E422))</f>
        <v>#VALUE!</v>
      </c>
    </row>
    <row r="423" spans="6:6" x14ac:dyDescent="0.25">
      <c r="F423" t="e" cm="1" vm="1">
        <f t="array" ref="F423">TRANSPOSE(_xlfn._xlws.FILTER(_xlfn.ANCHORARRAY($B$2),_xlfn.ANCHORARRAY($A$2)=$E423))</f>
        <v>#VALUE!</v>
      </c>
    </row>
    <row r="424" spans="6:6" x14ac:dyDescent="0.25">
      <c r="F424" t="e" cm="1" vm="1">
        <f t="array" ref="F424">TRANSPOSE(_xlfn._xlws.FILTER(_xlfn.ANCHORARRAY($B$2),_xlfn.ANCHORARRAY($A$2)=$E424))</f>
        <v>#VALUE!</v>
      </c>
    </row>
    <row r="425" spans="6:6" x14ac:dyDescent="0.25">
      <c r="F425" t="e" cm="1" vm="1">
        <f t="array" ref="F425">TRANSPOSE(_xlfn._xlws.FILTER(_xlfn.ANCHORARRAY($B$2),_xlfn.ANCHORARRAY($A$2)=$E425))</f>
        <v>#VALUE!</v>
      </c>
    </row>
    <row r="426" spans="6:6" x14ac:dyDescent="0.25">
      <c r="F426" t="e" cm="1" vm="1">
        <f t="array" ref="F426">TRANSPOSE(_xlfn._xlws.FILTER(_xlfn.ANCHORARRAY($B$2),_xlfn.ANCHORARRAY($A$2)=$E426))</f>
        <v>#VALUE!</v>
      </c>
    </row>
    <row r="427" spans="6:6" x14ac:dyDescent="0.25">
      <c r="F427" t="e" cm="1" vm="1">
        <f t="array" ref="F427">TRANSPOSE(_xlfn._xlws.FILTER(_xlfn.ANCHORARRAY($B$2),_xlfn.ANCHORARRAY($A$2)=$E427))</f>
        <v>#VALUE!</v>
      </c>
    </row>
    <row r="428" spans="6:6" x14ac:dyDescent="0.25">
      <c r="F428" t="e" cm="1" vm="1">
        <f t="array" ref="F428">TRANSPOSE(_xlfn._xlws.FILTER(_xlfn.ANCHORARRAY($B$2),_xlfn.ANCHORARRAY($A$2)=$E428))</f>
        <v>#VALUE!</v>
      </c>
    </row>
    <row r="429" spans="6:6" x14ac:dyDescent="0.25">
      <c r="F429" t="e" cm="1" vm="1">
        <f t="array" ref="F429">TRANSPOSE(_xlfn._xlws.FILTER(_xlfn.ANCHORARRAY($B$2),_xlfn.ANCHORARRAY($A$2)=$E429))</f>
        <v>#VALUE!</v>
      </c>
    </row>
    <row r="430" spans="6:6" x14ac:dyDescent="0.25">
      <c r="F430" t="e" cm="1" vm="1">
        <f t="array" ref="F430">TRANSPOSE(_xlfn._xlws.FILTER(_xlfn.ANCHORARRAY($B$2),_xlfn.ANCHORARRAY($A$2)=$E430))</f>
        <v>#VALUE!</v>
      </c>
    </row>
    <row r="431" spans="6:6" x14ac:dyDescent="0.25">
      <c r="F431" t="e" cm="1" vm="1">
        <f t="array" ref="F431">TRANSPOSE(_xlfn._xlws.FILTER(_xlfn.ANCHORARRAY($B$2),_xlfn.ANCHORARRAY($A$2)=$E431))</f>
        <v>#VALUE!</v>
      </c>
    </row>
    <row r="432" spans="6:6" x14ac:dyDescent="0.25">
      <c r="F432" t="e" cm="1" vm="1">
        <f t="array" ref="F432">TRANSPOSE(_xlfn._xlws.FILTER(_xlfn.ANCHORARRAY($B$2),_xlfn.ANCHORARRAY($A$2)=$E432))</f>
        <v>#VALUE!</v>
      </c>
    </row>
    <row r="433" spans="6:6" x14ac:dyDescent="0.25">
      <c r="F433" t="e" cm="1" vm="1">
        <f t="array" ref="F433">TRANSPOSE(_xlfn._xlws.FILTER(_xlfn.ANCHORARRAY($B$2),_xlfn.ANCHORARRAY($A$2)=$E433))</f>
        <v>#VALUE!</v>
      </c>
    </row>
    <row r="434" spans="6:6" x14ac:dyDescent="0.25">
      <c r="F434" t="e" cm="1" vm="1">
        <f t="array" ref="F434">TRANSPOSE(_xlfn._xlws.FILTER(_xlfn.ANCHORARRAY($B$2),_xlfn.ANCHORARRAY($A$2)=$E434))</f>
        <v>#VALUE!</v>
      </c>
    </row>
    <row r="435" spans="6:6" x14ac:dyDescent="0.25">
      <c r="F435" t="e" cm="1" vm="1">
        <f t="array" ref="F435">TRANSPOSE(_xlfn._xlws.FILTER(_xlfn.ANCHORARRAY($B$2),_xlfn.ANCHORARRAY($A$2)=$E435))</f>
        <v>#VALUE!</v>
      </c>
    </row>
    <row r="436" spans="6:6" x14ac:dyDescent="0.25">
      <c r="F436" t="e" cm="1" vm="1">
        <f t="array" ref="F436">TRANSPOSE(_xlfn._xlws.FILTER(_xlfn.ANCHORARRAY($B$2),_xlfn.ANCHORARRAY($A$2)=$E436))</f>
        <v>#VALUE!</v>
      </c>
    </row>
    <row r="437" spans="6:6" x14ac:dyDescent="0.25">
      <c r="F437" t="e" cm="1" vm="1">
        <f t="array" ref="F437">TRANSPOSE(_xlfn._xlws.FILTER(_xlfn.ANCHORARRAY($B$2),_xlfn.ANCHORARRAY($A$2)=$E437))</f>
        <v>#VALUE!</v>
      </c>
    </row>
    <row r="438" spans="6:6" x14ac:dyDescent="0.25">
      <c r="F438" t="e" cm="1" vm="1">
        <f t="array" ref="F438">TRANSPOSE(_xlfn._xlws.FILTER(_xlfn.ANCHORARRAY($B$2),_xlfn.ANCHORARRAY($A$2)=$E438))</f>
        <v>#VALUE!</v>
      </c>
    </row>
    <row r="439" spans="6:6" x14ac:dyDescent="0.25">
      <c r="F439" t="e" cm="1" vm="1">
        <f t="array" ref="F439">TRANSPOSE(_xlfn._xlws.FILTER(_xlfn.ANCHORARRAY($B$2),_xlfn.ANCHORARRAY($A$2)=$E439))</f>
        <v>#VALUE!</v>
      </c>
    </row>
    <row r="440" spans="6:6" x14ac:dyDescent="0.25">
      <c r="F440" t="e" cm="1" vm="1">
        <f t="array" ref="F440">TRANSPOSE(_xlfn._xlws.FILTER(_xlfn.ANCHORARRAY($B$2),_xlfn.ANCHORARRAY($A$2)=$E440))</f>
        <v>#VALUE!</v>
      </c>
    </row>
    <row r="441" spans="6:6" x14ac:dyDescent="0.25">
      <c r="F441" t="e" cm="1" vm="1">
        <f t="array" ref="F441">TRANSPOSE(_xlfn._xlws.FILTER(_xlfn.ANCHORARRAY($B$2),_xlfn.ANCHORARRAY($A$2)=$E441))</f>
        <v>#VALUE!</v>
      </c>
    </row>
    <row r="442" spans="6:6" x14ac:dyDescent="0.25">
      <c r="F442" t="e" cm="1" vm="1">
        <f t="array" ref="F442">TRANSPOSE(_xlfn._xlws.FILTER(_xlfn.ANCHORARRAY($B$2),_xlfn.ANCHORARRAY($A$2)=$E442))</f>
        <v>#VALUE!</v>
      </c>
    </row>
    <row r="443" spans="6:6" x14ac:dyDescent="0.25">
      <c r="F443" t="e" cm="1" vm="1">
        <f t="array" ref="F443">TRANSPOSE(_xlfn._xlws.FILTER(_xlfn.ANCHORARRAY($B$2),_xlfn.ANCHORARRAY($A$2)=$E443))</f>
        <v>#VALUE!</v>
      </c>
    </row>
    <row r="444" spans="6:6" x14ac:dyDescent="0.25">
      <c r="F444" t="e" cm="1" vm="1">
        <f t="array" ref="F444">TRANSPOSE(_xlfn._xlws.FILTER(_xlfn.ANCHORARRAY($B$2),_xlfn.ANCHORARRAY($A$2)=$E444))</f>
        <v>#VALUE!</v>
      </c>
    </row>
    <row r="445" spans="6:6" x14ac:dyDescent="0.25">
      <c r="F445" t="e" cm="1" vm="1">
        <f t="array" ref="F445">TRANSPOSE(_xlfn._xlws.FILTER(_xlfn.ANCHORARRAY($B$2),_xlfn.ANCHORARRAY($A$2)=$E445))</f>
        <v>#VALUE!</v>
      </c>
    </row>
    <row r="446" spans="6:6" x14ac:dyDescent="0.25">
      <c r="F446" t="e" cm="1" vm="1">
        <f t="array" ref="F446">TRANSPOSE(_xlfn._xlws.FILTER(_xlfn.ANCHORARRAY($B$2),_xlfn.ANCHORARRAY($A$2)=$E446))</f>
        <v>#VALUE!</v>
      </c>
    </row>
    <row r="447" spans="6:6" x14ac:dyDescent="0.25">
      <c r="F447" t="e" cm="1" vm="1">
        <f t="array" ref="F447">TRANSPOSE(_xlfn._xlws.FILTER(_xlfn.ANCHORARRAY($B$2),_xlfn.ANCHORARRAY($A$2)=$E447))</f>
        <v>#VALUE!</v>
      </c>
    </row>
    <row r="448" spans="6:6" x14ac:dyDescent="0.25">
      <c r="F448" t="e" cm="1" vm="1">
        <f t="array" ref="F448">TRANSPOSE(_xlfn._xlws.FILTER(_xlfn.ANCHORARRAY($B$2),_xlfn.ANCHORARRAY($A$2)=$E448))</f>
        <v>#VALUE!</v>
      </c>
    </row>
    <row r="449" spans="6:6" x14ac:dyDescent="0.25">
      <c r="F449" t="e" cm="1" vm="1">
        <f t="array" ref="F449">TRANSPOSE(_xlfn._xlws.FILTER(_xlfn.ANCHORARRAY($B$2),_xlfn.ANCHORARRAY($A$2)=$E449))</f>
        <v>#VALUE!</v>
      </c>
    </row>
    <row r="450" spans="6:6" x14ac:dyDescent="0.25">
      <c r="F450" t="e" cm="1" vm="1">
        <f t="array" ref="F450">TRANSPOSE(_xlfn._xlws.FILTER(_xlfn.ANCHORARRAY($B$2),_xlfn.ANCHORARRAY($A$2)=$E450))</f>
        <v>#VALUE!</v>
      </c>
    </row>
    <row r="451" spans="6:6" x14ac:dyDescent="0.25">
      <c r="F451" t="e" cm="1" vm="1">
        <f t="array" ref="F451">TRANSPOSE(_xlfn._xlws.FILTER(_xlfn.ANCHORARRAY($B$2),_xlfn.ANCHORARRAY($A$2)=$E451))</f>
        <v>#VALUE!</v>
      </c>
    </row>
    <row r="452" spans="6:6" x14ac:dyDescent="0.25">
      <c r="F452" t="e" cm="1" vm="1">
        <f t="array" ref="F452">TRANSPOSE(_xlfn._xlws.FILTER(_xlfn.ANCHORARRAY($B$2),_xlfn.ANCHORARRAY($A$2)=$E452))</f>
        <v>#VALUE!</v>
      </c>
    </row>
    <row r="453" spans="6:6" x14ac:dyDescent="0.25">
      <c r="F453" t="e" cm="1" vm="1">
        <f t="array" ref="F453">TRANSPOSE(_xlfn._xlws.FILTER(_xlfn.ANCHORARRAY($B$2),_xlfn.ANCHORARRAY($A$2)=$E453))</f>
        <v>#VALUE!</v>
      </c>
    </row>
    <row r="454" spans="6:6" x14ac:dyDescent="0.25">
      <c r="F454" t="e" cm="1" vm="1">
        <f t="array" ref="F454">TRANSPOSE(_xlfn._xlws.FILTER(_xlfn.ANCHORARRAY($B$2),_xlfn.ANCHORARRAY($A$2)=$E454))</f>
        <v>#VALUE!</v>
      </c>
    </row>
    <row r="455" spans="6:6" x14ac:dyDescent="0.25">
      <c r="F455" t="e" cm="1" vm="1">
        <f t="array" ref="F455">TRANSPOSE(_xlfn._xlws.FILTER(_xlfn.ANCHORARRAY($B$2),_xlfn.ANCHORARRAY($A$2)=$E455))</f>
        <v>#VALUE!</v>
      </c>
    </row>
    <row r="456" spans="6:6" x14ac:dyDescent="0.25">
      <c r="F456" t="e" cm="1" vm="1">
        <f t="array" ref="F456">TRANSPOSE(_xlfn._xlws.FILTER(_xlfn.ANCHORARRAY($B$2),_xlfn.ANCHORARRAY($A$2)=$E456))</f>
        <v>#VALUE!</v>
      </c>
    </row>
    <row r="457" spans="6:6" x14ac:dyDescent="0.25">
      <c r="F457" t="e" cm="1" vm="1">
        <f t="array" ref="F457">TRANSPOSE(_xlfn._xlws.FILTER(_xlfn.ANCHORARRAY($B$2),_xlfn.ANCHORARRAY($A$2)=$E457))</f>
        <v>#VALUE!</v>
      </c>
    </row>
    <row r="458" spans="6:6" x14ac:dyDescent="0.25">
      <c r="F458" t="e" cm="1" vm="1">
        <f t="array" ref="F458">TRANSPOSE(_xlfn._xlws.FILTER(_xlfn.ANCHORARRAY($B$2),_xlfn.ANCHORARRAY($A$2)=$E458))</f>
        <v>#VALUE!</v>
      </c>
    </row>
    <row r="459" spans="6:6" x14ac:dyDescent="0.25">
      <c r="F459" t="e" cm="1" vm="1">
        <f t="array" ref="F459">TRANSPOSE(_xlfn._xlws.FILTER(_xlfn.ANCHORARRAY($B$2),_xlfn.ANCHORARRAY($A$2)=$E459))</f>
        <v>#VALUE!</v>
      </c>
    </row>
    <row r="460" spans="6:6" x14ac:dyDescent="0.25">
      <c r="F460" t="e" cm="1" vm="1">
        <f t="array" ref="F460">TRANSPOSE(_xlfn._xlws.FILTER(_xlfn.ANCHORARRAY($B$2),_xlfn.ANCHORARRAY($A$2)=$E460))</f>
        <v>#VALUE!</v>
      </c>
    </row>
    <row r="461" spans="6:6" x14ac:dyDescent="0.25">
      <c r="F461" t="e" cm="1" vm="1">
        <f t="array" ref="F461">TRANSPOSE(_xlfn._xlws.FILTER(_xlfn.ANCHORARRAY($B$2),_xlfn.ANCHORARRAY($A$2)=$E461))</f>
        <v>#VALUE!</v>
      </c>
    </row>
    <row r="462" spans="6:6" x14ac:dyDescent="0.25">
      <c r="F462" t="e" cm="1" vm="1">
        <f t="array" ref="F462">TRANSPOSE(_xlfn._xlws.FILTER(_xlfn.ANCHORARRAY($B$2),_xlfn.ANCHORARRAY($A$2)=$E462))</f>
        <v>#VALUE!</v>
      </c>
    </row>
    <row r="463" spans="6:6" x14ac:dyDescent="0.25">
      <c r="F463" t="e" cm="1" vm="1">
        <f t="array" ref="F463">TRANSPOSE(_xlfn._xlws.FILTER(_xlfn.ANCHORARRAY($B$2),_xlfn.ANCHORARRAY($A$2)=$E463))</f>
        <v>#VALUE!</v>
      </c>
    </row>
    <row r="464" spans="6:6" x14ac:dyDescent="0.25">
      <c r="F464" t="e" cm="1" vm="1">
        <f t="array" ref="F464">TRANSPOSE(_xlfn._xlws.FILTER(_xlfn.ANCHORARRAY($B$2),_xlfn.ANCHORARRAY($A$2)=$E464))</f>
        <v>#VALUE!</v>
      </c>
    </row>
    <row r="465" spans="6:6" x14ac:dyDescent="0.25">
      <c r="F465" t="e" cm="1" vm="1">
        <f t="array" ref="F465">TRANSPOSE(_xlfn._xlws.FILTER(_xlfn.ANCHORARRAY($B$2),_xlfn.ANCHORARRAY($A$2)=$E465))</f>
        <v>#VALUE!</v>
      </c>
    </row>
    <row r="466" spans="6:6" x14ac:dyDescent="0.25">
      <c r="F466" t="e" cm="1" vm="1">
        <f t="array" ref="F466">TRANSPOSE(_xlfn._xlws.FILTER(_xlfn.ANCHORARRAY($B$2),_xlfn.ANCHORARRAY($A$2)=$E466))</f>
        <v>#VALUE!</v>
      </c>
    </row>
    <row r="467" spans="6:6" x14ac:dyDescent="0.25">
      <c r="F467" t="e" cm="1" vm="1">
        <f t="array" ref="F467">TRANSPOSE(_xlfn._xlws.FILTER(_xlfn.ANCHORARRAY($B$2),_xlfn.ANCHORARRAY($A$2)=$E467))</f>
        <v>#VALUE!</v>
      </c>
    </row>
    <row r="468" spans="6:6" x14ac:dyDescent="0.25">
      <c r="F468" t="e" cm="1" vm="1">
        <f t="array" ref="F468">TRANSPOSE(_xlfn._xlws.FILTER(_xlfn.ANCHORARRAY($B$2),_xlfn.ANCHORARRAY($A$2)=$E468))</f>
        <v>#VALUE!</v>
      </c>
    </row>
    <row r="469" spans="6:6" x14ac:dyDescent="0.25">
      <c r="F469" t="e" cm="1" vm="1">
        <f t="array" ref="F469">TRANSPOSE(_xlfn._xlws.FILTER(_xlfn.ANCHORARRAY($B$2),_xlfn.ANCHORARRAY($A$2)=$E469))</f>
        <v>#VALUE!</v>
      </c>
    </row>
    <row r="470" spans="6:6" x14ac:dyDescent="0.25">
      <c r="F470" t="e" cm="1" vm="1">
        <f t="array" ref="F470">TRANSPOSE(_xlfn._xlws.FILTER(_xlfn.ANCHORARRAY($B$2),_xlfn.ANCHORARRAY($A$2)=$E470))</f>
        <v>#VALUE!</v>
      </c>
    </row>
    <row r="471" spans="6:6" x14ac:dyDescent="0.25">
      <c r="F471" t="e" cm="1" vm="1">
        <f t="array" ref="F471">TRANSPOSE(_xlfn._xlws.FILTER(_xlfn.ANCHORARRAY($B$2),_xlfn.ANCHORARRAY($A$2)=$E471))</f>
        <v>#VALUE!</v>
      </c>
    </row>
    <row r="472" spans="6:6" x14ac:dyDescent="0.25">
      <c r="F472" t="e" cm="1" vm="1">
        <f t="array" ref="F472">TRANSPOSE(_xlfn._xlws.FILTER(_xlfn.ANCHORARRAY($B$2),_xlfn.ANCHORARRAY($A$2)=$E472))</f>
        <v>#VALUE!</v>
      </c>
    </row>
    <row r="473" spans="6:6" x14ac:dyDescent="0.25">
      <c r="F473" t="e" cm="1" vm="1">
        <f t="array" ref="F473">TRANSPOSE(_xlfn._xlws.FILTER(_xlfn.ANCHORARRAY($B$2),_xlfn.ANCHORARRAY($A$2)=$E473))</f>
        <v>#VALUE!</v>
      </c>
    </row>
    <row r="474" spans="6:6" x14ac:dyDescent="0.25">
      <c r="F474" t="e" cm="1" vm="1">
        <f t="array" ref="F474">TRANSPOSE(_xlfn._xlws.FILTER(_xlfn.ANCHORARRAY($B$2),_xlfn.ANCHORARRAY($A$2)=$E474))</f>
        <v>#VALUE!</v>
      </c>
    </row>
    <row r="475" spans="6:6" x14ac:dyDescent="0.25">
      <c r="F475" t="e" cm="1" vm="1">
        <f t="array" ref="F475">TRANSPOSE(_xlfn._xlws.FILTER(_xlfn.ANCHORARRAY($B$2),_xlfn.ANCHORARRAY($A$2)=$E475))</f>
        <v>#VALUE!</v>
      </c>
    </row>
    <row r="476" spans="6:6" x14ac:dyDescent="0.25">
      <c r="F476" t="e" cm="1" vm="1">
        <f t="array" ref="F476">TRANSPOSE(_xlfn._xlws.FILTER(_xlfn.ANCHORARRAY($B$2),_xlfn.ANCHORARRAY($A$2)=$E476))</f>
        <v>#VALUE!</v>
      </c>
    </row>
    <row r="477" spans="6:6" x14ac:dyDescent="0.25">
      <c r="F477" t="e" cm="1" vm="1">
        <f t="array" ref="F477">TRANSPOSE(_xlfn._xlws.FILTER(_xlfn.ANCHORARRAY($B$2),_xlfn.ANCHORARRAY($A$2)=$E477))</f>
        <v>#VALUE!</v>
      </c>
    </row>
    <row r="478" spans="6:6" x14ac:dyDescent="0.25">
      <c r="F478" t="e" cm="1" vm="1">
        <f t="array" ref="F478">TRANSPOSE(_xlfn._xlws.FILTER(_xlfn.ANCHORARRAY($B$2),_xlfn.ANCHORARRAY($A$2)=$E478))</f>
        <v>#VALUE!</v>
      </c>
    </row>
    <row r="479" spans="6:6" x14ac:dyDescent="0.25">
      <c r="F479" t="e" cm="1" vm="1">
        <f t="array" ref="F479">TRANSPOSE(_xlfn._xlws.FILTER(_xlfn.ANCHORARRAY($B$2),_xlfn.ANCHORARRAY($A$2)=$E479))</f>
        <v>#VALUE!</v>
      </c>
    </row>
    <row r="480" spans="6:6" x14ac:dyDescent="0.25">
      <c r="F480" t="e" cm="1" vm="1">
        <f t="array" ref="F480">TRANSPOSE(_xlfn._xlws.FILTER(_xlfn.ANCHORARRAY($B$2),_xlfn.ANCHORARRAY($A$2)=$E480))</f>
        <v>#VALUE!</v>
      </c>
    </row>
    <row r="481" spans="6:6" x14ac:dyDescent="0.25">
      <c r="F481" t="e" cm="1" vm="1">
        <f t="array" ref="F481">TRANSPOSE(_xlfn._xlws.FILTER(_xlfn.ANCHORARRAY($B$2),_xlfn.ANCHORARRAY($A$2)=$E481))</f>
        <v>#VALUE!</v>
      </c>
    </row>
    <row r="482" spans="6:6" x14ac:dyDescent="0.25">
      <c r="F482" t="e" cm="1" vm="1">
        <f t="array" ref="F482">TRANSPOSE(_xlfn._xlws.FILTER(_xlfn.ANCHORARRAY($B$2),_xlfn.ANCHORARRAY($A$2)=$E482))</f>
        <v>#VALUE!</v>
      </c>
    </row>
    <row r="483" spans="6:6" x14ac:dyDescent="0.25">
      <c r="F483" t="e" cm="1" vm="1">
        <f t="array" ref="F483">TRANSPOSE(_xlfn._xlws.FILTER(_xlfn.ANCHORARRAY($B$2),_xlfn.ANCHORARRAY($A$2)=$E483))</f>
        <v>#VALUE!</v>
      </c>
    </row>
    <row r="484" spans="6:6" x14ac:dyDescent="0.25">
      <c r="F484" t="e" cm="1" vm="1">
        <f t="array" ref="F484">TRANSPOSE(_xlfn._xlws.FILTER(_xlfn.ANCHORARRAY($B$2),_xlfn.ANCHORARRAY($A$2)=$E484))</f>
        <v>#VALUE!</v>
      </c>
    </row>
    <row r="485" spans="6:6" x14ac:dyDescent="0.25">
      <c r="F485" t="e" cm="1" vm="1">
        <f t="array" ref="F485">TRANSPOSE(_xlfn._xlws.FILTER(_xlfn.ANCHORARRAY($B$2),_xlfn.ANCHORARRAY($A$2)=$E485))</f>
        <v>#VALUE!</v>
      </c>
    </row>
    <row r="486" spans="6:6" x14ac:dyDescent="0.25">
      <c r="F486" t="e" cm="1" vm="1">
        <f t="array" ref="F486">TRANSPOSE(_xlfn._xlws.FILTER(_xlfn.ANCHORARRAY($B$2),_xlfn.ANCHORARRAY($A$2)=$E486))</f>
        <v>#VALUE!</v>
      </c>
    </row>
    <row r="487" spans="6:6" x14ac:dyDescent="0.25">
      <c r="F487" t="e" cm="1" vm="1">
        <f t="array" ref="F487">TRANSPOSE(_xlfn._xlws.FILTER(_xlfn.ANCHORARRAY($B$2),_xlfn.ANCHORARRAY($A$2)=$E487))</f>
        <v>#VALUE!</v>
      </c>
    </row>
    <row r="488" spans="6:6" x14ac:dyDescent="0.25">
      <c r="F488" t="e" cm="1" vm="1">
        <f t="array" ref="F488">TRANSPOSE(_xlfn._xlws.FILTER(_xlfn.ANCHORARRAY($B$2),_xlfn.ANCHORARRAY($A$2)=$E488))</f>
        <v>#VALUE!</v>
      </c>
    </row>
    <row r="489" spans="6:6" x14ac:dyDescent="0.25">
      <c r="F489" t="e" cm="1" vm="1">
        <f t="array" ref="F489">TRANSPOSE(_xlfn._xlws.FILTER(_xlfn.ANCHORARRAY($B$2),_xlfn.ANCHORARRAY($A$2)=$E489))</f>
        <v>#VALUE!</v>
      </c>
    </row>
    <row r="490" spans="6:6" x14ac:dyDescent="0.25">
      <c r="F490" t="e" cm="1" vm="1">
        <f t="array" ref="F490">TRANSPOSE(_xlfn._xlws.FILTER(_xlfn.ANCHORARRAY($B$2),_xlfn.ANCHORARRAY($A$2)=$E490))</f>
        <v>#VALUE!</v>
      </c>
    </row>
    <row r="491" spans="6:6" x14ac:dyDescent="0.25">
      <c r="F491" t="e" cm="1" vm="1">
        <f t="array" ref="F491">TRANSPOSE(_xlfn._xlws.FILTER(_xlfn.ANCHORARRAY($B$2),_xlfn.ANCHORARRAY($A$2)=$E491))</f>
        <v>#VALUE!</v>
      </c>
    </row>
    <row r="492" spans="6:6" x14ac:dyDescent="0.25">
      <c r="F492" t="e" cm="1" vm="1">
        <f t="array" ref="F492">TRANSPOSE(_xlfn._xlws.FILTER(_xlfn.ANCHORARRAY($B$2),_xlfn.ANCHORARRAY($A$2)=$E492))</f>
        <v>#VALUE!</v>
      </c>
    </row>
    <row r="493" spans="6:6" x14ac:dyDescent="0.25">
      <c r="F493" t="e" cm="1" vm="1">
        <f t="array" ref="F493">TRANSPOSE(_xlfn._xlws.FILTER(_xlfn.ANCHORARRAY($B$2),_xlfn.ANCHORARRAY($A$2)=$E493))</f>
        <v>#VALUE!</v>
      </c>
    </row>
    <row r="494" spans="6:6" x14ac:dyDescent="0.25">
      <c r="F494" t="e" cm="1" vm="1">
        <f t="array" ref="F494">TRANSPOSE(_xlfn._xlws.FILTER(_xlfn.ANCHORARRAY($B$2),_xlfn.ANCHORARRAY($A$2)=$E494))</f>
        <v>#VALUE!</v>
      </c>
    </row>
    <row r="495" spans="6:6" x14ac:dyDescent="0.25">
      <c r="F495" t="e" cm="1" vm="1">
        <f t="array" ref="F495">TRANSPOSE(_xlfn._xlws.FILTER(_xlfn.ANCHORARRAY($B$2),_xlfn.ANCHORARRAY($A$2)=$E495))</f>
        <v>#VALUE!</v>
      </c>
    </row>
    <row r="496" spans="6:6" x14ac:dyDescent="0.25">
      <c r="F496" t="e" cm="1" vm="1">
        <f t="array" ref="F496">TRANSPOSE(_xlfn._xlws.FILTER(_xlfn.ANCHORARRAY($B$2),_xlfn.ANCHORARRAY($A$2)=$E496))</f>
        <v>#VALUE!</v>
      </c>
    </row>
    <row r="497" spans="6:6" x14ac:dyDescent="0.25">
      <c r="F497" t="e" cm="1" vm="1">
        <f t="array" ref="F497">TRANSPOSE(_xlfn._xlws.FILTER(_xlfn.ANCHORARRAY($B$2),_xlfn.ANCHORARRAY($A$2)=$E497))</f>
        <v>#VALUE!</v>
      </c>
    </row>
    <row r="498" spans="6:6" x14ac:dyDescent="0.25">
      <c r="F498" t="e" cm="1" vm="1">
        <f t="array" ref="F498">TRANSPOSE(_xlfn._xlws.FILTER(_xlfn.ANCHORARRAY($B$2),_xlfn.ANCHORARRAY($A$2)=$E498))</f>
        <v>#VALUE!</v>
      </c>
    </row>
    <row r="499" spans="6:6" x14ac:dyDescent="0.25">
      <c r="F499" t="e" cm="1" vm="1">
        <f t="array" ref="F499">TRANSPOSE(_xlfn._xlws.FILTER(_xlfn.ANCHORARRAY($B$2),_xlfn.ANCHORARRAY($A$2)=$E499))</f>
        <v>#VALUE!</v>
      </c>
    </row>
    <row r="500" spans="6:6" x14ac:dyDescent="0.25">
      <c r="F500" t="e" cm="1" vm="1">
        <f t="array" ref="F500">TRANSPOSE(_xlfn._xlws.FILTER(_xlfn.ANCHORARRAY($B$2),_xlfn.ANCHORARRAY($A$2)=$E500))</f>
        <v>#VALUE!</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37722-62F8-40FA-B9A2-54E452D1826E}">
  <sheetPr codeName="Sheet10"/>
  <dimension ref="A1:BQ414"/>
  <sheetViews>
    <sheetView topLeftCell="J1" workbookViewId="0">
      <selection activeCell="L35" sqref="L35"/>
    </sheetView>
  </sheetViews>
  <sheetFormatPr defaultRowHeight="15" x14ac:dyDescent="0.25"/>
  <cols>
    <col min="1" max="1" width="31.28515625" bestFit="1" customWidth="1"/>
    <col min="2" max="2" width="39.7109375" bestFit="1" customWidth="1"/>
    <col min="3" max="3" width="22.5703125" bestFit="1" customWidth="1"/>
    <col min="4" max="4" width="161.5703125" bestFit="1" customWidth="1"/>
    <col min="5" max="5" width="8" customWidth="1"/>
    <col min="6" max="6" width="28.42578125" bestFit="1" customWidth="1"/>
    <col min="7" max="7" width="36.85546875" bestFit="1" customWidth="1"/>
    <col min="8" max="8" width="7.85546875" bestFit="1" customWidth="1"/>
    <col min="9" max="9" width="107.5703125" customWidth="1"/>
    <col min="11" max="11" width="27.140625" bestFit="1" customWidth="1"/>
    <col min="12" max="12" width="17.85546875" bestFit="1" customWidth="1"/>
    <col min="13" max="13" width="22.5703125" bestFit="1" customWidth="1"/>
    <col min="14" max="14" width="115.5703125" bestFit="1" customWidth="1"/>
    <col min="16" max="16" width="27.140625" bestFit="1" customWidth="1"/>
    <col min="17" max="17" width="12.85546875" bestFit="1" customWidth="1"/>
    <col min="18" max="18" width="19.85546875" bestFit="1" customWidth="1"/>
    <col min="19" max="19" width="84.140625" bestFit="1" customWidth="1"/>
    <col min="21" max="21" width="27.140625" bestFit="1" customWidth="1"/>
    <col min="22" max="22" width="16.140625" bestFit="1" customWidth="1"/>
    <col min="23" max="23" width="13.42578125" bestFit="1" customWidth="1"/>
    <col min="24" max="24" width="92" bestFit="1" customWidth="1"/>
    <col min="26" max="26" width="27.140625" bestFit="1" customWidth="1"/>
    <col min="27" max="27" width="12.85546875" bestFit="1" customWidth="1"/>
    <col min="28" max="28" width="13.42578125" bestFit="1" customWidth="1"/>
    <col min="29" max="29" width="92" bestFit="1" customWidth="1"/>
    <col min="31" max="31" width="27.140625" bestFit="1" customWidth="1"/>
    <col min="32" max="32" width="17.85546875" bestFit="1" customWidth="1"/>
    <col min="33" max="33" width="22.5703125" bestFit="1" customWidth="1"/>
    <col min="34" max="34" width="92" bestFit="1" customWidth="1"/>
    <col min="36" max="36" width="42.28515625" bestFit="1" customWidth="1"/>
    <col min="37" max="37" width="30.85546875" bestFit="1" customWidth="1"/>
    <col min="38" max="38" width="6.42578125" bestFit="1" customWidth="1"/>
    <col min="39" max="39" width="193.28515625" bestFit="1" customWidth="1"/>
    <col min="41" max="41" width="15.85546875" bestFit="1" customWidth="1"/>
    <col min="42" max="42" width="20.7109375" bestFit="1" customWidth="1"/>
    <col min="43" max="43" width="5.5703125" bestFit="1" customWidth="1"/>
    <col min="44" max="44" width="67.85546875" bestFit="1" customWidth="1"/>
    <col min="46" max="46" width="19" bestFit="1" customWidth="1"/>
    <col min="47" max="47" width="20.7109375" bestFit="1" customWidth="1"/>
    <col min="48" max="48" width="4.7109375" bestFit="1" customWidth="1"/>
    <col min="49" max="49" width="78.42578125" bestFit="1" customWidth="1"/>
    <col min="51" max="51" width="20.140625" bestFit="1" customWidth="1"/>
    <col min="52" max="52" width="20.7109375" bestFit="1" customWidth="1"/>
    <col min="53" max="53" width="4.7109375" bestFit="1" customWidth="1"/>
    <col min="54" max="54" width="44" bestFit="1" customWidth="1"/>
    <col min="56" max="56" width="15.85546875" bestFit="1" customWidth="1"/>
    <col min="57" max="57" width="20.7109375" bestFit="1" customWidth="1"/>
    <col min="58" max="58" width="4.7109375" bestFit="1" customWidth="1"/>
    <col min="59" max="59" width="66.5703125" bestFit="1" customWidth="1"/>
    <col min="61" max="62" width="32.85546875" bestFit="1" customWidth="1"/>
    <col min="63" max="63" width="4.7109375" bestFit="1" customWidth="1"/>
    <col min="64" max="64" width="125.42578125" bestFit="1" customWidth="1"/>
    <col min="66" max="67" width="38.42578125" bestFit="1" customWidth="1"/>
    <col min="68" max="68" width="4.7109375" bestFit="1" customWidth="1"/>
    <col min="69" max="69" width="141.7109375" bestFit="1" customWidth="1"/>
  </cols>
  <sheetData>
    <row r="1" spans="1:69" ht="15.75" thickBot="1" x14ac:dyDescent="0.3">
      <c r="A1" s="29" t="s">
        <v>272</v>
      </c>
      <c r="B1" s="30"/>
      <c r="C1" s="30"/>
      <c r="D1" s="31"/>
      <c r="E1" s="5"/>
      <c r="F1" s="29" t="s">
        <v>273</v>
      </c>
      <c r="G1" s="30"/>
      <c r="H1" s="30"/>
      <c r="I1" s="31"/>
      <c r="K1" s="29" t="s">
        <v>274</v>
      </c>
      <c r="L1" s="30"/>
      <c r="M1" s="30"/>
      <c r="N1" s="31"/>
      <c r="P1" s="29" t="s">
        <v>275</v>
      </c>
      <c r="Q1" s="30"/>
      <c r="R1" s="30"/>
      <c r="S1" s="31"/>
      <c r="U1" s="29" t="s">
        <v>276</v>
      </c>
      <c r="V1" s="30"/>
      <c r="W1" s="30"/>
      <c r="X1" s="31"/>
      <c r="Z1" s="29" t="s">
        <v>277</v>
      </c>
      <c r="AA1" s="30"/>
      <c r="AB1" s="30"/>
      <c r="AC1" s="31"/>
      <c r="AE1" s="29" t="s">
        <v>278</v>
      </c>
      <c r="AF1" s="30"/>
      <c r="AG1" s="30"/>
      <c r="AH1" s="31"/>
      <c r="AJ1" s="32" t="s">
        <v>279</v>
      </c>
      <c r="AK1" s="33"/>
      <c r="AL1" s="33"/>
      <c r="AM1" s="34"/>
      <c r="AO1" s="32" t="s">
        <v>280</v>
      </c>
      <c r="AP1" s="33"/>
      <c r="AQ1" s="33"/>
      <c r="AR1" s="34"/>
      <c r="AT1" s="32" t="s">
        <v>281</v>
      </c>
      <c r="AU1" s="33"/>
      <c r="AV1" s="33"/>
      <c r="AW1" s="34"/>
      <c r="AY1" s="32" t="s">
        <v>282</v>
      </c>
      <c r="AZ1" s="33"/>
      <c r="BA1" s="33"/>
      <c r="BB1" s="34"/>
      <c r="BD1" s="32" t="s">
        <v>283</v>
      </c>
      <c r="BE1" s="33"/>
      <c r="BF1" s="33"/>
      <c r="BG1" s="34"/>
      <c r="BI1" s="25" t="s">
        <v>284</v>
      </c>
      <c r="BJ1" s="26"/>
      <c r="BK1" s="26"/>
      <c r="BL1" s="27"/>
      <c r="BN1" s="25" t="s">
        <v>285</v>
      </c>
      <c r="BO1" s="26"/>
      <c r="BP1" s="26"/>
      <c r="BQ1" s="27"/>
    </row>
    <row r="2" spans="1:69" x14ac:dyDescent="0.25">
      <c r="A2" s="11" t="s">
        <v>246</v>
      </c>
      <c r="B2" s="12" t="s">
        <v>286</v>
      </c>
      <c r="C2" s="12" t="s">
        <v>287</v>
      </c>
      <c r="D2" s="13" t="s">
        <v>288</v>
      </c>
      <c r="F2" s="11" t="s">
        <v>246</v>
      </c>
      <c r="G2" s="12" t="s">
        <v>286</v>
      </c>
      <c r="H2" s="12" t="s">
        <v>287</v>
      </c>
      <c r="I2" s="13" t="s">
        <v>288</v>
      </c>
      <c r="K2" s="11" t="s">
        <v>246</v>
      </c>
      <c r="L2" s="12" t="s">
        <v>286</v>
      </c>
      <c r="M2" s="12" t="s">
        <v>287</v>
      </c>
      <c r="N2" s="13" t="s">
        <v>288</v>
      </c>
      <c r="P2" s="11" t="s">
        <v>246</v>
      </c>
      <c r="Q2" s="12" t="s">
        <v>286</v>
      </c>
      <c r="R2" s="12" t="s">
        <v>287</v>
      </c>
      <c r="S2" s="13" t="s">
        <v>288</v>
      </c>
      <c r="U2" s="11" t="s">
        <v>246</v>
      </c>
      <c r="V2" s="12" t="s">
        <v>286</v>
      </c>
      <c r="W2" s="12" t="s">
        <v>287</v>
      </c>
      <c r="X2" s="13" t="s">
        <v>288</v>
      </c>
      <c r="Z2" s="11" t="s">
        <v>246</v>
      </c>
      <c r="AA2" s="12" t="s">
        <v>286</v>
      </c>
      <c r="AB2" s="12" t="s">
        <v>287</v>
      </c>
      <c r="AC2" s="13" t="s">
        <v>288</v>
      </c>
      <c r="AE2" s="11" t="s">
        <v>246</v>
      </c>
      <c r="AF2" s="12" t="s">
        <v>286</v>
      </c>
      <c r="AG2" s="12" t="s">
        <v>287</v>
      </c>
      <c r="AH2" s="13" t="s">
        <v>288</v>
      </c>
      <c r="AJ2" s="11" t="s">
        <v>246</v>
      </c>
      <c r="AK2" s="12" t="s">
        <v>286</v>
      </c>
      <c r="AL2" s="12" t="s">
        <v>287</v>
      </c>
      <c r="AM2" s="13" t="s">
        <v>288</v>
      </c>
      <c r="AO2" s="11" t="s">
        <v>246</v>
      </c>
      <c r="AP2" s="12" t="s">
        <v>286</v>
      </c>
      <c r="AQ2" s="12" t="s">
        <v>287</v>
      </c>
      <c r="AR2" s="13" t="s">
        <v>288</v>
      </c>
      <c r="AT2" s="11" t="s">
        <v>246</v>
      </c>
      <c r="AU2" s="12" t="s">
        <v>286</v>
      </c>
      <c r="AV2" s="12" t="s">
        <v>287</v>
      </c>
      <c r="AW2" s="13" t="s">
        <v>288</v>
      </c>
      <c r="AY2" s="11" t="s">
        <v>246</v>
      </c>
      <c r="AZ2" s="12" t="s">
        <v>286</v>
      </c>
      <c r="BA2" s="12" t="s">
        <v>287</v>
      </c>
      <c r="BB2" s="13" t="s">
        <v>288</v>
      </c>
      <c r="BD2" s="11" t="s">
        <v>246</v>
      </c>
      <c r="BE2" s="12" t="s">
        <v>286</v>
      </c>
      <c r="BF2" s="12" t="s">
        <v>287</v>
      </c>
      <c r="BG2" s="13" t="s">
        <v>288</v>
      </c>
      <c r="BI2" s="11" t="s">
        <v>246</v>
      </c>
      <c r="BJ2" s="12" t="s">
        <v>286</v>
      </c>
      <c r="BK2" s="12" t="s">
        <v>287</v>
      </c>
      <c r="BL2" s="13" t="s">
        <v>288</v>
      </c>
      <c r="BN2" s="11" t="s">
        <v>246</v>
      </c>
      <c r="BO2" s="12" t="s">
        <v>286</v>
      </c>
      <c r="BP2" s="12" t="s">
        <v>287</v>
      </c>
      <c r="BQ2" s="13" t="s">
        <v>288</v>
      </c>
    </row>
    <row r="3" spans="1:69" x14ac:dyDescent="0.25">
      <c r="A3" s="2" t="s">
        <v>291</v>
      </c>
      <c r="B3" s="14" t="s">
        <v>291</v>
      </c>
      <c r="C3" s="14" t="s">
        <v>292</v>
      </c>
      <c r="D3" s="15" t="s">
        <v>293</v>
      </c>
      <c r="F3" s="19" t="s">
        <v>19</v>
      </c>
      <c r="G3" s="20" t="s">
        <v>19</v>
      </c>
      <c r="H3" s="20" t="s">
        <v>289</v>
      </c>
      <c r="I3" s="21" t="s">
        <v>290</v>
      </c>
      <c r="K3" s="2" t="s">
        <v>291</v>
      </c>
      <c r="L3" s="14" t="s">
        <v>291</v>
      </c>
      <c r="M3" s="14" t="s">
        <v>292</v>
      </c>
      <c r="N3" s="15" t="s">
        <v>295</v>
      </c>
      <c r="P3" s="2" t="s">
        <v>5</v>
      </c>
      <c r="Q3" s="14" t="s">
        <v>296</v>
      </c>
      <c r="R3" s="14" t="s">
        <v>177</v>
      </c>
      <c r="S3" s="15" t="s">
        <v>297</v>
      </c>
      <c r="U3" s="2" t="s">
        <v>5</v>
      </c>
      <c r="V3" s="14" t="s">
        <v>296</v>
      </c>
      <c r="W3" s="14" t="s">
        <v>177</v>
      </c>
      <c r="X3" s="15" t="s">
        <v>297</v>
      </c>
      <c r="Z3" s="2" t="s">
        <v>5</v>
      </c>
      <c r="AA3" s="14" t="s">
        <v>296</v>
      </c>
      <c r="AB3" s="14" t="s">
        <v>177</v>
      </c>
      <c r="AC3" s="15" t="s">
        <v>297</v>
      </c>
      <c r="AE3" s="2" t="s">
        <v>5</v>
      </c>
      <c r="AF3" s="14" t="s">
        <v>296</v>
      </c>
      <c r="AG3" s="14" t="s">
        <v>177</v>
      </c>
      <c r="AH3" s="15" t="s">
        <v>297</v>
      </c>
      <c r="AJ3" s="2" t="s">
        <v>291</v>
      </c>
      <c r="AK3" s="14" t="s">
        <v>291</v>
      </c>
      <c r="AL3" s="14" t="s">
        <v>292</v>
      </c>
      <c r="AM3" s="15" t="s">
        <v>298</v>
      </c>
      <c r="AO3" s="2" t="s">
        <v>291</v>
      </c>
      <c r="AP3" s="14" t="s">
        <v>291</v>
      </c>
      <c r="AQ3" s="14" t="s">
        <v>292</v>
      </c>
      <c r="AR3" s="15" t="s">
        <v>299</v>
      </c>
      <c r="AT3" s="2" t="s">
        <v>291</v>
      </c>
      <c r="AU3" s="14" t="s">
        <v>291</v>
      </c>
      <c r="AV3" s="14" t="s">
        <v>292</v>
      </c>
      <c r="AW3" s="15" t="s">
        <v>300</v>
      </c>
      <c r="AY3" s="2" t="s">
        <v>291</v>
      </c>
      <c r="AZ3" s="14" t="s">
        <v>291</v>
      </c>
      <c r="BA3" s="14" t="s">
        <v>292</v>
      </c>
      <c r="BB3" s="15" t="s">
        <v>301</v>
      </c>
      <c r="BD3" s="2" t="s">
        <v>291</v>
      </c>
      <c r="BE3" s="14" t="s">
        <v>291</v>
      </c>
      <c r="BF3" s="14" t="s">
        <v>292</v>
      </c>
      <c r="BG3" s="15" t="s">
        <v>302</v>
      </c>
      <c r="BI3" s="2" t="s">
        <v>20</v>
      </c>
      <c r="BJ3" s="14" t="s">
        <v>20</v>
      </c>
      <c r="BK3" s="14" t="s">
        <v>292</v>
      </c>
      <c r="BL3" s="15" t="s">
        <v>303</v>
      </c>
      <c r="BN3" s="2" t="s">
        <v>21</v>
      </c>
      <c r="BO3" s="14" t="s">
        <v>21</v>
      </c>
      <c r="BP3" s="14" t="s">
        <v>292</v>
      </c>
      <c r="BQ3" s="15" t="s">
        <v>304</v>
      </c>
    </row>
    <row r="4" spans="1:69" x14ac:dyDescent="0.25">
      <c r="A4" s="2" t="s">
        <v>305</v>
      </c>
      <c r="B4" s="14" t="s">
        <v>305</v>
      </c>
      <c r="C4" s="14" t="s">
        <v>292</v>
      </c>
      <c r="D4" s="15" t="s">
        <v>306</v>
      </c>
      <c r="F4" s="2" t="s">
        <v>22</v>
      </c>
      <c r="G4" s="14" t="s">
        <v>22</v>
      </c>
      <c r="H4" s="14" t="s">
        <v>289</v>
      </c>
      <c r="I4" s="15" t="s">
        <v>294</v>
      </c>
      <c r="K4" s="2" t="s">
        <v>305</v>
      </c>
      <c r="L4" s="14" t="s">
        <v>305</v>
      </c>
      <c r="M4" s="14" t="s">
        <v>292</v>
      </c>
      <c r="N4" s="15" t="s">
        <v>307</v>
      </c>
      <c r="P4" s="2" t="s">
        <v>23</v>
      </c>
      <c r="Q4" s="14" t="s">
        <v>308</v>
      </c>
      <c r="R4" s="14" t="s">
        <v>177</v>
      </c>
      <c r="S4" s="15" t="s">
        <v>309</v>
      </c>
      <c r="U4" s="2" t="s">
        <v>23</v>
      </c>
      <c r="V4" s="14" t="s">
        <v>308</v>
      </c>
      <c r="W4" s="14" t="s">
        <v>177</v>
      </c>
      <c r="X4" s="15" t="s">
        <v>310</v>
      </c>
      <c r="Z4" s="2" t="s">
        <v>23</v>
      </c>
      <c r="AA4" s="14" t="s">
        <v>308</v>
      </c>
      <c r="AB4" s="14" t="s">
        <v>177</v>
      </c>
      <c r="AC4" s="15" t="s">
        <v>310</v>
      </c>
      <c r="AE4" s="2" t="s">
        <v>23</v>
      </c>
      <c r="AF4" s="14" t="s">
        <v>308</v>
      </c>
      <c r="AG4" s="14" t="s">
        <v>177</v>
      </c>
      <c r="AH4" s="15" t="s">
        <v>310</v>
      </c>
      <c r="AJ4" s="2" t="s">
        <v>305</v>
      </c>
      <c r="AK4" s="14" t="s">
        <v>305</v>
      </c>
      <c r="AL4" s="14" t="s">
        <v>292</v>
      </c>
      <c r="AM4" s="15" t="s">
        <v>311</v>
      </c>
      <c r="AO4" s="2" t="s">
        <v>305</v>
      </c>
      <c r="AP4" s="14" t="s">
        <v>305</v>
      </c>
      <c r="AQ4" s="14" t="s">
        <v>292</v>
      </c>
      <c r="AR4" s="15" t="s">
        <v>312</v>
      </c>
      <c r="AT4" s="2" t="s">
        <v>305</v>
      </c>
      <c r="AU4" s="14" t="s">
        <v>305</v>
      </c>
      <c r="AV4" s="14" t="s">
        <v>292</v>
      </c>
      <c r="AW4" s="15" t="s">
        <v>313</v>
      </c>
      <c r="AY4" s="2" t="s">
        <v>305</v>
      </c>
      <c r="AZ4" s="14" t="s">
        <v>305</v>
      </c>
      <c r="BA4" s="14" t="s">
        <v>292</v>
      </c>
      <c r="BB4" s="15" t="s">
        <v>314</v>
      </c>
      <c r="BD4" s="2" t="s">
        <v>305</v>
      </c>
      <c r="BE4" s="14" t="s">
        <v>305</v>
      </c>
      <c r="BF4" s="14" t="s">
        <v>292</v>
      </c>
      <c r="BG4" s="15" t="s">
        <v>315</v>
      </c>
      <c r="BI4" s="2" t="s">
        <v>24</v>
      </c>
      <c r="BJ4" s="14" t="s">
        <v>24</v>
      </c>
      <c r="BK4" s="14" t="s">
        <v>292</v>
      </c>
      <c r="BL4" s="15" t="s">
        <v>316</v>
      </c>
      <c r="BN4" s="2" t="s">
        <v>317</v>
      </c>
      <c r="BO4" s="14" t="s">
        <v>317</v>
      </c>
      <c r="BP4" s="14" t="s">
        <v>292</v>
      </c>
      <c r="BQ4" s="15" t="s">
        <v>318</v>
      </c>
    </row>
    <row r="5" spans="1:69" x14ac:dyDescent="0.25">
      <c r="A5" s="2" t="s">
        <v>19</v>
      </c>
      <c r="B5" s="14" t="s">
        <v>19</v>
      </c>
      <c r="C5" s="14" t="s">
        <v>177</v>
      </c>
      <c r="D5" s="15" t="s">
        <v>290</v>
      </c>
      <c r="F5" s="2" t="s">
        <v>5</v>
      </c>
      <c r="G5" s="14" t="s">
        <v>296</v>
      </c>
      <c r="H5" s="14" t="s">
        <v>289</v>
      </c>
      <c r="I5" s="15" t="s">
        <v>297</v>
      </c>
      <c r="K5" s="2" t="s">
        <v>5</v>
      </c>
      <c r="L5" s="14" t="s">
        <v>296</v>
      </c>
      <c r="M5" s="14" t="s">
        <v>177</v>
      </c>
      <c r="N5" s="15" t="s">
        <v>297</v>
      </c>
      <c r="P5" s="2" t="s">
        <v>27</v>
      </c>
      <c r="Q5" s="14" t="s">
        <v>319</v>
      </c>
      <c r="R5" s="14" t="s">
        <v>177</v>
      </c>
      <c r="S5" s="15" t="s">
        <v>320</v>
      </c>
      <c r="U5" s="2" t="s">
        <v>27</v>
      </c>
      <c r="V5" s="14" t="s">
        <v>319</v>
      </c>
      <c r="W5" s="14" t="s">
        <v>177</v>
      </c>
      <c r="X5" s="15" t="s">
        <v>320</v>
      </c>
      <c r="Z5" s="2" t="s">
        <v>27</v>
      </c>
      <c r="AA5" s="14" t="s">
        <v>319</v>
      </c>
      <c r="AB5" s="14" t="s">
        <v>177</v>
      </c>
      <c r="AC5" s="15" t="s">
        <v>320</v>
      </c>
      <c r="AE5" s="2" t="s">
        <v>27</v>
      </c>
      <c r="AF5" s="14" t="s">
        <v>319</v>
      </c>
      <c r="AG5" s="14" t="s">
        <v>177</v>
      </c>
      <c r="AH5" s="15" t="s">
        <v>320</v>
      </c>
      <c r="AJ5" s="2" t="s">
        <v>321</v>
      </c>
      <c r="AK5" s="14" t="s">
        <v>322</v>
      </c>
      <c r="AL5" s="14" t="s">
        <v>292</v>
      </c>
      <c r="AM5" s="15" t="s">
        <v>323</v>
      </c>
      <c r="AO5" s="2" t="s">
        <v>321</v>
      </c>
      <c r="AP5" s="14" t="s">
        <v>322</v>
      </c>
      <c r="AQ5" s="14" t="s">
        <v>292</v>
      </c>
      <c r="AR5" s="15" t="s">
        <v>324</v>
      </c>
      <c r="AT5" s="2" t="s">
        <v>321</v>
      </c>
      <c r="AU5" s="14" t="s">
        <v>322</v>
      </c>
      <c r="AV5" s="14" t="s">
        <v>292</v>
      </c>
      <c r="AW5" s="15" t="s">
        <v>325</v>
      </c>
      <c r="AY5" s="2" t="s">
        <v>321</v>
      </c>
      <c r="AZ5" s="14" t="s">
        <v>322</v>
      </c>
      <c r="BA5" s="14" t="s">
        <v>292</v>
      </c>
      <c r="BB5" s="15" t="s">
        <v>326</v>
      </c>
      <c r="BD5" s="2" t="s">
        <v>321</v>
      </c>
      <c r="BE5" s="14" t="s">
        <v>322</v>
      </c>
      <c r="BF5" s="14" t="s">
        <v>292</v>
      </c>
      <c r="BG5" s="15" t="s">
        <v>327</v>
      </c>
      <c r="BI5" s="2" t="s">
        <v>25</v>
      </c>
      <c r="BJ5" s="14" t="s">
        <v>25</v>
      </c>
      <c r="BK5" s="14" t="s">
        <v>292</v>
      </c>
      <c r="BL5" s="15" t="s">
        <v>328</v>
      </c>
      <c r="BN5" s="2" t="s">
        <v>26</v>
      </c>
      <c r="BO5" s="14" t="s">
        <v>26</v>
      </c>
      <c r="BP5" s="14" t="s">
        <v>292</v>
      </c>
      <c r="BQ5" s="15" t="s">
        <v>329</v>
      </c>
    </row>
    <row r="6" spans="1:69" x14ac:dyDescent="0.25">
      <c r="A6" s="2" t="s">
        <v>22</v>
      </c>
      <c r="B6" s="14" t="s">
        <v>22</v>
      </c>
      <c r="C6" s="14" t="s">
        <v>177</v>
      </c>
      <c r="D6" s="15" t="s">
        <v>294</v>
      </c>
      <c r="F6" s="2" t="s">
        <v>23</v>
      </c>
      <c r="G6" s="14" t="s">
        <v>308</v>
      </c>
      <c r="H6" s="14" t="s">
        <v>289</v>
      </c>
      <c r="I6" s="15" t="s">
        <v>310</v>
      </c>
      <c r="K6" s="2" t="s">
        <v>23</v>
      </c>
      <c r="L6" s="14" t="s">
        <v>308</v>
      </c>
      <c r="M6" s="14" t="s">
        <v>177</v>
      </c>
      <c r="N6" s="15" t="s">
        <v>310</v>
      </c>
      <c r="P6" s="2" t="s">
        <v>30</v>
      </c>
      <c r="Q6" s="14" t="s">
        <v>330</v>
      </c>
      <c r="R6" s="14" t="s">
        <v>177</v>
      </c>
      <c r="S6" s="15" t="s">
        <v>331</v>
      </c>
      <c r="U6" s="2" t="s">
        <v>30</v>
      </c>
      <c r="V6" s="14" t="s">
        <v>330</v>
      </c>
      <c r="W6" s="14" t="s">
        <v>177</v>
      </c>
      <c r="X6" s="15" t="s">
        <v>331</v>
      </c>
      <c r="Z6" s="2" t="s">
        <v>30</v>
      </c>
      <c r="AA6" s="14" t="s">
        <v>330</v>
      </c>
      <c r="AB6" s="14" t="s">
        <v>177</v>
      </c>
      <c r="AC6" s="15" t="s">
        <v>331</v>
      </c>
      <c r="AE6" s="2" t="s">
        <v>30</v>
      </c>
      <c r="AF6" s="14" t="s">
        <v>330</v>
      </c>
      <c r="AG6" s="14" t="s">
        <v>177</v>
      </c>
      <c r="AH6" s="15" t="s">
        <v>331</v>
      </c>
      <c r="AJ6" s="2" t="s">
        <v>332</v>
      </c>
      <c r="AK6" s="14" t="s">
        <v>332</v>
      </c>
      <c r="AL6" s="14" t="s">
        <v>292</v>
      </c>
      <c r="AM6" s="15" t="s">
        <v>333</v>
      </c>
      <c r="AO6" s="2" t="s">
        <v>332</v>
      </c>
      <c r="AP6" s="14" t="s">
        <v>332</v>
      </c>
      <c r="AQ6" s="14" t="s">
        <v>292</v>
      </c>
      <c r="AR6" s="15" t="s">
        <v>334</v>
      </c>
      <c r="AT6" s="2" t="s">
        <v>332</v>
      </c>
      <c r="AU6" s="14" t="s">
        <v>332</v>
      </c>
      <c r="AV6" s="14" t="s">
        <v>292</v>
      </c>
      <c r="AW6" s="15" t="s">
        <v>335</v>
      </c>
      <c r="AY6" s="2" t="s">
        <v>332</v>
      </c>
      <c r="AZ6" s="14" t="s">
        <v>332</v>
      </c>
      <c r="BA6" s="14" t="s">
        <v>292</v>
      </c>
      <c r="BB6" s="15" t="s">
        <v>336</v>
      </c>
      <c r="BD6" s="2" t="s">
        <v>332</v>
      </c>
      <c r="BE6" s="14" t="s">
        <v>332</v>
      </c>
      <c r="BF6" s="14" t="s">
        <v>292</v>
      </c>
      <c r="BG6" s="15" t="s">
        <v>337</v>
      </c>
      <c r="BI6" s="2" t="s">
        <v>28</v>
      </c>
      <c r="BJ6" s="14" t="s">
        <v>28</v>
      </c>
      <c r="BK6" s="14" t="s">
        <v>292</v>
      </c>
      <c r="BL6" s="15" t="s">
        <v>338</v>
      </c>
      <c r="BN6" s="2" t="s">
        <v>29</v>
      </c>
      <c r="BO6" s="14" t="s">
        <v>29</v>
      </c>
      <c r="BP6" s="14" t="s">
        <v>292</v>
      </c>
      <c r="BQ6" s="15" t="s">
        <v>339</v>
      </c>
    </row>
    <row r="7" spans="1:69" x14ac:dyDescent="0.25">
      <c r="A7" s="2" t="s">
        <v>5</v>
      </c>
      <c r="B7" s="14" t="s">
        <v>296</v>
      </c>
      <c r="C7" s="14" t="s">
        <v>177</v>
      </c>
      <c r="D7" s="15" t="s">
        <v>297</v>
      </c>
      <c r="F7" s="2" t="s">
        <v>27</v>
      </c>
      <c r="G7" s="14" t="s">
        <v>319</v>
      </c>
      <c r="H7" s="14" t="s">
        <v>289</v>
      </c>
      <c r="I7" s="15" t="s">
        <v>320</v>
      </c>
      <c r="K7" s="2" t="s">
        <v>27</v>
      </c>
      <c r="L7" s="14" t="s">
        <v>319</v>
      </c>
      <c r="M7" s="14" t="s">
        <v>177</v>
      </c>
      <c r="N7" s="15" t="s">
        <v>320</v>
      </c>
      <c r="P7" s="2" t="s">
        <v>33</v>
      </c>
      <c r="Q7" s="14" t="s">
        <v>340</v>
      </c>
      <c r="R7" s="14" t="s">
        <v>177</v>
      </c>
      <c r="S7" s="15" t="s">
        <v>341</v>
      </c>
      <c r="U7" s="2" t="s">
        <v>33</v>
      </c>
      <c r="V7" s="14" t="s">
        <v>340</v>
      </c>
      <c r="W7" s="14" t="s">
        <v>177</v>
      </c>
      <c r="X7" s="15" t="s">
        <v>341</v>
      </c>
      <c r="Z7" s="2" t="s">
        <v>33</v>
      </c>
      <c r="AA7" s="14" t="s">
        <v>340</v>
      </c>
      <c r="AB7" s="14" t="s">
        <v>177</v>
      </c>
      <c r="AC7" s="15" t="s">
        <v>341</v>
      </c>
      <c r="AE7" s="2" t="s">
        <v>33</v>
      </c>
      <c r="AF7" s="14" t="s">
        <v>340</v>
      </c>
      <c r="AG7" s="14" t="s">
        <v>177</v>
      </c>
      <c r="AH7" s="15" t="s">
        <v>341</v>
      </c>
      <c r="AJ7" s="2" t="s">
        <v>342</v>
      </c>
      <c r="AK7" s="14" t="s">
        <v>343</v>
      </c>
      <c r="AL7" s="14" t="s">
        <v>292</v>
      </c>
      <c r="AM7" s="15" t="s">
        <v>344</v>
      </c>
      <c r="AO7" s="2" t="s">
        <v>342</v>
      </c>
      <c r="AP7" s="14" t="s">
        <v>343</v>
      </c>
      <c r="AQ7" s="14" t="s">
        <v>292</v>
      </c>
      <c r="AR7" s="15" t="s">
        <v>345</v>
      </c>
      <c r="AT7" s="2" t="s">
        <v>342</v>
      </c>
      <c r="AU7" s="14" t="s">
        <v>343</v>
      </c>
      <c r="AV7" s="14" t="s">
        <v>292</v>
      </c>
      <c r="AW7" s="15" t="s">
        <v>346</v>
      </c>
      <c r="AY7" s="2" t="s">
        <v>342</v>
      </c>
      <c r="AZ7" s="14" t="s">
        <v>343</v>
      </c>
      <c r="BA7" s="14" t="s">
        <v>292</v>
      </c>
      <c r="BB7" s="15" t="s">
        <v>347</v>
      </c>
      <c r="BD7" s="2" t="s">
        <v>342</v>
      </c>
      <c r="BE7" s="14" t="s">
        <v>343</v>
      </c>
      <c r="BF7" s="14" t="s">
        <v>292</v>
      </c>
      <c r="BG7" s="15" t="s">
        <v>348</v>
      </c>
      <c r="BI7" s="2" t="s">
        <v>31</v>
      </c>
      <c r="BJ7" s="14" t="s">
        <v>31</v>
      </c>
      <c r="BK7" s="14" t="s">
        <v>292</v>
      </c>
      <c r="BL7" s="15" t="s">
        <v>349</v>
      </c>
      <c r="BN7" s="2" t="s">
        <v>32</v>
      </c>
      <c r="BO7" s="14" t="s">
        <v>32</v>
      </c>
      <c r="BP7" s="14" t="s">
        <v>292</v>
      </c>
      <c r="BQ7" s="15" t="s">
        <v>350</v>
      </c>
    </row>
    <row r="8" spans="1:69" ht="15" customHeight="1" x14ac:dyDescent="0.25">
      <c r="A8" s="2" t="s">
        <v>23</v>
      </c>
      <c r="B8" s="14" t="s">
        <v>308</v>
      </c>
      <c r="C8" s="14" t="s">
        <v>177</v>
      </c>
      <c r="D8" s="15" t="s">
        <v>310</v>
      </c>
      <c r="F8" s="2" t="s">
        <v>30</v>
      </c>
      <c r="G8" s="14" t="s">
        <v>330</v>
      </c>
      <c r="H8" s="14" t="s">
        <v>289</v>
      </c>
      <c r="I8" s="15" t="s">
        <v>331</v>
      </c>
      <c r="K8" s="2" t="s">
        <v>30</v>
      </c>
      <c r="L8" s="14" t="s">
        <v>330</v>
      </c>
      <c r="M8" s="14" t="s">
        <v>177</v>
      </c>
      <c r="N8" s="15" t="s">
        <v>331</v>
      </c>
      <c r="P8" s="2" t="s">
        <v>36</v>
      </c>
      <c r="Q8" s="14" t="s">
        <v>351</v>
      </c>
      <c r="R8" s="14" t="s">
        <v>177</v>
      </c>
      <c r="S8" s="15" t="s">
        <v>352</v>
      </c>
      <c r="U8" s="2" t="s">
        <v>36</v>
      </c>
      <c r="V8" s="14" t="s">
        <v>351</v>
      </c>
      <c r="W8" s="14" t="s">
        <v>177</v>
      </c>
      <c r="X8" s="15" t="s">
        <v>353</v>
      </c>
      <c r="Z8" s="2" t="s">
        <v>36</v>
      </c>
      <c r="AA8" s="14" t="s">
        <v>351</v>
      </c>
      <c r="AB8" s="14" t="s">
        <v>177</v>
      </c>
      <c r="AC8" s="15" t="s">
        <v>353</v>
      </c>
      <c r="AE8" s="2" t="s">
        <v>36</v>
      </c>
      <c r="AF8" s="14" t="s">
        <v>351</v>
      </c>
      <c r="AG8" s="14" t="s">
        <v>177</v>
      </c>
      <c r="AH8" s="15" t="s">
        <v>353</v>
      </c>
      <c r="AJ8" s="2" t="s">
        <v>354</v>
      </c>
      <c r="AK8" s="14" t="s">
        <v>355</v>
      </c>
      <c r="AL8" s="14" t="s">
        <v>292</v>
      </c>
      <c r="AM8" s="15" t="s">
        <v>356</v>
      </c>
      <c r="AO8" s="2" t="s">
        <v>357</v>
      </c>
      <c r="AP8" s="14" t="s">
        <v>358</v>
      </c>
      <c r="AQ8" s="14" t="s">
        <v>292</v>
      </c>
      <c r="AR8" s="15" t="b">
        <v>1</v>
      </c>
      <c r="AT8" s="2" t="s">
        <v>359</v>
      </c>
      <c r="AU8" s="14" t="s">
        <v>360</v>
      </c>
      <c r="AV8" s="14" t="s">
        <v>292</v>
      </c>
      <c r="AW8" s="15" t="s">
        <v>361</v>
      </c>
      <c r="AY8" s="2" t="s">
        <v>362</v>
      </c>
      <c r="AZ8" s="14" t="s">
        <v>363</v>
      </c>
      <c r="BA8" s="14" t="s">
        <v>292</v>
      </c>
      <c r="BB8" s="15" t="s">
        <v>364</v>
      </c>
      <c r="BD8" s="2" t="s">
        <v>362</v>
      </c>
      <c r="BE8" s="14" t="s">
        <v>363</v>
      </c>
      <c r="BF8" s="14" t="s">
        <v>292</v>
      </c>
      <c r="BG8" s="15" t="s">
        <v>364</v>
      </c>
      <c r="BI8" s="2" t="s">
        <v>34</v>
      </c>
      <c r="BJ8" s="14" t="s">
        <v>34</v>
      </c>
      <c r="BK8" s="14" t="s">
        <v>292</v>
      </c>
      <c r="BL8" s="15" t="s">
        <v>365</v>
      </c>
      <c r="BN8" s="2" t="s">
        <v>35</v>
      </c>
      <c r="BO8" s="14" t="s">
        <v>35</v>
      </c>
      <c r="BP8" s="14" t="s">
        <v>292</v>
      </c>
      <c r="BQ8" s="15" t="s">
        <v>366</v>
      </c>
    </row>
    <row r="9" spans="1:69" x14ac:dyDescent="0.25">
      <c r="A9" s="2" t="s">
        <v>27</v>
      </c>
      <c r="B9" s="14" t="s">
        <v>319</v>
      </c>
      <c r="C9" s="14" t="s">
        <v>177</v>
      </c>
      <c r="D9" s="15" t="s">
        <v>320</v>
      </c>
      <c r="F9" s="2" t="s">
        <v>33</v>
      </c>
      <c r="G9" s="14" t="s">
        <v>340</v>
      </c>
      <c r="H9" s="14" t="s">
        <v>289</v>
      </c>
      <c r="I9" s="15" t="s">
        <v>341</v>
      </c>
      <c r="K9" s="2" t="s">
        <v>33</v>
      </c>
      <c r="L9" s="14" t="s">
        <v>340</v>
      </c>
      <c r="M9" s="14" t="s">
        <v>177</v>
      </c>
      <c r="N9" s="15" t="s">
        <v>341</v>
      </c>
      <c r="P9" s="2" t="s">
        <v>39</v>
      </c>
      <c r="Q9" s="14" t="s">
        <v>367</v>
      </c>
      <c r="R9" s="14" t="s">
        <v>177</v>
      </c>
      <c r="S9" s="15" t="s">
        <v>368</v>
      </c>
      <c r="U9" s="2" t="s">
        <v>39</v>
      </c>
      <c r="V9" s="14" t="s">
        <v>367</v>
      </c>
      <c r="W9" s="14" t="s">
        <v>177</v>
      </c>
      <c r="X9" s="15" t="s">
        <v>368</v>
      </c>
      <c r="Z9" s="2" t="s">
        <v>39</v>
      </c>
      <c r="AA9" s="14" t="s">
        <v>367</v>
      </c>
      <c r="AB9" s="14" t="s">
        <v>177</v>
      </c>
      <c r="AC9" s="15" t="s">
        <v>368</v>
      </c>
      <c r="AE9" s="2" t="s">
        <v>39</v>
      </c>
      <c r="AF9" s="14" t="s">
        <v>367</v>
      </c>
      <c r="AG9" s="14" t="s">
        <v>177</v>
      </c>
      <c r="AH9" s="15" t="s">
        <v>368</v>
      </c>
      <c r="AJ9" s="2"/>
      <c r="AK9" s="14"/>
      <c r="AL9" s="14"/>
      <c r="AM9" s="15" t="s">
        <v>369</v>
      </c>
      <c r="AO9" s="2"/>
      <c r="AP9" s="14"/>
      <c r="AQ9" s="14"/>
      <c r="AR9" s="15" t="s">
        <v>370</v>
      </c>
      <c r="AT9" s="2"/>
      <c r="AU9" s="14"/>
      <c r="AV9" s="14"/>
      <c r="AW9" s="15" t="s">
        <v>371</v>
      </c>
      <c r="AY9" s="2"/>
      <c r="AZ9" s="14"/>
      <c r="BA9" s="14"/>
      <c r="BB9" s="15" t="s">
        <v>372</v>
      </c>
      <c r="BD9" s="2"/>
      <c r="BE9" s="14"/>
      <c r="BF9" s="14"/>
      <c r="BG9" s="15" t="s">
        <v>373</v>
      </c>
      <c r="BI9" s="2" t="s">
        <v>37</v>
      </c>
      <c r="BJ9" s="14" t="s">
        <v>37</v>
      </c>
      <c r="BK9" s="14" t="s">
        <v>292</v>
      </c>
      <c r="BL9" s="15" t="s">
        <v>374</v>
      </c>
      <c r="BN9" s="2" t="s">
        <v>375</v>
      </c>
      <c r="BO9" s="14" t="s">
        <v>375</v>
      </c>
      <c r="BP9" s="14" t="s">
        <v>292</v>
      </c>
      <c r="BQ9" s="15" t="s">
        <v>376</v>
      </c>
    </row>
    <row r="10" spans="1:69" x14ac:dyDescent="0.25">
      <c r="A10" s="2" t="s">
        <v>30</v>
      </c>
      <c r="B10" s="14" t="s">
        <v>330</v>
      </c>
      <c r="C10" s="14" t="s">
        <v>177</v>
      </c>
      <c r="D10" s="15" t="s">
        <v>331</v>
      </c>
      <c r="F10" s="2" t="s">
        <v>36</v>
      </c>
      <c r="G10" s="14" t="s">
        <v>351</v>
      </c>
      <c r="H10" s="14" t="s">
        <v>289</v>
      </c>
      <c r="I10" s="15" t="s">
        <v>353</v>
      </c>
      <c r="K10" s="2" t="s">
        <v>36</v>
      </c>
      <c r="L10" s="14" t="s">
        <v>351</v>
      </c>
      <c r="M10" s="14" t="s">
        <v>177</v>
      </c>
      <c r="N10" s="15" t="s">
        <v>353</v>
      </c>
      <c r="P10" s="2" t="s">
        <v>42</v>
      </c>
      <c r="Q10" s="14" t="s">
        <v>377</v>
      </c>
      <c r="R10" s="14" t="s">
        <v>177</v>
      </c>
      <c r="S10" s="15" t="s">
        <v>378</v>
      </c>
      <c r="U10" s="2" t="s">
        <v>42</v>
      </c>
      <c r="V10" s="14" t="s">
        <v>377</v>
      </c>
      <c r="W10" s="14" t="s">
        <v>177</v>
      </c>
      <c r="X10" s="15" t="s">
        <v>378</v>
      </c>
      <c r="Z10" s="2" t="s">
        <v>42</v>
      </c>
      <c r="AA10" s="14" t="s">
        <v>377</v>
      </c>
      <c r="AB10" s="14" t="s">
        <v>177</v>
      </c>
      <c r="AC10" s="15" t="s">
        <v>378</v>
      </c>
      <c r="AE10" s="2" t="s">
        <v>42</v>
      </c>
      <c r="AF10" s="14" t="s">
        <v>377</v>
      </c>
      <c r="AG10" s="14" t="s">
        <v>177</v>
      </c>
      <c r="AH10" s="15" t="s">
        <v>378</v>
      </c>
      <c r="AJ10" s="2"/>
      <c r="AK10" s="14"/>
      <c r="AL10" s="14"/>
      <c r="AM10" s="15" t="s">
        <v>379</v>
      </c>
      <c r="AO10" s="2"/>
      <c r="AP10" s="14"/>
      <c r="AQ10" s="14"/>
      <c r="AR10" s="15" t="b">
        <v>0</v>
      </c>
      <c r="AT10" s="2"/>
      <c r="AU10" s="14"/>
      <c r="AV10" s="14"/>
      <c r="AW10" s="15" t="s">
        <v>380</v>
      </c>
      <c r="AY10" s="2"/>
      <c r="AZ10" s="14"/>
      <c r="BA10" s="14"/>
      <c r="BB10" s="15" t="s">
        <v>381</v>
      </c>
      <c r="BD10" s="2"/>
      <c r="BE10" s="14"/>
      <c r="BF10" s="14"/>
      <c r="BG10" s="15" t="s">
        <v>381</v>
      </c>
      <c r="BI10" s="2" t="s">
        <v>40</v>
      </c>
      <c r="BJ10" s="14" t="s">
        <v>40</v>
      </c>
      <c r="BK10" s="14" t="s">
        <v>292</v>
      </c>
      <c r="BL10" s="15" t="s">
        <v>382</v>
      </c>
      <c r="BN10" s="2" t="s">
        <v>41</v>
      </c>
      <c r="BO10" s="14" t="s">
        <v>41</v>
      </c>
      <c r="BP10" s="14" t="s">
        <v>292</v>
      </c>
      <c r="BQ10" s="15" t="s">
        <v>383</v>
      </c>
    </row>
    <row r="11" spans="1:69" x14ac:dyDescent="0.25">
      <c r="A11" s="2" t="s">
        <v>33</v>
      </c>
      <c r="B11" s="14" t="s">
        <v>340</v>
      </c>
      <c r="C11" s="14" t="s">
        <v>177</v>
      </c>
      <c r="D11" s="15" t="s">
        <v>341</v>
      </c>
      <c r="F11" s="2" t="s">
        <v>39</v>
      </c>
      <c r="G11" s="14" t="s">
        <v>367</v>
      </c>
      <c r="H11" s="14" t="s">
        <v>289</v>
      </c>
      <c r="I11" s="15" t="s">
        <v>368</v>
      </c>
      <c r="K11" s="2" t="s">
        <v>39</v>
      </c>
      <c r="L11" s="14" t="s">
        <v>367</v>
      </c>
      <c r="M11" s="14" t="s">
        <v>177</v>
      </c>
      <c r="N11" s="15" t="s">
        <v>368</v>
      </c>
      <c r="P11" s="2" t="s">
        <v>45</v>
      </c>
      <c r="Q11" s="14" t="s">
        <v>384</v>
      </c>
      <c r="R11" s="14" t="s">
        <v>177</v>
      </c>
      <c r="S11" s="15" t="s">
        <v>385</v>
      </c>
      <c r="U11" s="2" t="s">
        <v>45</v>
      </c>
      <c r="V11" s="14" t="s">
        <v>384</v>
      </c>
      <c r="W11" s="14" t="s">
        <v>177</v>
      </c>
      <c r="X11" s="15" t="s">
        <v>386</v>
      </c>
      <c r="Z11" s="2" t="s">
        <v>45</v>
      </c>
      <c r="AA11" s="14" t="s">
        <v>384</v>
      </c>
      <c r="AB11" s="14" t="s">
        <v>177</v>
      </c>
      <c r="AC11" s="15" t="s">
        <v>386</v>
      </c>
      <c r="AE11" s="2" t="s">
        <v>45</v>
      </c>
      <c r="AF11" s="14" t="s">
        <v>384</v>
      </c>
      <c r="AG11" s="14" t="s">
        <v>177</v>
      </c>
      <c r="AH11" s="15" t="s">
        <v>386</v>
      </c>
      <c r="AJ11" s="2"/>
      <c r="AK11" s="14"/>
      <c r="AL11" s="14"/>
      <c r="AM11" s="15" t="s">
        <v>387</v>
      </c>
      <c r="AO11" s="2"/>
      <c r="AP11" s="14"/>
      <c r="AQ11" s="14"/>
      <c r="AR11" s="15" t="s">
        <v>388</v>
      </c>
      <c r="AT11" s="2"/>
      <c r="AU11" s="14"/>
      <c r="AV11" s="14"/>
      <c r="AW11" s="15" t="s">
        <v>389</v>
      </c>
      <c r="AY11" s="2"/>
      <c r="AZ11" s="14"/>
      <c r="BA11" s="14"/>
      <c r="BB11" s="15" t="s">
        <v>390</v>
      </c>
      <c r="BD11" s="2"/>
      <c r="BE11" s="14"/>
      <c r="BF11" s="14"/>
      <c r="BG11" s="15" t="s">
        <v>391</v>
      </c>
      <c r="BI11" s="2" t="s">
        <v>43</v>
      </c>
      <c r="BJ11" s="14" t="s">
        <v>43</v>
      </c>
      <c r="BK11" s="14" t="s">
        <v>292</v>
      </c>
      <c r="BL11" s="15" t="s">
        <v>392</v>
      </c>
      <c r="BN11" s="2" t="s">
        <v>44</v>
      </c>
      <c r="BO11" s="14" t="s">
        <v>44</v>
      </c>
      <c r="BP11" s="14" t="s">
        <v>292</v>
      </c>
      <c r="BQ11" s="15" t="s">
        <v>393</v>
      </c>
    </row>
    <row r="12" spans="1:69" x14ac:dyDescent="0.25">
      <c r="A12" s="2" t="s">
        <v>36</v>
      </c>
      <c r="B12" s="14" t="s">
        <v>351</v>
      </c>
      <c r="C12" s="14" t="s">
        <v>177</v>
      </c>
      <c r="D12" s="15" t="s">
        <v>353</v>
      </c>
      <c r="F12" s="2" t="s">
        <v>42</v>
      </c>
      <c r="G12" s="14" t="s">
        <v>377</v>
      </c>
      <c r="H12" s="14" t="s">
        <v>289</v>
      </c>
      <c r="I12" s="15" t="s">
        <v>378</v>
      </c>
      <c r="K12" s="2" t="s">
        <v>42</v>
      </c>
      <c r="L12" s="14" t="s">
        <v>377</v>
      </c>
      <c r="M12" s="14" t="s">
        <v>177</v>
      </c>
      <c r="N12" s="15" t="s">
        <v>378</v>
      </c>
      <c r="P12" s="2" t="s">
        <v>48</v>
      </c>
      <c r="Q12" s="14" t="s">
        <v>394</v>
      </c>
      <c r="R12" s="14" t="s">
        <v>395</v>
      </c>
      <c r="S12" s="15" t="s">
        <v>396</v>
      </c>
      <c r="U12" s="2" t="s">
        <v>48</v>
      </c>
      <c r="V12" s="14" t="s">
        <v>394</v>
      </c>
      <c r="W12" s="14" t="s">
        <v>395</v>
      </c>
      <c r="X12" s="15" t="s">
        <v>397</v>
      </c>
      <c r="Z12" s="2" t="s">
        <v>48</v>
      </c>
      <c r="AA12" s="14" t="s">
        <v>394</v>
      </c>
      <c r="AB12" s="14" t="s">
        <v>395</v>
      </c>
      <c r="AC12" s="15" t="s">
        <v>397</v>
      </c>
      <c r="AE12" s="2" t="s">
        <v>48</v>
      </c>
      <c r="AF12" s="14" t="s">
        <v>394</v>
      </c>
      <c r="AG12" s="14" t="s">
        <v>395</v>
      </c>
      <c r="AH12" s="15" t="s">
        <v>397</v>
      </c>
      <c r="AJ12" s="2"/>
      <c r="AK12" s="14"/>
      <c r="AL12" s="14"/>
      <c r="AM12" s="15" t="s">
        <v>398</v>
      </c>
      <c r="AO12" s="2"/>
      <c r="AP12" s="14"/>
      <c r="AQ12" s="14"/>
      <c r="AR12" s="15"/>
      <c r="AT12" s="2"/>
      <c r="AU12" s="14"/>
      <c r="AV12" s="14"/>
      <c r="AW12" s="15"/>
      <c r="AY12" s="2"/>
      <c r="AZ12" s="14"/>
      <c r="BA12" s="14"/>
      <c r="BB12" s="15"/>
      <c r="BD12" s="2"/>
      <c r="BE12" s="14"/>
      <c r="BF12" s="14"/>
      <c r="BG12" s="15"/>
      <c r="BI12" s="2" t="s">
        <v>46</v>
      </c>
      <c r="BJ12" s="14" t="s">
        <v>46</v>
      </c>
      <c r="BK12" s="14" t="s">
        <v>292</v>
      </c>
      <c r="BL12" s="15" t="s">
        <v>399</v>
      </c>
      <c r="BN12" s="2" t="s">
        <v>47</v>
      </c>
      <c r="BO12" s="14" t="s">
        <v>47</v>
      </c>
      <c r="BP12" s="14" t="s">
        <v>292</v>
      </c>
      <c r="BQ12" s="15" t="s">
        <v>400</v>
      </c>
    </row>
    <row r="13" spans="1:69" ht="15" customHeight="1" x14ac:dyDescent="0.25">
      <c r="A13" s="2" t="s">
        <v>39</v>
      </c>
      <c r="B13" s="14" t="s">
        <v>367</v>
      </c>
      <c r="C13" s="14" t="s">
        <v>177</v>
      </c>
      <c r="D13" s="15" t="s">
        <v>368</v>
      </c>
      <c r="F13" s="2" t="s">
        <v>45</v>
      </c>
      <c r="G13" s="14" t="s">
        <v>384</v>
      </c>
      <c r="H13" s="14" t="s">
        <v>289</v>
      </c>
      <c r="I13" s="15" t="s">
        <v>386</v>
      </c>
      <c r="K13" s="2" t="s">
        <v>45</v>
      </c>
      <c r="L13" s="14" t="s">
        <v>384</v>
      </c>
      <c r="M13" s="14" t="s">
        <v>177</v>
      </c>
      <c r="N13" s="15" t="s">
        <v>386</v>
      </c>
      <c r="P13" s="2" t="s">
        <v>51</v>
      </c>
      <c r="Q13" s="14" t="s">
        <v>402</v>
      </c>
      <c r="R13" s="14" t="s">
        <v>395</v>
      </c>
      <c r="S13" s="15" t="s">
        <v>403</v>
      </c>
      <c r="U13" s="2" t="s">
        <v>51</v>
      </c>
      <c r="V13" s="14" t="s">
        <v>402</v>
      </c>
      <c r="W13" s="14" t="s">
        <v>395</v>
      </c>
      <c r="X13" s="15" t="s">
        <v>404</v>
      </c>
      <c r="Z13" s="2" t="s">
        <v>51</v>
      </c>
      <c r="AA13" s="14" t="s">
        <v>402</v>
      </c>
      <c r="AB13" s="14" t="s">
        <v>395</v>
      </c>
      <c r="AC13" s="15" t="s">
        <v>404</v>
      </c>
      <c r="AE13" s="2" t="s">
        <v>51</v>
      </c>
      <c r="AF13" s="14" t="s">
        <v>402</v>
      </c>
      <c r="AG13" s="14" t="s">
        <v>395</v>
      </c>
      <c r="AH13" s="15" t="s">
        <v>404</v>
      </c>
      <c r="AJ13" s="2"/>
      <c r="AK13" s="14"/>
      <c r="AL13" s="14"/>
      <c r="AM13" s="15" t="s">
        <v>405</v>
      </c>
      <c r="AO13" s="2" t="s">
        <v>406</v>
      </c>
      <c r="AP13" s="14" t="s">
        <v>406</v>
      </c>
      <c r="AQ13" s="14" t="s">
        <v>407</v>
      </c>
      <c r="AR13" s="15" t="s">
        <v>408</v>
      </c>
      <c r="AT13" s="2" t="s">
        <v>409</v>
      </c>
      <c r="AU13" s="14" t="s">
        <v>410</v>
      </c>
      <c r="AV13" s="14" t="s">
        <v>292</v>
      </c>
      <c r="AW13" s="15" t="s">
        <v>411</v>
      </c>
      <c r="AY13" s="2" t="s">
        <v>412</v>
      </c>
      <c r="AZ13" s="14"/>
      <c r="BA13" s="14" t="s">
        <v>413</v>
      </c>
      <c r="BB13" s="15" t="s">
        <v>292</v>
      </c>
      <c r="BD13" s="2" t="s">
        <v>357</v>
      </c>
      <c r="BE13" s="14" t="s">
        <v>358</v>
      </c>
      <c r="BF13" s="14" t="s">
        <v>292</v>
      </c>
      <c r="BG13" s="15" t="b">
        <v>1</v>
      </c>
      <c r="BI13" s="2" t="s">
        <v>49</v>
      </c>
      <c r="BJ13" s="14" t="s">
        <v>49</v>
      </c>
      <c r="BK13" s="14" t="s">
        <v>292</v>
      </c>
      <c r="BL13" s="15" t="s">
        <v>414</v>
      </c>
      <c r="BN13" s="2" t="s">
        <v>50</v>
      </c>
      <c r="BO13" s="14" t="s">
        <v>50</v>
      </c>
      <c r="BP13" s="14" t="s">
        <v>292</v>
      </c>
      <c r="BQ13" s="15" t="s">
        <v>415</v>
      </c>
    </row>
    <row r="14" spans="1:69" x14ac:dyDescent="0.25">
      <c r="A14" s="2" t="s">
        <v>42</v>
      </c>
      <c r="B14" s="14" t="s">
        <v>377</v>
      </c>
      <c r="C14" s="14" t="s">
        <v>177</v>
      </c>
      <c r="D14" s="15" t="s">
        <v>378</v>
      </c>
      <c r="F14" s="2" t="s">
        <v>48</v>
      </c>
      <c r="G14" s="14" t="s">
        <v>394</v>
      </c>
      <c r="H14" s="14" t="s">
        <v>401</v>
      </c>
      <c r="I14" s="15" t="s">
        <v>397</v>
      </c>
      <c r="K14" s="2" t="s">
        <v>48</v>
      </c>
      <c r="L14" s="14" t="s">
        <v>394</v>
      </c>
      <c r="M14" s="14" t="s">
        <v>395</v>
      </c>
      <c r="N14" s="15" t="s">
        <v>397</v>
      </c>
      <c r="P14" s="2" t="s">
        <v>54</v>
      </c>
      <c r="Q14" s="14" t="s">
        <v>416</v>
      </c>
      <c r="R14" s="14" t="s">
        <v>177</v>
      </c>
      <c r="S14" s="15" t="s">
        <v>417</v>
      </c>
      <c r="U14" s="2" t="s">
        <v>54</v>
      </c>
      <c r="V14" s="14" t="s">
        <v>416</v>
      </c>
      <c r="W14" s="14" t="s">
        <v>395</v>
      </c>
      <c r="X14" s="15" t="s">
        <v>418</v>
      </c>
      <c r="Z14" s="2" t="s">
        <v>54</v>
      </c>
      <c r="AA14" s="14" t="s">
        <v>416</v>
      </c>
      <c r="AB14" s="14" t="s">
        <v>395</v>
      </c>
      <c r="AC14" s="15" t="s">
        <v>418</v>
      </c>
      <c r="AE14" s="2" t="s">
        <v>54</v>
      </c>
      <c r="AF14" s="14" t="s">
        <v>416</v>
      </c>
      <c r="AG14" s="14" t="s">
        <v>395</v>
      </c>
      <c r="AH14" s="15" t="s">
        <v>418</v>
      </c>
      <c r="AJ14" s="2"/>
      <c r="AK14" s="14"/>
      <c r="AL14" s="14"/>
      <c r="AM14" s="15" t="s">
        <v>419</v>
      </c>
      <c r="AO14" s="2" t="s">
        <v>420</v>
      </c>
      <c r="AP14" s="14" t="s">
        <v>420</v>
      </c>
      <c r="AQ14" s="14" t="s">
        <v>407</v>
      </c>
      <c r="AR14" s="15" t="s">
        <v>421</v>
      </c>
      <c r="AT14" s="2"/>
      <c r="AU14" s="14"/>
      <c r="AV14" s="14"/>
      <c r="AW14" s="15" t="s">
        <v>422</v>
      </c>
      <c r="AY14" s="2" t="s">
        <v>423</v>
      </c>
      <c r="AZ14" s="14"/>
      <c r="BA14" s="14" t="s">
        <v>407</v>
      </c>
      <c r="BB14" s="15" t="s">
        <v>424</v>
      </c>
      <c r="BD14" s="2"/>
      <c r="BE14" s="14"/>
      <c r="BF14" s="14"/>
      <c r="BG14" s="15" t="s">
        <v>425</v>
      </c>
      <c r="BI14" s="2" t="s">
        <v>52</v>
      </c>
      <c r="BJ14" s="14" t="s">
        <v>52</v>
      </c>
      <c r="BK14" s="14" t="s">
        <v>292</v>
      </c>
      <c r="BL14" s="15" t="s">
        <v>426</v>
      </c>
      <c r="BN14" s="2" t="s">
        <v>53</v>
      </c>
      <c r="BO14" s="14" t="s">
        <v>53</v>
      </c>
      <c r="BP14" s="14" t="s">
        <v>292</v>
      </c>
      <c r="BQ14" s="15" t="s">
        <v>427</v>
      </c>
    </row>
    <row r="15" spans="1:69" x14ac:dyDescent="0.25">
      <c r="A15" s="2" t="s">
        <v>45</v>
      </c>
      <c r="B15" s="14" t="s">
        <v>384</v>
      </c>
      <c r="C15" s="14" t="s">
        <v>177</v>
      </c>
      <c r="D15" s="15" t="s">
        <v>386</v>
      </c>
      <c r="F15" s="2" t="s">
        <v>51</v>
      </c>
      <c r="G15" s="14" t="s">
        <v>402</v>
      </c>
      <c r="H15" s="14" t="s">
        <v>401</v>
      </c>
      <c r="I15" s="15" t="s">
        <v>404</v>
      </c>
      <c r="K15" s="2" t="s">
        <v>51</v>
      </c>
      <c r="L15" s="14" t="s">
        <v>402</v>
      </c>
      <c r="M15" s="14" t="s">
        <v>395</v>
      </c>
      <c r="N15" s="15" t="s">
        <v>404</v>
      </c>
      <c r="P15" s="2" t="s">
        <v>57</v>
      </c>
      <c r="Q15" s="14" t="s">
        <v>428</v>
      </c>
      <c r="R15" s="14" t="s">
        <v>429</v>
      </c>
      <c r="S15" s="15" t="s">
        <v>430</v>
      </c>
      <c r="U15" s="2" t="s">
        <v>57</v>
      </c>
      <c r="V15" s="14" t="s">
        <v>428</v>
      </c>
      <c r="W15" s="14" t="s">
        <v>429</v>
      </c>
      <c r="X15" s="15" t="s">
        <v>431</v>
      </c>
      <c r="Z15" s="2" t="s">
        <v>57</v>
      </c>
      <c r="AA15" s="14" t="s">
        <v>428</v>
      </c>
      <c r="AB15" s="14" t="s">
        <v>429</v>
      </c>
      <c r="AC15" s="15" t="s">
        <v>431</v>
      </c>
      <c r="AE15" s="2" t="s">
        <v>57</v>
      </c>
      <c r="AF15" s="14" t="s">
        <v>428</v>
      </c>
      <c r="AG15" s="14" t="s">
        <v>429</v>
      </c>
      <c r="AH15" s="15" t="s">
        <v>431</v>
      </c>
      <c r="AJ15" s="2"/>
      <c r="AK15" s="14"/>
      <c r="AL15" s="14"/>
      <c r="AM15" s="15" t="s">
        <v>432</v>
      </c>
      <c r="AO15" s="2" t="s">
        <v>433</v>
      </c>
      <c r="AP15" s="14" t="s">
        <v>433</v>
      </c>
      <c r="AQ15" s="14" t="s">
        <v>434</v>
      </c>
      <c r="AR15" s="15" t="s">
        <v>435</v>
      </c>
      <c r="AT15" s="2"/>
      <c r="AU15" s="14"/>
      <c r="AV15" s="14"/>
      <c r="AW15" s="15" t="s">
        <v>436</v>
      </c>
      <c r="AY15" s="2" t="s">
        <v>437</v>
      </c>
      <c r="AZ15" s="14"/>
      <c r="BA15" s="14" t="s">
        <v>407</v>
      </c>
      <c r="BB15" s="15" t="s">
        <v>438</v>
      </c>
      <c r="BD15" s="2"/>
      <c r="BE15" s="14"/>
      <c r="BF15" s="14"/>
      <c r="BG15" s="15" t="b">
        <v>0</v>
      </c>
      <c r="BI15" s="2" t="s">
        <v>55</v>
      </c>
      <c r="BJ15" s="14" t="s">
        <v>55</v>
      </c>
      <c r="BK15" s="14" t="s">
        <v>292</v>
      </c>
      <c r="BL15" s="15" t="s">
        <v>439</v>
      </c>
      <c r="BN15" s="2" t="s">
        <v>56</v>
      </c>
      <c r="BO15" s="14" t="s">
        <v>56</v>
      </c>
      <c r="BP15" s="14" t="s">
        <v>292</v>
      </c>
      <c r="BQ15" s="15" t="s">
        <v>440</v>
      </c>
    </row>
    <row r="16" spans="1:69" ht="15.75" thickBot="1" x14ac:dyDescent="0.3">
      <c r="A16" s="2" t="s">
        <v>48</v>
      </c>
      <c r="B16" s="14" t="s">
        <v>394</v>
      </c>
      <c r="C16" s="14" t="s">
        <v>395</v>
      </c>
      <c r="D16" s="15" t="s">
        <v>397</v>
      </c>
      <c r="F16" s="2" t="s">
        <v>54</v>
      </c>
      <c r="G16" s="14" t="s">
        <v>416</v>
      </c>
      <c r="H16" s="14" t="s">
        <v>401</v>
      </c>
      <c r="I16" s="15" t="s">
        <v>418</v>
      </c>
      <c r="K16" s="2" t="s">
        <v>54</v>
      </c>
      <c r="L16" s="14" t="s">
        <v>416</v>
      </c>
      <c r="M16" s="14" t="s">
        <v>395</v>
      </c>
      <c r="N16" s="15" t="s">
        <v>418</v>
      </c>
      <c r="P16" s="2" t="s">
        <v>60</v>
      </c>
      <c r="Q16" s="14" t="s">
        <v>442</v>
      </c>
      <c r="R16" s="14" t="s">
        <v>429</v>
      </c>
      <c r="S16" s="15" t="s">
        <v>443</v>
      </c>
      <c r="U16" s="2" t="s">
        <v>60</v>
      </c>
      <c r="V16" s="14" t="s">
        <v>442</v>
      </c>
      <c r="W16" s="14" t="s">
        <v>429</v>
      </c>
      <c r="X16" s="15" t="s">
        <v>444</v>
      </c>
      <c r="Z16" s="2" t="s">
        <v>60</v>
      </c>
      <c r="AA16" s="14" t="s">
        <v>442</v>
      </c>
      <c r="AB16" s="14" t="s">
        <v>429</v>
      </c>
      <c r="AC16" s="15" t="s">
        <v>444</v>
      </c>
      <c r="AE16" s="2" t="s">
        <v>60</v>
      </c>
      <c r="AF16" s="14" t="s">
        <v>442</v>
      </c>
      <c r="AG16" s="14" t="s">
        <v>429</v>
      </c>
      <c r="AH16" s="15" t="s">
        <v>444</v>
      </c>
      <c r="AJ16" s="2"/>
      <c r="AK16" s="14"/>
      <c r="AL16" s="14"/>
      <c r="AM16" s="15" t="s">
        <v>445</v>
      </c>
      <c r="AO16" s="2" t="s">
        <v>446</v>
      </c>
      <c r="AP16" s="14" t="s">
        <v>446</v>
      </c>
      <c r="AQ16" s="14" t="s">
        <v>413</v>
      </c>
      <c r="AR16" s="15" t="s">
        <v>447</v>
      </c>
      <c r="AT16" s="2"/>
      <c r="AU16" s="14"/>
      <c r="AV16" s="14"/>
      <c r="AW16" s="15" t="s">
        <v>448</v>
      </c>
      <c r="AY16" s="16" t="s">
        <v>449</v>
      </c>
      <c r="AZ16" s="17"/>
      <c r="BA16" s="17" t="s">
        <v>407</v>
      </c>
      <c r="BB16" s="18" t="s">
        <v>450</v>
      </c>
      <c r="BD16" s="2"/>
      <c r="BE16" s="14"/>
      <c r="BF16" s="14"/>
      <c r="BG16" s="15" t="s">
        <v>451</v>
      </c>
      <c r="BI16" s="2" t="s">
        <v>58</v>
      </c>
      <c r="BJ16" s="14" t="s">
        <v>58</v>
      </c>
      <c r="BK16" s="14" t="s">
        <v>292</v>
      </c>
      <c r="BL16" s="15" t="s">
        <v>452</v>
      </c>
      <c r="BN16" s="2" t="s">
        <v>59</v>
      </c>
      <c r="BO16" s="14" t="s">
        <v>59</v>
      </c>
      <c r="BP16" s="14" t="s">
        <v>292</v>
      </c>
      <c r="BQ16" s="15" t="s">
        <v>453</v>
      </c>
    </row>
    <row r="17" spans="1:69" x14ac:dyDescent="0.25">
      <c r="A17" s="2" t="s">
        <v>51</v>
      </c>
      <c r="B17" s="14" t="s">
        <v>402</v>
      </c>
      <c r="C17" s="14" t="s">
        <v>395</v>
      </c>
      <c r="D17" s="15" t="s">
        <v>404</v>
      </c>
      <c r="F17" s="2" t="s">
        <v>57</v>
      </c>
      <c r="G17" s="14" t="s">
        <v>428</v>
      </c>
      <c r="H17" s="14" t="s">
        <v>441</v>
      </c>
      <c r="I17" s="15" t="s">
        <v>431</v>
      </c>
      <c r="K17" s="2" t="s">
        <v>57</v>
      </c>
      <c r="L17" s="14" t="s">
        <v>428</v>
      </c>
      <c r="M17" s="14" t="s">
        <v>429</v>
      </c>
      <c r="N17" s="15" t="s">
        <v>431</v>
      </c>
      <c r="P17" s="2" t="s">
        <v>63</v>
      </c>
      <c r="Q17" s="14" t="s">
        <v>454</v>
      </c>
      <c r="R17" s="14" t="s">
        <v>429</v>
      </c>
      <c r="S17" s="15" t="s">
        <v>455</v>
      </c>
      <c r="U17" s="2" t="s">
        <v>63</v>
      </c>
      <c r="V17" s="14" t="s">
        <v>454</v>
      </c>
      <c r="W17" s="14" t="s">
        <v>429</v>
      </c>
      <c r="X17" s="15" t="s">
        <v>456</v>
      </c>
      <c r="Z17" s="2" t="s">
        <v>63</v>
      </c>
      <c r="AA17" s="14" t="s">
        <v>454</v>
      </c>
      <c r="AB17" s="14" t="s">
        <v>429</v>
      </c>
      <c r="AC17" s="15" t="s">
        <v>456</v>
      </c>
      <c r="AE17" s="2" t="s">
        <v>63</v>
      </c>
      <c r="AF17" s="14" t="s">
        <v>454</v>
      </c>
      <c r="AG17" s="14" t="s">
        <v>429</v>
      </c>
      <c r="AH17" s="15" t="s">
        <v>456</v>
      </c>
      <c r="AJ17" s="2"/>
      <c r="AK17" s="14"/>
      <c r="AL17" s="14"/>
      <c r="AM17" s="15" t="s">
        <v>457</v>
      </c>
      <c r="AO17" s="2" t="s">
        <v>458</v>
      </c>
      <c r="AP17" s="14" t="s">
        <v>459</v>
      </c>
      <c r="AQ17" s="14" t="s">
        <v>460</v>
      </c>
      <c r="AR17" s="15" t="s">
        <v>461</v>
      </c>
      <c r="AT17" s="2"/>
      <c r="AU17" s="14"/>
      <c r="AV17" s="14"/>
      <c r="AW17" s="15" t="s">
        <v>462</v>
      </c>
      <c r="BD17" s="2"/>
      <c r="BE17" s="14"/>
      <c r="BF17" s="14"/>
      <c r="BG17" s="15"/>
      <c r="BI17" s="2" t="s">
        <v>61</v>
      </c>
      <c r="BJ17" s="14" t="s">
        <v>61</v>
      </c>
      <c r="BK17" s="14" t="s">
        <v>292</v>
      </c>
      <c r="BL17" s="15" t="s">
        <v>463</v>
      </c>
      <c r="BN17" s="2" t="s">
        <v>62</v>
      </c>
      <c r="BO17" s="14" t="s">
        <v>62</v>
      </c>
      <c r="BP17" s="14" t="s">
        <v>292</v>
      </c>
      <c r="BQ17" s="15" t="s">
        <v>464</v>
      </c>
    </row>
    <row r="18" spans="1:69" x14ac:dyDescent="0.25">
      <c r="A18" s="2" t="s">
        <v>54</v>
      </c>
      <c r="B18" s="14" t="s">
        <v>416</v>
      </c>
      <c r="C18" s="14" t="s">
        <v>395</v>
      </c>
      <c r="D18" s="15" t="s">
        <v>418</v>
      </c>
      <c r="F18" s="2" t="s">
        <v>60</v>
      </c>
      <c r="G18" s="14" t="s">
        <v>442</v>
      </c>
      <c r="H18" s="14" t="s">
        <v>441</v>
      </c>
      <c r="I18" s="15" t="s">
        <v>444</v>
      </c>
      <c r="K18" s="2" t="s">
        <v>60</v>
      </c>
      <c r="L18" s="14" t="s">
        <v>442</v>
      </c>
      <c r="M18" s="14" t="s">
        <v>429</v>
      </c>
      <c r="N18" s="15" t="s">
        <v>444</v>
      </c>
      <c r="P18" s="2" t="s">
        <v>69</v>
      </c>
      <c r="Q18" s="14" t="s">
        <v>465</v>
      </c>
      <c r="R18" s="14" t="s">
        <v>177</v>
      </c>
      <c r="S18" s="15" t="s">
        <v>466</v>
      </c>
      <c r="U18" s="2" t="s">
        <v>66</v>
      </c>
      <c r="V18" s="14" t="s">
        <v>467</v>
      </c>
      <c r="W18" s="14" t="s">
        <v>292</v>
      </c>
      <c r="X18" s="15" t="s">
        <v>468</v>
      </c>
      <c r="Z18" s="2" t="s">
        <v>66</v>
      </c>
      <c r="AA18" s="14" t="s">
        <v>467</v>
      </c>
      <c r="AB18" s="14" t="s">
        <v>292</v>
      </c>
      <c r="AC18" s="15" t="s">
        <v>469</v>
      </c>
      <c r="AE18" s="2" t="s">
        <v>66</v>
      </c>
      <c r="AF18" s="14" t="s">
        <v>467</v>
      </c>
      <c r="AG18" s="14" t="s">
        <v>292</v>
      </c>
      <c r="AH18" s="15" t="s">
        <v>470</v>
      </c>
      <c r="AJ18" s="2"/>
      <c r="AK18" s="14"/>
      <c r="AL18" s="14"/>
      <c r="AM18" s="15" t="s">
        <v>471</v>
      </c>
      <c r="AO18" s="2" t="s">
        <v>472</v>
      </c>
      <c r="AP18" s="14" t="s">
        <v>472</v>
      </c>
      <c r="AQ18" s="14" t="s">
        <v>473</v>
      </c>
      <c r="AR18" s="15" t="s">
        <v>474</v>
      </c>
      <c r="AT18" s="2"/>
      <c r="AU18" s="14"/>
      <c r="AV18" s="14"/>
      <c r="AW18" s="15" t="s">
        <v>475</v>
      </c>
      <c r="BD18" s="2" t="s">
        <v>476</v>
      </c>
      <c r="BE18" s="14" t="s">
        <v>476</v>
      </c>
      <c r="BF18" s="14" t="s">
        <v>407</v>
      </c>
      <c r="BG18" s="15" t="s">
        <v>477</v>
      </c>
      <c r="BI18" s="2" t="s">
        <v>64</v>
      </c>
      <c r="BJ18" s="14" t="s">
        <v>64</v>
      </c>
      <c r="BK18" s="14" t="s">
        <v>292</v>
      </c>
      <c r="BL18" s="15" t="s">
        <v>478</v>
      </c>
      <c r="BN18" s="2" t="s">
        <v>65</v>
      </c>
      <c r="BO18" s="14" t="s">
        <v>65</v>
      </c>
      <c r="BP18" s="14" t="s">
        <v>292</v>
      </c>
      <c r="BQ18" s="15" t="s">
        <v>479</v>
      </c>
    </row>
    <row r="19" spans="1:69" ht="15.75" thickBot="1" x14ac:dyDescent="0.3">
      <c r="A19" s="2" t="s">
        <v>57</v>
      </c>
      <c r="B19" s="14" t="s">
        <v>428</v>
      </c>
      <c r="C19" s="14" t="s">
        <v>429</v>
      </c>
      <c r="D19" s="15" t="s">
        <v>431</v>
      </c>
      <c r="F19" s="2" t="s">
        <v>63</v>
      </c>
      <c r="G19" s="14" t="s">
        <v>454</v>
      </c>
      <c r="H19" s="14" t="s">
        <v>441</v>
      </c>
      <c r="I19" s="15" t="s">
        <v>456</v>
      </c>
      <c r="K19" s="2" t="s">
        <v>63</v>
      </c>
      <c r="L19" s="14" t="s">
        <v>454</v>
      </c>
      <c r="M19" s="14" t="s">
        <v>429</v>
      </c>
      <c r="N19" s="15" t="s">
        <v>456</v>
      </c>
      <c r="P19" s="2" t="s">
        <v>72</v>
      </c>
      <c r="Q19" s="14" t="s">
        <v>481</v>
      </c>
      <c r="R19" s="14" t="s">
        <v>177</v>
      </c>
      <c r="S19" s="15" t="s">
        <v>482</v>
      </c>
      <c r="U19" s="2" t="s">
        <v>10</v>
      </c>
      <c r="V19" s="14" t="s">
        <v>483</v>
      </c>
      <c r="W19" s="14" t="s">
        <v>483</v>
      </c>
      <c r="X19" s="15" t="s">
        <v>484</v>
      </c>
      <c r="Z19" s="2" t="s">
        <v>10</v>
      </c>
      <c r="AA19" s="14" t="s">
        <v>483</v>
      </c>
      <c r="AB19" s="14" t="s">
        <v>483</v>
      </c>
      <c r="AC19" s="15" t="s">
        <v>484</v>
      </c>
      <c r="AE19" s="2" t="s">
        <v>6</v>
      </c>
      <c r="AF19" s="14" t="s">
        <v>483</v>
      </c>
      <c r="AG19" s="14" t="s">
        <v>485</v>
      </c>
      <c r="AH19" s="15" t="s">
        <v>486</v>
      </c>
      <c r="AJ19" s="2"/>
      <c r="AK19" s="14"/>
      <c r="AL19" s="14"/>
      <c r="AM19" s="15" t="s">
        <v>487</v>
      </c>
      <c r="AO19" s="2" t="s">
        <v>488</v>
      </c>
      <c r="AP19" s="14" t="s">
        <v>488</v>
      </c>
      <c r="AQ19" s="14" t="s">
        <v>407</v>
      </c>
      <c r="AR19" s="15" t="s">
        <v>489</v>
      </c>
      <c r="AT19" s="2"/>
      <c r="AU19" s="14"/>
      <c r="AV19" s="14"/>
      <c r="AW19" s="15"/>
      <c r="BD19" s="2" t="s">
        <v>420</v>
      </c>
      <c r="BE19" s="14" t="s">
        <v>420</v>
      </c>
      <c r="BF19" s="14" t="s">
        <v>407</v>
      </c>
      <c r="BG19" s="15" t="s">
        <v>490</v>
      </c>
      <c r="BI19" s="16" t="s">
        <v>67</v>
      </c>
      <c r="BJ19" s="17" t="s">
        <v>67</v>
      </c>
      <c r="BK19" s="17" t="s">
        <v>292</v>
      </c>
      <c r="BL19" s="18" t="s">
        <v>491</v>
      </c>
      <c r="BN19" s="2" t="s">
        <v>68</v>
      </c>
      <c r="BO19" s="14" t="s">
        <v>68</v>
      </c>
      <c r="BP19" s="14" t="s">
        <v>292</v>
      </c>
      <c r="BQ19" s="15" t="s">
        <v>492</v>
      </c>
    </row>
    <row r="20" spans="1:69" ht="15" customHeight="1" x14ac:dyDescent="0.25">
      <c r="A20" s="2" t="s">
        <v>60</v>
      </c>
      <c r="B20" s="14" t="s">
        <v>442</v>
      </c>
      <c r="C20" s="14" t="s">
        <v>429</v>
      </c>
      <c r="D20" s="15" t="s">
        <v>444</v>
      </c>
      <c r="F20" s="2" t="s">
        <v>69</v>
      </c>
      <c r="G20" s="14" t="s">
        <v>465</v>
      </c>
      <c r="H20" s="14" t="s">
        <v>289</v>
      </c>
      <c r="I20" s="15" t="s">
        <v>480</v>
      </c>
      <c r="K20" s="2" t="s">
        <v>6</v>
      </c>
      <c r="L20" s="14" t="s">
        <v>483</v>
      </c>
      <c r="M20" s="14" t="s">
        <v>485</v>
      </c>
      <c r="N20" s="15" t="s">
        <v>494</v>
      </c>
      <c r="P20" s="2" t="s">
        <v>76</v>
      </c>
      <c r="Q20" s="14" t="s">
        <v>495</v>
      </c>
      <c r="R20" s="14" t="s">
        <v>177</v>
      </c>
      <c r="S20" s="15" t="s">
        <v>496</v>
      </c>
      <c r="U20" s="2" t="s">
        <v>70</v>
      </c>
      <c r="V20" s="14" t="s">
        <v>497</v>
      </c>
      <c r="W20" s="14" t="s">
        <v>483</v>
      </c>
      <c r="X20" s="15" t="s">
        <v>498</v>
      </c>
      <c r="Z20" s="2" t="s">
        <v>70</v>
      </c>
      <c r="AA20" s="14" t="s">
        <v>497</v>
      </c>
      <c r="AB20" s="14" t="s">
        <v>483</v>
      </c>
      <c r="AC20" s="15" t="s">
        <v>498</v>
      </c>
      <c r="AE20" s="2" t="s">
        <v>9</v>
      </c>
      <c r="AF20" s="14" t="s">
        <v>499</v>
      </c>
      <c r="AG20" s="14" t="s">
        <v>485</v>
      </c>
      <c r="AH20" s="15" t="s">
        <v>494</v>
      </c>
      <c r="AJ20" s="2"/>
      <c r="AK20" s="14"/>
      <c r="AL20" s="14"/>
      <c r="AM20" s="15" t="s">
        <v>500</v>
      </c>
      <c r="AO20" s="2" t="s">
        <v>501</v>
      </c>
      <c r="AP20" s="14" t="s">
        <v>502</v>
      </c>
      <c r="AQ20" s="14" t="s">
        <v>407</v>
      </c>
      <c r="AR20" s="15" t="s">
        <v>503</v>
      </c>
      <c r="AT20" s="2" t="s">
        <v>504</v>
      </c>
      <c r="AU20" s="14" t="s">
        <v>505</v>
      </c>
      <c r="AV20" s="14" t="s">
        <v>292</v>
      </c>
      <c r="AW20" s="15" t="s">
        <v>506</v>
      </c>
      <c r="BD20" s="2" t="s">
        <v>507</v>
      </c>
      <c r="BE20" s="14" t="s">
        <v>508</v>
      </c>
      <c r="BF20" s="14" t="s">
        <v>407</v>
      </c>
      <c r="BG20" s="15" t="s">
        <v>509</v>
      </c>
      <c r="BN20" s="2" t="s">
        <v>71</v>
      </c>
      <c r="BO20" s="14" t="s">
        <v>71</v>
      </c>
      <c r="BP20" s="14" t="s">
        <v>292</v>
      </c>
      <c r="BQ20" s="15" t="s">
        <v>510</v>
      </c>
    </row>
    <row r="21" spans="1:69" ht="15.75" thickBot="1" x14ac:dyDescent="0.3">
      <c r="A21" s="2" t="s">
        <v>63</v>
      </c>
      <c r="B21" s="14" t="s">
        <v>454</v>
      </c>
      <c r="C21" s="14" t="s">
        <v>429</v>
      </c>
      <c r="D21" s="15" t="s">
        <v>456</v>
      </c>
      <c r="F21" s="2" t="s">
        <v>72</v>
      </c>
      <c r="G21" s="14" t="s">
        <v>481</v>
      </c>
      <c r="H21" s="14" t="s">
        <v>289</v>
      </c>
      <c r="I21" s="15" t="s">
        <v>493</v>
      </c>
      <c r="K21" s="2" t="s">
        <v>9</v>
      </c>
      <c r="L21" s="14" t="s">
        <v>512</v>
      </c>
      <c r="M21" s="14" t="s">
        <v>485</v>
      </c>
      <c r="N21" s="15" t="s">
        <v>513</v>
      </c>
      <c r="P21" s="2" t="s">
        <v>81</v>
      </c>
      <c r="Q21" s="14" t="s">
        <v>514</v>
      </c>
      <c r="R21" s="14" t="s">
        <v>177</v>
      </c>
      <c r="S21" s="15" t="s">
        <v>515</v>
      </c>
      <c r="U21" s="2" t="s">
        <v>73</v>
      </c>
      <c r="V21" s="14" t="s">
        <v>516</v>
      </c>
      <c r="W21" s="14" t="s">
        <v>483</v>
      </c>
      <c r="X21" s="15" t="s">
        <v>517</v>
      </c>
      <c r="Z21" s="2" t="s">
        <v>73</v>
      </c>
      <c r="AA21" s="14" t="s">
        <v>516</v>
      </c>
      <c r="AB21" s="14" t="s">
        <v>483</v>
      </c>
      <c r="AC21" s="15" t="s">
        <v>517</v>
      </c>
      <c r="AE21" s="2" t="s">
        <v>74</v>
      </c>
      <c r="AF21" s="14" t="s">
        <v>497</v>
      </c>
      <c r="AG21" s="14" t="s">
        <v>485</v>
      </c>
      <c r="AH21" s="15" t="s">
        <v>518</v>
      </c>
      <c r="AJ21" s="2"/>
      <c r="AK21" s="14"/>
      <c r="AL21" s="14"/>
      <c r="AM21" s="15" t="s">
        <v>519</v>
      </c>
      <c r="AO21" s="2" t="s">
        <v>520</v>
      </c>
      <c r="AP21" s="14" t="s">
        <v>521</v>
      </c>
      <c r="AQ21" s="14" t="s">
        <v>292</v>
      </c>
      <c r="AR21" s="15" t="s">
        <v>522</v>
      </c>
      <c r="AT21" s="2"/>
      <c r="AU21" s="14"/>
      <c r="AV21" s="14"/>
      <c r="AW21" s="15" t="s">
        <v>523</v>
      </c>
      <c r="BD21" s="16" t="s">
        <v>501</v>
      </c>
      <c r="BE21" s="17" t="s">
        <v>502</v>
      </c>
      <c r="BF21" s="17" t="s">
        <v>407</v>
      </c>
      <c r="BG21" s="18" t="s">
        <v>524</v>
      </c>
      <c r="BN21" s="2" t="s">
        <v>75</v>
      </c>
      <c r="BO21" s="14" t="s">
        <v>75</v>
      </c>
      <c r="BP21" s="14" t="s">
        <v>292</v>
      </c>
      <c r="BQ21" s="15" t="s">
        <v>525</v>
      </c>
    </row>
    <row r="22" spans="1:69" ht="15.75" thickBot="1" x14ac:dyDescent="0.3">
      <c r="A22" s="2" t="s">
        <v>526</v>
      </c>
      <c r="B22" s="14" t="s">
        <v>527</v>
      </c>
      <c r="C22" s="14" t="s">
        <v>292</v>
      </c>
      <c r="D22" s="15" t="s">
        <v>528</v>
      </c>
      <c r="F22" s="2" t="s">
        <v>76</v>
      </c>
      <c r="G22" s="14" t="s">
        <v>495</v>
      </c>
      <c r="H22" s="14" t="s">
        <v>289</v>
      </c>
      <c r="I22" s="15" t="s">
        <v>511</v>
      </c>
      <c r="K22" s="2" t="s">
        <v>7</v>
      </c>
      <c r="L22" s="14" t="s">
        <v>530</v>
      </c>
      <c r="M22" s="14" t="s">
        <v>485</v>
      </c>
      <c r="N22" s="15" t="s">
        <v>531</v>
      </c>
      <c r="P22" s="2" t="s">
        <v>86</v>
      </c>
      <c r="Q22" s="14" t="s">
        <v>532</v>
      </c>
      <c r="R22" s="14" t="s">
        <v>177</v>
      </c>
      <c r="S22" s="15" t="s">
        <v>533</v>
      </c>
      <c r="U22" s="2" t="s">
        <v>77</v>
      </c>
      <c r="V22" s="14" t="s">
        <v>534</v>
      </c>
      <c r="W22" s="14" t="s">
        <v>92</v>
      </c>
      <c r="X22" s="15" t="s">
        <v>534</v>
      </c>
      <c r="Z22" s="2" t="s">
        <v>78</v>
      </c>
      <c r="AA22" s="14" t="s">
        <v>535</v>
      </c>
      <c r="AB22" s="14" t="s">
        <v>536</v>
      </c>
      <c r="AC22" s="15" t="s">
        <v>537</v>
      </c>
      <c r="AE22" s="2" t="s">
        <v>79</v>
      </c>
      <c r="AF22" s="14" t="s">
        <v>516</v>
      </c>
      <c r="AG22" s="14" t="s">
        <v>485</v>
      </c>
      <c r="AH22" s="15" t="s">
        <v>538</v>
      </c>
      <c r="AJ22" s="2"/>
      <c r="AK22" s="14"/>
      <c r="AL22" s="14"/>
      <c r="AM22" s="15" t="s">
        <v>539</v>
      </c>
      <c r="AO22" s="16" t="s">
        <v>540</v>
      </c>
      <c r="AP22" s="17" t="s">
        <v>541</v>
      </c>
      <c r="AQ22" s="17" t="s">
        <v>292</v>
      </c>
      <c r="AR22" s="18" t="s">
        <v>542</v>
      </c>
      <c r="AT22" s="2"/>
      <c r="AU22" s="14"/>
      <c r="AV22" s="14"/>
      <c r="AW22" s="15" t="s">
        <v>543</v>
      </c>
      <c r="BN22" s="2" t="s">
        <v>80</v>
      </c>
      <c r="BO22" s="14" t="s">
        <v>80</v>
      </c>
      <c r="BP22" s="14" t="s">
        <v>292</v>
      </c>
      <c r="BQ22" s="15" t="s">
        <v>544</v>
      </c>
    </row>
    <row r="23" spans="1:69" x14ac:dyDescent="0.25">
      <c r="A23" s="2" t="s">
        <v>545</v>
      </c>
      <c r="B23" s="14" t="s">
        <v>546</v>
      </c>
      <c r="C23" s="14" t="s">
        <v>292</v>
      </c>
      <c r="D23" s="15" t="s">
        <v>547</v>
      </c>
      <c r="F23" s="2" t="s">
        <v>81</v>
      </c>
      <c r="G23" s="14" t="s">
        <v>514</v>
      </c>
      <c r="H23" s="14" t="s">
        <v>289</v>
      </c>
      <c r="I23" s="15" t="s">
        <v>529</v>
      </c>
      <c r="K23" s="2" t="s">
        <v>8</v>
      </c>
      <c r="L23" s="14" t="s">
        <v>549</v>
      </c>
      <c r="M23" s="14" t="s">
        <v>485</v>
      </c>
      <c r="N23" s="15" t="s">
        <v>550</v>
      </c>
      <c r="P23" s="2" t="s">
        <v>90</v>
      </c>
      <c r="Q23" s="14" t="s">
        <v>551</v>
      </c>
      <c r="R23" s="14" t="s">
        <v>177</v>
      </c>
      <c r="S23" s="15" t="s">
        <v>552</v>
      </c>
      <c r="U23" s="2" t="s">
        <v>82</v>
      </c>
      <c r="V23" s="14" t="s">
        <v>553</v>
      </c>
      <c r="W23" s="14" t="s">
        <v>292</v>
      </c>
      <c r="X23" s="15" t="s">
        <v>554</v>
      </c>
      <c r="Z23" s="2" t="s">
        <v>83</v>
      </c>
      <c r="AA23" s="14" t="s">
        <v>177</v>
      </c>
      <c r="AB23" s="14" t="s">
        <v>177</v>
      </c>
      <c r="AC23" s="15" t="s">
        <v>555</v>
      </c>
      <c r="AE23" s="2" t="s">
        <v>84</v>
      </c>
      <c r="AF23" s="14" t="s">
        <v>556</v>
      </c>
      <c r="AG23" s="14" t="s">
        <v>485</v>
      </c>
      <c r="AH23" s="15" t="s">
        <v>557</v>
      </c>
      <c r="AJ23" s="2"/>
      <c r="AK23" s="14"/>
      <c r="AL23" s="14"/>
      <c r="AM23" s="15" t="s">
        <v>558</v>
      </c>
      <c r="AT23" s="2"/>
      <c r="AU23" s="14"/>
      <c r="AV23" s="14"/>
      <c r="AW23" s="15" t="s">
        <v>559</v>
      </c>
      <c r="BN23" s="2" t="s">
        <v>85</v>
      </c>
      <c r="BO23" s="14" t="s">
        <v>85</v>
      </c>
      <c r="BP23" s="14" t="s">
        <v>292</v>
      </c>
      <c r="BQ23" s="15" t="s">
        <v>560</v>
      </c>
    </row>
    <row r="24" spans="1:69" x14ac:dyDescent="0.25">
      <c r="A24" s="2" t="s">
        <v>561</v>
      </c>
      <c r="B24" s="14" t="s">
        <v>562</v>
      </c>
      <c r="C24" s="14" t="s">
        <v>292</v>
      </c>
      <c r="D24" s="15" t="s">
        <v>563</v>
      </c>
      <c r="F24" s="2" t="s">
        <v>86</v>
      </c>
      <c r="G24" s="14" t="s">
        <v>532</v>
      </c>
      <c r="H24" s="14" t="s">
        <v>289</v>
      </c>
      <c r="I24" s="15" t="s">
        <v>548</v>
      </c>
      <c r="K24" s="2" t="s">
        <v>74</v>
      </c>
      <c r="L24" s="14" t="s">
        <v>497</v>
      </c>
      <c r="M24" s="14" t="s">
        <v>485</v>
      </c>
      <c r="N24" s="15" t="s">
        <v>518</v>
      </c>
      <c r="P24" s="2" t="s">
        <v>94</v>
      </c>
      <c r="Q24" s="14" t="s">
        <v>565</v>
      </c>
      <c r="R24" s="14" t="s">
        <v>177</v>
      </c>
      <c r="S24" s="15" t="s">
        <v>566</v>
      </c>
      <c r="U24" s="2" t="s">
        <v>87</v>
      </c>
      <c r="V24" s="14" t="s">
        <v>567</v>
      </c>
      <c r="W24" s="14" t="s">
        <v>292</v>
      </c>
      <c r="X24" s="15" t="s">
        <v>568</v>
      </c>
      <c r="Z24" s="2" t="s">
        <v>82</v>
      </c>
      <c r="AA24" s="14" t="s">
        <v>553</v>
      </c>
      <c r="AB24" s="14" t="s">
        <v>292</v>
      </c>
      <c r="AC24" s="15" t="s">
        <v>554</v>
      </c>
      <c r="AE24" s="2" t="s">
        <v>88</v>
      </c>
      <c r="AF24" s="14" t="s">
        <v>569</v>
      </c>
      <c r="AG24" s="14" t="s">
        <v>485</v>
      </c>
      <c r="AH24" s="15" t="s">
        <v>570</v>
      </c>
      <c r="AJ24" s="2"/>
      <c r="AK24" s="14"/>
      <c r="AL24" s="14"/>
      <c r="AM24" s="15" t="s">
        <v>571</v>
      </c>
      <c r="AT24" s="2"/>
      <c r="AU24" s="14"/>
      <c r="AV24" s="14"/>
      <c r="AW24" s="15" t="s">
        <v>572</v>
      </c>
      <c r="BN24" s="2" t="s">
        <v>89</v>
      </c>
      <c r="BO24" s="14" t="s">
        <v>89</v>
      </c>
      <c r="BP24" s="14" t="s">
        <v>292</v>
      </c>
      <c r="BQ24" s="15" t="s">
        <v>573</v>
      </c>
    </row>
    <row r="25" spans="1:69" x14ac:dyDescent="0.25">
      <c r="A25" s="2" t="s">
        <v>574</v>
      </c>
      <c r="B25" s="14" t="s">
        <v>575</v>
      </c>
      <c r="C25" s="14" t="s">
        <v>292</v>
      </c>
      <c r="D25" s="15" t="s">
        <v>576</v>
      </c>
      <c r="F25" s="2" t="s">
        <v>90</v>
      </c>
      <c r="G25" s="14" t="s">
        <v>551</v>
      </c>
      <c r="H25" s="14" t="s">
        <v>289</v>
      </c>
      <c r="I25" s="15" t="s">
        <v>564</v>
      </c>
      <c r="K25" s="2" t="s">
        <v>79</v>
      </c>
      <c r="L25" s="14" t="s">
        <v>516</v>
      </c>
      <c r="M25" s="14" t="s">
        <v>485</v>
      </c>
      <c r="N25" s="15" t="s">
        <v>538</v>
      </c>
      <c r="P25" s="2" t="s">
        <v>98</v>
      </c>
      <c r="Q25" s="14" t="s">
        <v>578</v>
      </c>
      <c r="R25" s="14" t="s">
        <v>177</v>
      </c>
      <c r="S25" s="15" t="s">
        <v>579</v>
      </c>
      <c r="U25" s="2" t="s">
        <v>91</v>
      </c>
      <c r="V25" s="14" t="s">
        <v>580</v>
      </c>
      <c r="W25" s="14" t="s">
        <v>292</v>
      </c>
      <c r="X25" s="15" t="s">
        <v>581</v>
      </c>
      <c r="Z25" s="2" t="s">
        <v>87</v>
      </c>
      <c r="AA25" s="14" t="s">
        <v>567</v>
      </c>
      <c r="AB25" s="14" t="s">
        <v>292</v>
      </c>
      <c r="AC25" s="15" t="s">
        <v>568</v>
      </c>
      <c r="AE25" s="2" t="s">
        <v>92</v>
      </c>
      <c r="AF25" s="14" t="s">
        <v>534</v>
      </c>
      <c r="AG25" s="14" t="s">
        <v>582</v>
      </c>
      <c r="AH25" s="15" t="s">
        <v>534</v>
      </c>
      <c r="AJ25" s="2"/>
      <c r="AK25" s="14"/>
      <c r="AL25" s="14"/>
      <c r="AM25" s="15" t="s">
        <v>583</v>
      </c>
      <c r="AT25" s="2"/>
      <c r="AU25" s="14"/>
      <c r="AV25" s="14"/>
      <c r="AW25" s="15" t="s">
        <v>584</v>
      </c>
      <c r="BN25" s="2" t="s">
        <v>93</v>
      </c>
      <c r="BO25" s="14" t="s">
        <v>93</v>
      </c>
      <c r="BP25" s="14" t="s">
        <v>292</v>
      </c>
      <c r="BQ25" s="15" t="s">
        <v>585</v>
      </c>
    </row>
    <row r="26" spans="1:69" x14ac:dyDescent="0.25">
      <c r="A26" s="2" t="s">
        <v>586</v>
      </c>
      <c r="B26" s="14" t="s">
        <v>587</v>
      </c>
      <c r="C26" s="14" t="s">
        <v>292</v>
      </c>
      <c r="D26" s="15" t="s">
        <v>588</v>
      </c>
      <c r="F26" s="2" t="s">
        <v>94</v>
      </c>
      <c r="G26" s="14" t="s">
        <v>565</v>
      </c>
      <c r="H26" s="14" t="s">
        <v>289</v>
      </c>
      <c r="I26" s="15" t="s">
        <v>577</v>
      </c>
      <c r="K26" s="2" t="s">
        <v>84</v>
      </c>
      <c r="L26" s="14" t="s">
        <v>556</v>
      </c>
      <c r="M26" s="14" t="s">
        <v>485</v>
      </c>
      <c r="N26" s="15" t="s">
        <v>557</v>
      </c>
      <c r="P26" s="2" t="s">
        <v>102</v>
      </c>
      <c r="Q26" s="14" t="s">
        <v>590</v>
      </c>
      <c r="R26" s="14" t="s">
        <v>177</v>
      </c>
      <c r="S26" s="15" t="s">
        <v>591</v>
      </c>
      <c r="U26" s="2" t="s">
        <v>96</v>
      </c>
      <c r="V26" s="14" t="s">
        <v>592</v>
      </c>
      <c r="W26" s="14" t="s">
        <v>177</v>
      </c>
      <c r="X26" s="15" t="s">
        <v>593</v>
      </c>
      <c r="Z26" s="2" t="s">
        <v>91</v>
      </c>
      <c r="AA26" s="14" t="s">
        <v>580</v>
      </c>
      <c r="AB26" s="14" t="s">
        <v>292</v>
      </c>
      <c r="AC26" s="15" t="s">
        <v>581</v>
      </c>
      <c r="AE26" s="2" t="s">
        <v>82</v>
      </c>
      <c r="AF26" s="14" t="s">
        <v>553</v>
      </c>
      <c r="AG26" s="14" t="s">
        <v>292</v>
      </c>
      <c r="AH26" s="15" t="s">
        <v>554</v>
      </c>
      <c r="AJ26" s="2"/>
      <c r="AK26" s="14"/>
      <c r="AL26" s="14"/>
      <c r="AM26" s="15" t="s">
        <v>594</v>
      </c>
      <c r="AT26" s="2"/>
      <c r="AU26" s="14"/>
      <c r="AV26" s="14"/>
      <c r="AW26" s="15"/>
      <c r="BN26" s="2" t="s">
        <v>97</v>
      </c>
      <c r="BO26" s="14" t="s">
        <v>97</v>
      </c>
      <c r="BP26" s="14" t="s">
        <v>292</v>
      </c>
      <c r="BQ26" s="15" t="s">
        <v>595</v>
      </c>
    </row>
    <row r="27" spans="1:69" x14ac:dyDescent="0.25">
      <c r="A27" s="2" t="s">
        <v>596</v>
      </c>
      <c r="B27" s="14" t="s">
        <v>562</v>
      </c>
      <c r="C27" s="14" t="s">
        <v>292</v>
      </c>
      <c r="D27" s="15" t="s">
        <v>597</v>
      </c>
      <c r="F27" s="2" t="s">
        <v>98</v>
      </c>
      <c r="G27" s="14" t="s">
        <v>578</v>
      </c>
      <c r="H27" s="14" t="s">
        <v>289</v>
      </c>
      <c r="I27" s="15" t="s">
        <v>589</v>
      </c>
      <c r="K27" s="2" t="s">
        <v>88</v>
      </c>
      <c r="L27" s="14" t="s">
        <v>569</v>
      </c>
      <c r="M27" s="14" t="s">
        <v>485</v>
      </c>
      <c r="N27" s="15" t="s">
        <v>570</v>
      </c>
      <c r="P27" s="2" t="s">
        <v>116</v>
      </c>
      <c r="Q27" s="14" t="s">
        <v>116</v>
      </c>
      <c r="R27" s="14" t="s">
        <v>599</v>
      </c>
      <c r="S27" s="15" t="s">
        <v>600</v>
      </c>
      <c r="U27" s="2" t="s">
        <v>100</v>
      </c>
      <c r="V27" s="14" t="s">
        <v>601</v>
      </c>
      <c r="W27" s="14" t="s">
        <v>177</v>
      </c>
      <c r="X27" s="15" t="s">
        <v>602</v>
      </c>
      <c r="Z27" s="2" t="s">
        <v>96</v>
      </c>
      <c r="AA27" s="14" t="s">
        <v>592</v>
      </c>
      <c r="AB27" s="14" t="s">
        <v>177</v>
      </c>
      <c r="AC27" s="15" t="s">
        <v>593</v>
      </c>
      <c r="AE27" s="2" t="s">
        <v>87</v>
      </c>
      <c r="AF27" s="14" t="s">
        <v>567</v>
      </c>
      <c r="AG27" s="14" t="s">
        <v>292</v>
      </c>
      <c r="AH27" s="15" t="s">
        <v>568</v>
      </c>
      <c r="AJ27" s="2"/>
      <c r="AK27" s="14"/>
      <c r="AL27" s="14"/>
      <c r="AM27" s="15" t="s">
        <v>603</v>
      </c>
      <c r="AT27" s="2" t="s">
        <v>604</v>
      </c>
      <c r="AU27" s="14" t="s">
        <v>604</v>
      </c>
      <c r="AV27" s="14" t="s">
        <v>292</v>
      </c>
      <c r="AW27" s="15" t="s">
        <v>605</v>
      </c>
      <c r="BN27" s="2" t="s">
        <v>101</v>
      </c>
      <c r="BO27" s="14" t="s">
        <v>101</v>
      </c>
      <c r="BP27" s="14" t="s">
        <v>292</v>
      </c>
      <c r="BQ27" s="15" t="s">
        <v>606</v>
      </c>
    </row>
    <row r="28" spans="1:69" x14ac:dyDescent="0.25">
      <c r="A28" s="2" t="s">
        <v>607</v>
      </c>
      <c r="B28" s="14" t="s">
        <v>608</v>
      </c>
      <c r="C28" s="14" t="s">
        <v>292</v>
      </c>
      <c r="D28" s="15" t="s">
        <v>609</v>
      </c>
      <c r="F28" s="2" t="s">
        <v>102</v>
      </c>
      <c r="G28" s="14" t="s">
        <v>590</v>
      </c>
      <c r="H28" s="14" t="s">
        <v>289</v>
      </c>
      <c r="I28" s="15" t="s">
        <v>598</v>
      </c>
      <c r="K28" s="2" t="s">
        <v>95</v>
      </c>
      <c r="L28" s="14" t="s">
        <v>613</v>
      </c>
      <c r="M28" s="14" t="s">
        <v>485</v>
      </c>
      <c r="N28" s="15" t="s">
        <v>614</v>
      </c>
      <c r="P28" s="2" t="s">
        <v>119</v>
      </c>
      <c r="Q28" s="14" t="s">
        <v>119</v>
      </c>
      <c r="R28" s="14" t="s">
        <v>599</v>
      </c>
      <c r="S28" s="15" t="s">
        <v>615</v>
      </c>
      <c r="U28" s="2" t="s">
        <v>104</v>
      </c>
      <c r="V28" s="14" t="s">
        <v>616</v>
      </c>
      <c r="W28" s="14" t="s">
        <v>177</v>
      </c>
      <c r="X28" s="15" t="s">
        <v>617</v>
      </c>
      <c r="Z28" s="2" t="s">
        <v>100</v>
      </c>
      <c r="AA28" s="14" t="s">
        <v>601</v>
      </c>
      <c r="AB28" s="14" t="s">
        <v>177</v>
      </c>
      <c r="AC28" s="15" t="s">
        <v>602</v>
      </c>
      <c r="AE28" s="2" t="s">
        <v>91</v>
      </c>
      <c r="AF28" s="14" t="s">
        <v>580</v>
      </c>
      <c r="AG28" s="14" t="s">
        <v>292</v>
      </c>
      <c r="AH28" s="15" t="s">
        <v>581</v>
      </c>
      <c r="AJ28" s="2"/>
      <c r="AK28" s="14"/>
      <c r="AL28" s="14"/>
      <c r="AM28" s="15" t="s">
        <v>618</v>
      </c>
      <c r="AT28" s="2" t="s">
        <v>619</v>
      </c>
      <c r="AU28" s="14" t="s">
        <v>619</v>
      </c>
      <c r="AV28" s="14" t="s">
        <v>620</v>
      </c>
      <c r="AW28" s="15" t="s">
        <v>621</v>
      </c>
      <c r="BN28" s="2" t="s">
        <v>105</v>
      </c>
      <c r="BO28" s="14" t="s">
        <v>105</v>
      </c>
      <c r="BP28" s="14" t="s">
        <v>292</v>
      </c>
      <c r="BQ28" s="15" t="s">
        <v>622</v>
      </c>
    </row>
    <row r="29" spans="1:69" x14ac:dyDescent="0.25">
      <c r="A29" s="2" t="s">
        <v>623</v>
      </c>
      <c r="B29" s="14" t="s">
        <v>624</v>
      </c>
      <c r="C29" s="14" t="s">
        <v>292</v>
      </c>
      <c r="D29" s="15" t="s">
        <v>625</v>
      </c>
      <c r="F29" s="2" t="s">
        <v>106</v>
      </c>
      <c r="G29" s="14" t="s">
        <v>610</v>
      </c>
      <c r="H29" s="14" t="s">
        <v>611</v>
      </c>
      <c r="I29" s="15" t="s">
        <v>612</v>
      </c>
      <c r="K29" s="2" t="s">
        <v>99</v>
      </c>
      <c r="L29" s="14" t="s">
        <v>628</v>
      </c>
      <c r="M29" s="14" t="s">
        <v>485</v>
      </c>
      <c r="N29" s="15" t="s">
        <v>629</v>
      </c>
      <c r="P29" s="2" t="s">
        <v>6</v>
      </c>
      <c r="Q29" s="14" t="s">
        <v>483</v>
      </c>
      <c r="R29" s="14" t="s">
        <v>485</v>
      </c>
      <c r="S29" s="15" t="s">
        <v>486</v>
      </c>
      <c r="U29" s="2" t="s">
        <v>108</v>
      </c>
      <c r="V29" s="14" t="s">
        <v>630</v>
      </c>
      <c r="W29" s="14" t="s">
        <v>177</v>
      </c>
      <c r="X29" s="15" t="s">
        <v>631</v>
      </c>
      <c r="Z29" s="2" t="s">
        <v>104</v>
      </c>
      <c r="AA29" s="14" t="s">
        <v>616</v>
      </c>
      <c r="AB29" s="14" t="s">
        <v>177</v>
      </c>
      <c r="AC29" s="15" t="s">
        <v>617</v>
      </c>
      <c r="AE29" s="2" t="s">
        <v>109</v>
      </c>
      <c r="AF29" s="14" t="s">
        <v>109</v>
      </c>
      <c r="AG29" s="14" t="s">
        <v>632</v>
      </c>
      <c r="AH29" s="15" t="s">
        <v>109</v>
      </c>
      <c r="AJ29" s="2"/>
      <c r="AK29" s="14"/>
      <c r="AL29" s="14"/>
      <c r="AM29" s="15" t="s">
        <v>633</v>
      </c>
      <c r="AT29" s="2" t="s">
        <v>458</v>
      </c>
      <c r="AU29" s="14" t="s">
        <v>459</v>
      </c>
      <c r="AV29" s="14" t="s">
        <v>634</v>
      </c>
      <c r="AW29" s="15" t="s">
        <v>635</v>
      </c>
      <c r="BN29" s="2" t="s">
        <v>110</v>
      </c>
      <c r="BO29" s="14" t="s">
        <v>110</v>
      </c>
      <c r="BP29" s="14" t="s">
        <v>292</v>
      </c>
      <c r="BQ29" s="15" t="s">
        <v>636</v>
      </c>
    </row>
    <row r="30" spans="1:69" x14ac:dyDescent="0.25">
      <c r="A30" s="2" t="s">
        <v>637</v>
      </c>
      <c r="B30" s="14" t="s">
        <v>638</v>
      </c>
      <c r="C30" s="14" t="s">
        <v>292</v>
      </c>
      <c r="D30" s="15" t="s">
        <v>639</v>
      </c>
      <c r="F30" s="2" t="s">
        <v>111</v>
      </c>
      <c r="G30" s="14" t="s">
        <v>626</v>
      </c>
      <c r="H30" s="14" t="s">
        <v>611</v>
      </c>
      <c r="I30" s="15" t="s">
        <v>627</v>
      </c>
      <c r="K30" s="2" t="s">
        <v>103</v>
      </c>
      <c r="L30" s="14" t="s">
        <v>642</v>
      </c>
      <c r="M30" s="14" t="s">
        <v>485</v>
      </c>
      <c r="N30" s="15" t="s">
        <v>643</v>
      </c>
      <c r="P30" s="2" t="s">
        <v>9</v>
      </c>
      <c r="Q30" s="14" t="s">
        <v>499</v>
      </c>
      <c r="R30" s="14" t="s">
        <v>485</v>
      </c>
      <c r="S30" s="15" t="s">
        <v>494</v>
      </c>
      <c r="U30" s="2" t="s">
        <v>112</v>
      </c>
      <c r="V30" s="14" t="s">
        <v>644</v>
      </c>
      <c r="W30" s="14" t="s">
        <v>177</v>
      </c>
      <c r="X30" s="15" t="s">
        <v>645</v>
      </c>
      <c r="Z30" s="2" t="s">
        <v>108</v>
      </c>
      <c r="AA30" s="14" t="s">
        <v>630</v>
      </c>
      <c r="AB30" s="14" t="s">
        <v>177</v>
      </c>
      <c r="AC30" s="15" t="s">
        <v>631</v>
      </c>
      <c r="AE30" s="2" t="s">
        <v>96</v>
      </c>
      <c r="AF30" s="14" t="s">
        <v>592</v>
      </c>
      <c r="AG30" s="14" t="s">
        <v>177</v>
      </c>
      <c r="AH30" s="15" t="s">
        <v>593</v>
      </c>
      <c r="AJ30" s="2"/>
      <c r="AK30" s="14"/>
      <c r="AL30" s="14"/>
      <c r="AM30" s="15" t="s">
        <v>646</v>
      </c>
      <c r="AT30" s="2" t="s">
        <v>647</v>
      </c>
      <c r="AU30" s="14" t="s">
        <v>647</v>
      </c>
      <c r="AV30" s="14" t="s">
        <v>413</v>
      </c>
      <c r="AW30" s="15" t="s">
        <v>648</v>
      </c>
      <c r="BN30" s="2" t="s">
        <v>113</v>
      </c>
      <c r="BO30" s="14" t="s">
        <v>113</v>
      </c>
      <c r="BP30" s="14" t="s">
        <v>292</v>
      </c>
      <c r="BQ30" s="15" t="s">
        <v>649</v>
      </c>
    </row>
    <row r="31" spans="1:69" x14ac:dyDescent="0.25">
      <c r="A31" s="2" t="s">
        <v>650</v>
      </c>
      <c r="B31" s="14" t="s">
        <v>651</v>
      </c>
      <c r="C31" s="14" t="s">
        <v>292</v>
      </c>
      <c r="D31" s="15" t="s">
        <v>652</v>
      </c>
      <c r="F31" s="2" t="s">
        <v>114</v>
      </c>
      <c r="G31" s="14" t="s">
        <v>640</v>
      </c>
      <c r="H31" s="14" t="s">
        <v>611</v>
      </c>
      <c r="I31" s="15" t="s">
        <v>641</v>
      </c>
      <c r="K31" s="2" t="s">
        <v>107</v>
      </c>
      <c r="L31" s="14" t="s">
        <v>654</v>
      </c>
      <c r="M31" s="14" t="s">
        <v>485</v>
      </c>
      <c r="N31" s="15" t="s">
        <v>655</v>
      </c>
      <c r="P31" s="2" t="s">
        <v>7</v>
      </c>
      <c r="Q31" s="14" t="s">
        <v>530</v>
      </c>
      <c r="R31" s="14" t="s">
        <v>485</v>
      </c>
      <c r="S31" s="15" t="s">
        <v>531</v>
      </c>
      <c r="U31" s="2" t="s">
        <v>115</v>
      </c>
      <c r="V31" s="14" t="s">
        <v>656</v>
      </c>
      <c r="W31" s="14" t="s">
        <v>177</v>
      </c>
      <c r="X31" s="15" t="s">
        <v>657</v>
      </c>
      <c r="Z31" s="2" t="s">
        <v>112</v>
      </c>
      <c r="AA31" s="14" t="s">
        <v>644</v>
      </c>
      <c r="AB31" s="14" t="s">
        <v>177</v>
      </c>
      <c r="AC31" s="15" t="s">
        <v>645</v>
      </c>
      <c r="AE31" s="2" t="s">
        <v>100</v>
      </c>
      <c r="AF31" s="14" t="s">
        <v>601</v>
      </c>
      <c r="AG31" s="14" t="s">
        <v>177</v>
      </c>
      <c r="AH31" s="15" t="s">
        <v>602</v>
      </c>
      <c r="AJ31" s="2"/>
      <c r="AK31" s="14"/>
      <c r="AL31" s="14"/>
      <c r="AM31" s="15" t="s">
        <v>658</v>
      </c>
      <c r="AT31" s="2" t="s">
        <v>659</v>
      </c>
      <c r="AU31" s="14" t="s">
        <v>659</v>
      </c>
      <c r="AV31" s="14" t="s">
        <v>413</v>
      </c>
      <c r="AW31" s="15" t="s">
        <v>660</v>
      </c>
      <c r="BN31" s="2" t="s">
        <v>117</v>
      </c>
      <c r="BO31" s="14" t="s">
        <v>117</v>
      </c>
      <c r="BP31" s="14" t="s">
        <v>292</v>
      </c>
      <c r="BQ31" s="15" t="s">
        <v>661</v>
      </c>
    </row>
    <row r="32" spans="1:69" x14ac:dyDescent="0.25">
      <c r="A32" s="2" t="s">
        <v>662</v>
      </c>
      <c r="B32" s="14" t="s">
        <v>663</v>
      </c>
      <c r="C32" s="14" t="s">
        <v>292</v>
      </c>
      <c r="D32" s="15" t="s">
        <v>664</v>
      </c>
      <c r="F32" s="2" t="s">
        <v>66</v>
      </c>
      <c r="G32" s="14" t="s">
        <v>467</v>
      </c>
      <c r="H32" s="14"/>
      <c r="I32" s="15" t="s">
        <v>653</v>
      </c>
      <c r="K32" s="2" t="s">
        <v>66</v>
      </c>
      <c r="L32" s="14" t="s">
        <v>467</v>
      </c>
      <c r="M32" s="14" t="s">
        <v>292</v>
      </c>
      <c r="N32" s="15" t="s">
        <v>667</v>
      </c>
      <c r="P32" s="2" t="s">
        <v>8</v>
      </c>
      <c r="Q32" s="14" t="s">
        <v>549</v>
      </c>
      <c r="R32" s="14" t="s">
        <v>668</v>
      </c>
      <c r="S32" s="15" t="s">
        <v>550</v>
      </c>
      <c r="U32" s="2" t="s">
        <v>118</v>
      </c>
      <c r="V32" s="14" t="s">
        <v>669</v>
      </c>
      <c r="W32" s="14" t="s">
        <v>177</v>
      </c>
      <c r="X32" s="15" t="s">
        <v>670</v>
      </c>
      <c r="Z32" s="2" t="s">
        <v>115</v>
      </c>
      <c r="AA32" s="14" t="s">
        <v>656</v>
      </c>
      <c r="AB32" s="14" t="s">
        <v>177</v>
      </c>
      <c r="AC32" s="15" t="s">
        <v>657</v>
      </c>
      <c r="AE32" s="2" t="s">
        <v>104</v>
      </c>
      <c r="AF32" s="14" t="s">
        <v>616</v>
      </c>
      <c r="AG32" s="14" t="s">
        <v>177</v>
      </c>
      <c r="AH32" s="15" t="s">
        <v>617</v>
      </c>
      <c r="AJ32" s="2"/>
      <c r="AK32" s="14"/>
      <c r="AL32" s="14"/>
      <c r="AM32" s="15" t="s">
        <v>380</v>
      </c>
      <c r="AT32" s="2" t="s">
        <v>671</v>
      </c>
      <c r="AU32" s="14" t="s">
        <v>671</v>
      </c>
      <c r="AV32" s="14" t="s">
        <v>413</v>
      </c>
      <c r="AW32" s="15" t="s">
        <v>672</v>
      </c>
      <c r="BN32" s="2" t="s">
        <v>120</v>
      </c>
      <c r="BO32" s="14" t="s">
        <v>120</v>
      </c>
      <c r="BP32" s="14" t="s">
        <v>292</v>
      </c>
      <c r="BQ32" s="15" t="s">
        <v>673</v>
      </c>
    </row>
    <row r="33" spans="1:69" x14ac:dyDescent="0.25">
      <c r="A33" s="2" t="s">
        <v>674</v>
      </c>
      <c r="B33" s="14" t="s">
        <v>675</v>
      </c>
      <c r="C33" s="14" t="s">
        <v>292</v>
      </c>
      <c r="D33" s="15" t="s">
        <v>676</v>
      </c>
      <c r="F33" s="2" t="s">
        <v>121</v>
      </c>
      <c r="G33" s="14" t="s">
        <v>665</v>
      </c>
      <c r="H33" s="14" t="s">
        <v>611</v>
      </c>
      <c r="I33" s="15" t="s">
        <v>666</v>
      </c>
      <c r="K33" s="2" t="s">
        <v>82</v>
      </c>
      <c r="L33" s="14" t="s">
        <v>553</v>
      </c>
      <c r="M33" s="14" t="s">
        <v>292</v>
      </c>
      <c r="N33" s="15" t="s">
        <v>554</v>
      </c>
      <c r="P33" s="2" t="s">
        <v>74</v>
      </c>
      <c r="Q33" s="14" t="s">
        <v>497</v>
      </c>
      <c r="R33" s="14" t="s">
        <v>485</v>
      </c>
      <c r="S33" s="15" t="s">
        <v>518</v>
      </c>
      <c r="U33" s="2" t="s">
        <v>122</v>
      </c>
      <c r="V33" s="14" t="s">
        <v>679</v>
      </c>
      <c r="W33" s="14" t="s">
        <v>177</v>
      </c>
      <c r="X33" s="15" t="s">
        <v>680</v>
      </c>
      <c r="Z33" s="2" t="s">
        <v>123</v>
      </c>
      <c r="AA33" s="14" t="s">
        <v>681</v>
      </c>
      <c r="AB33" s="14" t="s">
        <v>177</v>
      </c>
      <c r="AC33" s="15" t="s">
        <v>681</v>
      </c>
      <c r="AE33" s="2" t="s">
        <v>108</v>
      </c>
      <c r="AF33" s="14" t="s">
        <v>630</v>
      </c>
      <c r="AG33" s="14" t="s">
        <v>177</v>
      </c>
      <c r="AH33" s="15" t="s">
        <v>631</v>
      </c>
      <c r="AJ33" s="2"/>
      <c r="AK33" s="14"/>
      <c r="AL33" s="14"/>
      <c r="AM33" s="15" t="s">
        <v>682</v>
      </c>
      <c r="AT33" s="2" t="s">
        <v>683</v>
      </c>
      <c r="AU33" s="14" t="s">
        <v>683</v>
      </c>
      <c r="AV33" s="14" t="s">
        <v>413</v>
      </c>
      <c r="AW33" s="15" t="s">
        <v>684</v>
      </c>
      <c r="BN33" s="2" t="s">
        <v>124</v>
      </c>
      <c r="BO33" s="14" t="s">
        <v>124</v>
      </c>
      <c r="BP33" s="14" t="s">
        <v>292</v>
      </c>
      <c r="BQ33" s="15" t="s">
        <v>685</v>
      </c>
    </row>
    <row r="34" spans="1:69" x14ac:dyDescent="0.25">
      <c r="A34" s="2" t="s">
        <v>686</v>
      </c>
      <c r="B34" s="14" t="s">
        <v>651</v>
      </c>
      <c r="C34" s="14" t="s">
        <v>292</v>
      </c>
      <c r="D34" s="15" t="s">
        <v>687</v>
      </c>
      <c r="F34" s="2" t="s">
        <v>125</v>
      </c>
      <c r="G34" s="14" t="s">
        <v>677</v>
      </c>
      <c r="H34" s="14" t="s">
        <v>611</v>
      </c>
      <c r="I34" s="15" t="s">
        <v>678</v>
      </c>
      <c r="K34" s="2" t="s">
        <v>87</v>
      </c>
      <c r="L34" s="14" t="s">
        <v>567</v>
      </c>
      <c r="M34" s="14" t="s">
        <v>292</v>
      </c>
      <c r="N34" s="15" t="s">
        <v>568</v>
      </c>
      <c r="P34" s="2" t="s">
        <v>79</v>
      </c>
      <c r="Q34" s="14" t="s">
        <v>516</v>
      </c>
      <c r="R34" s="14" t="s">
        <v>485</v>
      </c>
      <c r="S34" s="15" t="s">
        <v>538</v>
      </c>
      <c r="U34" s="2" t="s">
        <v>126</v>
      </c>
      <c r="V34" s="14" t="s">
        <v>690</v>
      </c>
      <c r="W34" s="14" t="s">
        <v>177</v>
      </c>
      <c r="X34" s="15" t="s">
        <v>691</v>
      </c>
      <c r="Z34" s="2" t="s">
        <v>118</v>
      </c>
      <c r="AA34" s="14" t="s">
        <v>669</v>
      </c>
      <c r="AB34" s="14" t="s">
        <v>177</v>
      </c>
      <c r="AC34" s="15" t="s">
        <v>670</v>
      </c>
      <c r="AE34" s="2" t="s">
        <v>112</v>
      </c>
      <c r="AF34" s="14" t="s">
        <v>644</v>
      </c>
      <c r="AG34" s="14" t="s">
        <v>177</v>
      </c>
      <c r="AH34" s="15" t="s">
        <v>645</v>
      </c>
      <c r="AJ34" s="2"/>
      <c r="AK34" s="14"/>
      <c r="AL34" s="14"/>
      <c r="AM34" s="15"/>
      <c r="AT34" s="2" t="s">
        <v>692</v>
      </c>
      <c r="AU34" s="14" t="s">
        <v>692</v>
      </c>
      <c r="AV34" s="14" t="s">
        <v>693</v>
      </c>
      <c r="AW34" s="15" t="s">
        <v>694</v>
      </c>
      <c r="BN34" s="2" t="s">
        <v>127</v>
      </c>
      <c r="BO34" s="14" t="s">
        <v>127</v>
      </c>
      <c r="BP34" s="14" t="s">
        <v>292</v>
      </c>
      <c r="BQ34" s="15" t="s">
        <v>695</v>
      </c>
    </row>
    <row r="35" spans="1:69" ht="28.5" customHeight="1" x14ac:dyDescent="0.25">
      <c r="A35" s="2" t="s">
        <v>696</v>
      </c>
      <c r="B35" s="14" t="s">
        <v>663</v>
      </c>
      <c r="C35" s="14" t="s">
        <v>292</v>
      </c>
      <c r="D35" s="15" t="s">
        <v>697</v>
      </c>
      <c r="F35" s="2" t="s">
        <v>128</v>
      </c>
      <c r="G35" s="14" t="s">
        <v>688</v>
      </c>
      <c r="H35" s="14" t="s">
        <v>611</v>
      </c>
      <c r="I35" s="15" t="s">
        <v>689</v>
      </c>
      <c r="K35" s="2" t="s">
        <v>91</v>
      </c>
      <c r="L35" s="14" t="s">
        <v>580</v>
      </c>
      <c r="M35" s="14" t="s">
        <v>292</v>
      </c>
      <c r="N35" s="15" t="s">
        <v>581</v>
      </c>
      <c r="P35" s="2" t="s">
        <v>84</v>
      </c>
      <c r="Q35" s="14" t="s">
        <v>556</v>
      </c>
      <c r="R35" s="14" t="s">
        <v>485</v>
      </c>
      <c r="S35" s="15" t="s">
        <v>557</v>
      </c>
      <c r="U35" s="2" t="s">
        <v>129</v>
      </c>
      <c r="V35" s="14" t="s">
        <v>699</v>
      </c>
      <c r="W35" s="14" t="s">
        <v>177</v>
      </c>
      <c r="X35" s="15" t="s">
        <v>700</v>
      </c>
      <c r="Z35" s="2" t="s">
        <v>122</v>
      </c>
      <c r="AA35" s="14" t="s">
        <v>679</v>
      </c>
      <c r="AB35" s="14" t="s">
        <v>177</v>
      </c>
      <c r="AC35" s="15" t="s">
        <v>680</v>
      </c>
      <c r="AE35" s="2" t="s">
        <v>115</v>
      </c>
      <c r="AF35" s="14" t="s">
        <v>656</v>
      </c>
      <c r="AG35" s="14" t="s">
        <v>177</v>
      </c>
      <c r="AH35" s="15" t="s">
        <v>657</v>
      </c>
      <c r="AJ35" s="2" t="s">
        <v>701</v>
      </c>
      <c r="AK35" s="14" t="s">
        <v>701</v>
      </c>
      <c r="AL35" s="14" t="s">
        <v>292</v>
      </c>
      <c r="AM35" s="15" t="s">
        <v>702</v>
      </c>
      <c r="AT35" s="2" t="s">
        <v>703</v>
      </c>
      <c r="AU35" s="14" t="s">
        <v>704</v>
      </c>
      <c r="AV35" s="14" t="s">
        <v>705</v>
      </c>
      <c r="AW35" s="15" t="s">
        <v>706</v>
      </c>
      <c r="BN35" s="2" t="s">
        <v>130</v>
      </c>
      <c r="BO35" s="14" t="s">
        <v>130</v>
      </c>
      <c r="BP35" s="14" t="s">
        <v>292</v>
      </c>
      <c r="BQ35" s="15" t="s">
        <v>707</v>
      </c>
    </row>
    <row r="36" spans="1:69" ht="28.5" customHeight="1" x14ac:dyDescent="0.25">
      <c r="A36" s="2" t="s">
        <v>708</v>
      </c>
      <c r="B36" s="14" t="s">
        <v>709</v>
      </c>
      <c r="C36" s="14" t="s">
        <v>292</v>
      </c>
      <c r="D36" s="15" t="s">
        <v>710</v>
      </c>
      <c r="F36" s="2" t="s">
        <v>92</v>
      </c>
      <c r="G36" s="14" t="s">
        <v>92</v>
      </c>
      <c r="H36" s="14" t="s">
        <v>536</v>
      </c>
      <c r="I36" s="15" t="s">
        <v>698</v>
      </c>
      <c r="K36" s="2" t="s">
        <v>96</v>
      </c>
      <c r="L36" s="14" t="s">
        <v>592</v>
      </c>
      <c r="M36" s="14" t="s">
        <v>177</v>
      </c>
      <c r="N36" s="15" t="s">
        <v>593</v>
      </c>
      <c r="P36" s="2" t="s">
        <v>88</v>
      </c>
      <c r="Q36" s="14" t="s">
        <v>569</v>
      </c>
      <c r="R36" s="14" t="s">
        <v>485</v>
      </c>
      <c r="S36" s="15" t="s">
        <v>570</v>
      </c>
      <c r="U36" s="2" t="s">
        <v>131</v>
      </c>
      <c r="V36" s="14" t="s">
        <v>713</v>
      </c>
      <c r="W36" s="14" t="s">
        <v>177</v>
      </c>
      <c r="X36" s="15" t="s">
        <v>714</v>
      </c>
      <c r="Z36" s="2" t="s">
        <v>126</v>
      </c>
      <c r="AA36" s="14" t="s">
        <v>690</v>
      </c>
      <c r="AB36" s="14" t="s">
        <v>177</v>
      </c>
      <c r="AC36" s="15" t="s">
        <v>691</v>
      </c>
      <c r="AE36" s="2" t="s">
        <v>132</v>
      </c>
      <c r="AF36" s="14" t="s">
        <v>715</v>
      </c>
      <c r="AG36" s="14" t="s">
        <v>716</v>
      </c>
      <c r="AH36" s="15" t="s">
        <v>717</v>
      </c>
      <c r="AJ36" s="2" t="s">
        <v>718</v>
      </c>
      <c r="AK36" s="14" t="s">
        <v>719</v>
      </c>
      <c r="AL36" s="14" t="s">
        <v>292</v>
      </c>
      <c r="AM36" s="15" t="s">
        <v>720</v>
      </c>
      <c r="AT36" s="2" t="s">
        <v>721</v>
      </c>
      <c r="AU36" s="14" t="s">
        <v>722</v>
      </c>
      <c r="AV36" s="14" t="s">
        <v>705</v>
      </c>
      <c r="AW36" s="15" t="s">
        <v>723</v>
      </c>
      <c r="BN36" s="2" t="s">
        <v>133</v>
      </c>
      <c r="BO36" s="14" t="s">
        <v>133</v>
      </c>
      <c r="BP36" s="14" t="s">
        <v>292</v>
      </c>
      <c r="BQ36" s="15" t="s">
        <v>724</v>
      </c>
    </row>
    <row r="37" spans="1:69" x14ac:dyDescent="0.25">
      <c r="A37" s="2" t="s">
        <v>725</v>
      </c>
      <c r="B37" s="14" t="s">
        <v>726</v>
      </c>
      <c r="C37" s="14" t="s">
        <v>292</v>
      </c>
      <c r="D37" s="15" t="s">
        <v>727</v>
      </c>
      <c r="F37" s="2" t="s">
        <v>134</v>
      </c>
      <c r="G37" s="14" t="s">
        <v>711</v>
      </c>
      <c r="H37" s="14" t="s">
        <v>292</v>
      </c>
      <c r="I37" s="15" t="s">
        <v>712</v>
      </c>
      <c r="K37" s="2" t="s">
        <v>100</v>
      </c>
      <c r="L37" s="14" t="s">
        <v>601</v>
      </c>
      <c r="M37" s="14" t="s">
        <v>177</v>
      </c>
      <c r="N37" s="15" t="s">
        <v>602</v>
      </c>
      <c r="P37" s="2" t="s">
        <v>95</v>
      </c>
      <c r="Q37" s="14" t="s">
        <v>613</v>
      </c>
      <c r="R37" s="14" t="s">
        <v>485</v>
      </c>
      <c r="S37" s="15" t="s">
        <v>614</v>
      </c>
      <c r="U37" s="2" t="s">
        <v>135</v>
      </c>
      <c r="V37" s="14" t="s">
        <v>728</v>
      </c>
      <c r="W37" s="14" t="s">
        <v>395</v>
      </c>
      <c r="X37" s="15" t="s">
        <v>729</v>
      </c>
      <c r="Z37" s="2" t="s">
        <v>129</v>
      </c>
      <c r="AA37" s="14" t="s">
        <v>699</v>
      </c>
      <c r="AB37" s="14" t="s">
        <v>177</v>
      </c>
      <c r="AC37" s="15" t="s">
        <v>700</v>
      </c>
      <c r="AE37" s="2" t="s">
        <v>136</v>
      </c>
      <c r="AF37" s="14" t="s">
        <v>730</v>
      </c>
      <c r="AG37" s="14" t="s">
        <v>292</v>
      </c>
      <c r="AH37" s="15" t="s">
        <v>731</v>
      </c>
      <c r="AJ37" s="2"/>
      <c r="AK37" s="14"/>
      <c r="AL37" s="14"/>
      <c r="AM37" s="15" t="s">
        <v>732</v>
      </c>
      <c r="AT37" s="2" t="s">
        <v>733</v>
      </c>
      <c r="AU37" s="14" t="s">
        <v>733</v>
      </c>
      <c r="AV37" s="14" t="s">
        <v>705</v>
      </c>
      <c r="AW37" s="15" t="s">
        <v>734</v>
      </c>
      <c r="BN37" s="2" t="s">
        <v>137</v>
      </c>
      <c r="BO37" s="14" t="s">
        <v>137</v>
      </c>
      <c r="BP37" s="14" t="s">
        <v>292</v>
      </c>
      <c r="BQ37" s="15" t="s">
        <v>735</v>
      </c>
    </row>
    <row r="38" spans="1:69" x14ac:dyDescent="0.25">
      <c r="A38" s="2" t="s">
        <v>736</v>
      </c>
      <c r="B38" s="14" t="s">
        <v>737</v>
      </c>
      <c r="C38" s="14" t="s">
        <v>292</v>
      </c>
      <c r="D38" s="15" t="s">
        <v>738</v>
      </c>
      <c r="F38" s="2" t="s">
        <v>82</v>
      </c>
      <c r="G38" s="14" t="s">
        <v>553</v>
      </c>
      <c r="H38" s="14"/>
      <c r="I38" s="15" t="s">
        <v>554</v>
      </c>
      <c r="K38" s="2" t="s">
        <v>104</v>
      </c>
      <c r="L38" s="14" t="s">
        <v>616</v>
      </c>
      <c r="M38" s="14" t="s">
        <v>177</v>
      </c>
      <c r="N38" s="15" t="s">
        <v>617</v>
      </c>
      <c r="P38" s="2" t="s">
        <v>99</v>
      </c>
      <c r="Q38" s="14" t="s">
        <v>628</v>
      </c>
      <c r="R38" s="14" t="s">
        <v>485</v>
      </c>
      <c r="S38" s="15" t="s">
        <v>629</v>
      </c>
      <c r="U38" s="2" t="s">
        <v>138</v>
      </c>
      <c r="V38" s="14" t="s">
        <v>739</v>
      </c>
      <c r="W38" s="14" t="s">
        <v>395</v>
      </c>
      <c r="X38" s="15" t="s">
        <v>740</v>
      </c>
      <c r="Z38" s="2" t="s">
        <v>131</v>
      </c>
      <c r="AA38" s="14" t="s">
        <v>713</v>
      </c>
      <c r="AB38" s="14" t="s">
        <v>177</v>
      </c>
      <c r="AC38" s="15" t="s">
        <v>714</v>
      </c>
      <c r="AE38" s="2" t="s">
        <v>118</v>
      </c>
      <c r="AF38" s="14" t="s">
        <v>669</v>
      </c>
      <c r="AG38" s="14" t="s">
        <v>177</v>
      </c>
      <c r="AH38" s="15" t="s">
        <v>670</v>
      </c>
      <c r="AJ38" s="2"/>
      <c r="AK38" s="14"/>
      <c r="AL38" s="14"/>
      <c r="AM38" s="15" t="s">
        <v>741</v>
      </c>
      <c r="AT38" s="2" t="s">
        <v>742</v>
      </c>
      <c r="AU38" s="14" t="s">
        <v>743</v>
      </c>
      <c r="AV38" s="14" t="s">
        <v>407</v>
      </c>
      <c r="AW38" s="15" t="s">
        <v>744</v>
      </c>
      <c r="BN38" s="2" t="s">
        <v>139</v>
      </c>
      <c r="BO38" s="14" t="s">
        <v>139</v>
      </c>
      <c r="BP38" s="14" t="s">
        <v>292</v>
      </c>
      <c r="BQ38" s="15" t="s">
        <v>745</v>
      </c>
    </row>
    <row r="39" spans="1:69" x14ac:dyDescent="0.25">
      <c r="A39" s="2" t="s">
        <v>746</v>
      </c>
      <c r="B39" s="14" t="s">
        <v>747</v>
      </c>
      <c r="C39" s="14" t="s">
        <v>292</v>
      </c>
      <c r="D39" s="15" t="s">
        <v>748</v>
      </c>
      <c r="F39" s="2" t="s">
        <v>87</v>
      </c>
      <c r="G39" s="14" t="s">
        <v>567</v>
      </c>
      <c r="H39" s="14"/>
      <c r="I39" s="15" t="s">
        <v>568</v>
      </c>
      <c r="K39" s="2" t="s">
        <v>108</v>
      </c>
      <c r="L39" s="14" t="s">
        <v>630</v>
      </c>
      <c r="M39" s="14" t="s">
        <v>177</v>
      </c>
      <c r="N39" s="15" t="s">
        <v>631</v>
      </c>
      <c r="P39" s="2" t="s">
        <v>103</v>
      </c>
      <c r="Q39" s="14" t="s">
        <v>642</v>
      </c>
      <c r="R39" s="14" t="s">
        <v>668</v>
      </c>
      <c r="S39" s="15" t="s">
        <v>643</v>
      </c>
      <c r="U39" s="2" t="s">
        <v>140</v>
      </c>
      <c r="V39" s="14" t="s">
        <v>749</v>
      </c>
      <c r="W39" s="14" t="s">
        <v>395</v>
      </c>
      <c r="X39" s="15" t="s">
        <v>750</v>
      </c>
      <c r="Z39" s="2" t="s">
        <v>135</v>
      </c>
      <c r="AA39" s="14" t="s">
        <v>728</v>
      </c>
      <c r="AB39" s="14" t="s">
        <v>395</v>
      </c>
      <c r="AC39" s="15" t="s">
        <v>729</v>
      </c>
      <c r="AE39" s="2" t="s">
        <v>122</v>
      </c>
      <c r="AF39" s="14" t="s">
        <v>679</v>
      </c>
      <c r="AG39" s="14" t="s">
        <v>177</v>
      </c>
      <c r="AH39" s="15" t="s">
        <v>680</v>
      </c>
      <c r="AJ39" s="2"/>
      <c r="AK39" s="14"/>
      <c r="AL39" s="14"/>
      <c r="AM39" s="15" t="s">
        <v>751</v>
      </c>
      <c r="AT39" s="2" t="s">
        <v>752</v>
      </c>
      <c r="AU39" s="14" t="s">
        <v>753</v>
      </c>
      <c r="AV39" s="14" t="s">
        <v>407</v>
      </c>
      <c r="AW39" s="15" t="s">
        <v>754</v>
      </c>
      <c r="BN39" s="2" t="s">
        <v>141</v>
      </c>
      <c r="BO39" s="14" t="s">
        <v>141</v>
      </c>
      <c r="BP39" s="14" t="s">
        <v>292</v>
      </c>
      <c r="BQ39" s="15" t="s">
        <v>755</v>
      </c>
    </row>
    <row r="40" spans="1:69" x14ac:dyDescent="0.25">
      <c r="A40" s="2" t="s">
        <v>756</v>
      </c>
      <c r="B40" s="14" t="s">
        <v>757</v>
      </c>
      <c r="C40" s="14" t="s">
        <v>292</v>
      </c>
      <c r="D40" s="15" t="s">
        <v>758</v>
      </c>
      <c r="F40" s="2" t="s">
        <v>91</v>
      </c>
      <c r="G40" s="14" t="s">
        <v>580</v>
      </c>
      <c r="H40" s="14"/>
      <c r="I40" s="15" t="s">
        <v>581</v>
      </c>
      <c r="K40" s="2" t="s">
        <v>112</v>
      </c>
      <c r="L40" s="14" t="s">
        <v>644</v>
      </c>
      <c r="M40" s="14" t="s">
        <v>177</v>
      </c>
      <c r="N40" s="15" t="s">
        <v>645</v>
      </c>
      <c r="P40" s="2" t="s">
        <v>107</v>
      </c>
      <c r="Q40" s="14" t="s">
        <v>654</v>
      </c>
      <c r="R40" s="14" t="s">
        <v>668</v>
      </c>
      <c r="S40" s="15" t="s">
        <v>655</v>
      </c>
      <c r="U40" s="2" t="s">
        <v>143</v>
      </c>
      <c r="V40" s="14" t="s">
        <v>759</v>
      </c>
      <c r="W40" s="14" t="s">
        <v>395</v>
      </c>
      <c r="X40" s="15" t="s">
        <v>760</v>
      </c>
      <c r="Z40" s="2" t="s">
        <v>138</v>
      </c>
      <c r="AA40" s="14" t="s">
        <v>739</v>
      </c>
      <c r="AB40" s="14" t="s">
        <v>395</v>
      </c>
      <c r="AC40" s="15" t="s">
        <v>740</v>
      </c>
      <c r="AE40" s="2" t="s">
        <v>126</v>
      </c>
      <c r="AF40" s="14" t="s">
        <v>690</v>
      </c>
      <c r="AG40" s="14" t="s">
        <v>177</v>
      </c>
      <c r="AH40" s="15" t="s">
        <v>691</v>
      </c>
      <c r="AJ40" s="2"/>
      <c r="AK40" s="14"/>
      <c r="AL40" s="14"/>
      <c r="AM40" s="15" t="s">
        <v>761</v>
      </c>
      <c r="AT40" s="2" t="s">
        <v>762</v>
      </c>
      <c r="AU40" s="14" t="s">
        <v>762</v>
      </c>
      <c r="AV40" s="14" t="s">
        <v>407</v>
      </c>
      <c r="AW40" s="15" t="s">
        <v>763</v>
      </c>
      <c r="BN40" s="2" t="s">
        <v>144</v>
      </c>
      <c r="BO40" s="14" t="s">
        <v>144</v>
      </c>
      <c r="BP40" s="14" t="s">
        <v>292</v>
      </c>
      <c r="BQ40" s="15" t="s">
        <v>764</v>
      </c>
    </row>
    <row r="41" spans="1:69" x14ac:dyDescent="0.25">
      <c r="A41" s="2" t="s">
        <v>765</v>
      </c>
      <c r="B41" s="14" t="s">
        <v>766</v>
      </c>
      <c r="C41" s="14" t="s">
        <v>292</v>
      </c>
      <c r="D41" s="15" t="s">
        <v>767</v>
      </c>
      <c r="F41" s="2" t="s">
        <v>145</v>
      </c>
      <c r="G41" s="14" t="s">
        <v>145</v>
      </c>
      <c r="H41" s="14" t="s">
        <v>611</v>
      </c>
      <c r="I41" s="15" t="s">
        <v>145</v>
      </c>
      <c r="K41" s="2" t="s">
        <v>115</v>
      </c>
      <c r="L41" s="14" t="s">
        <v>656</v>
      </c>
      <c r="M41" s="14" t="s">
        <v>177</v>
      </c>
      <c r="N41" s="15" t="s">
        <v>657</v>
      </c>
      <c r="P41" s="2" t="s">
        <v>66</v>
      </c>
      <c r="Q41" s="14" t="s">
        <v>467</v>
      </c>
      <c r="R41" s="14" t="s">
        <v>292</v>
      </c>
      <c r="S41" s="15" t="s">
        <v>771</v>
      </c>
      <c r="U41" s="2" t="s">
        <v>146</v>
      </c>
      <c r="V41" s="14" t="s">
        <v>772</v>
      </c>
      <c r="W41" s="14" t="s">
        <v>395</v>
      </c>
      <c r="X41" s="15" t="s">
        <v>773</v>
      </c>
      <c r="Z41" s="2" t="s">
        <v>140</v>
      </c>
      <c r="AA41" s="14" t="s">
        <v>749</v>
      </c>
      <c r="AB41" s="14" t="s">
        <v>395</v>
      </c>
      <c r="AC41" s="15" t="s">
        <v>750</v>
      </c>
      <c r="AE41" s="2" t="s">
        <v>129</v>
      </c>
      <c r="AF41" s="14" t="s">
        <v>699</v>
      </c>
      <c r="AG41" s="14" t="s">
        <v>177</v>
      </c>
      <c r="AH41" s="15" t="s">
        <v>700</v>
      </c>
      <c r="AJ41" s="2"/>
      <c r="AK41" s="14"/>
      <c r="AL41" s="14"/>
      <c r="AM41" s="15" t="s">
        <v>774</v>
      </c>
      <c r="AT41" s="2" t="s">
        <v>775</v>
      </c>
      <c r="AU41" s="14" t="s">
        <v>775</v>
      </c>
      <c r="AV41" s="14" t="s">
        <v>776</v>
      </c>
      <c r="AW41" s="15" t="s">
        <v>777</v>
      </c>
      <c r="BN41" s="2" t="s">
        <v>147</v>
      </c>
      <c r="BO41" s="14" t="s">
        <v>147</v>
      </c>
      <c r="BP41" s="14" t="s">
        <v>292</v>
      </c>
      <c r="BQ41" s="15" t="s">
        <v>778</v>
      </c>
    </row>
    <row r="42" spans="1:69" ht="15.75" thickBot="1" x14ac:dyDescent="0.3">
      <c r="A42" s="2" t="s">
        <v>779</v>
      </c>
      <c r="B42" s="14" t="s">
        <v>780</v>
      </c>
      <c r="C42" s="14" t="s">
        <v>292</v>
      </c>
      <c r="D42" s="15" t="s">
        <v>781</v>
      </c>
      <c r="F42" s="2" t="s">
        <v>148</v>
      </c>
      <c r="G42" s="14" t="s">
        <v>768</v>
      </c>
      <c r="H42" s="14" t="s">
        <v>769</v>
      </c>
      <c r="I42" s="15" t="s">
        <v>770</v>
      </c>
      <c r="K42" s="2" t="s">
        <v>142</v>
      </c>
      <c r="L42" s="14" t="s">
        <v>784</v>
      </c>
      <c r="M42" s="14" t="s">
        <v>292</v>
      </c>
      <c r="N42" s="15" t="s">
        <v>785</v>
      </c>
      <c r="P42" s="2" t="s">
        <v>151</v>
      </c>
      <c r="Q42" s="14" t="s">
        <v>786</v>
      </c>
      <c r="R42" s="14" t="s">
        <v>483</v>
      </c>
      <c r="S42" s="15" t="s">
        <v>787</v>
      </c>
      <c r="U42" s="2" t="s">
        <v>150</v>
      </c>
      <c r="V42" s="14" t="s">
        <v>788</v>
      </c>
      <c r="W42" s="14" t="s">
        <v>429</v>
      </c>
      <c r="X42" s="15" t="s">
        <v>789</v>
      </c>
      <c r="Z42" s="2" t="s">
        <v>143</v>
      </c>
      <c r="AA42" s="14" t="s">
        <v>759</v>
      </c>
      <c r="AB42" s="14" t="s">
        <v>395</v>
      </c>
      <c r="AC42" s="15" t="s">
        <v>760</v>
      </c>
      <c r="AE42" s="2" t="s">
        <v>131</v>
      </c>
      <c r="AF42" s="14" t="s">
        <v>713</v>
      </c>
      <c r="AG42" s="14" t="s">
        <v>177</v>
      </c>
      <c r="AH42" s="15" t="s">
        <v>714</v>
      </c>
      <c r="AJ42" s="2"/>
      <c r="AK42" s="14"/>
      <c r="AL42" s="14"/>
      <c r="AM42" s="15" t="s">
        <v>790</v>
      </c>
      <c r="AT42" s="16" t="s">
        <v>791</v>
      </c>
      <c r="AU42" s="17" t="s">
        <v>792</v>
      </c>
      <c r="AV42" s="17" t="s">
        <v>292</v>
      </c>
      <c r="AW42" s="18" t="s">
        <v>793</v>
      </c>
      <c r="BN42" s="2" t="s">
        <v>152</v>
      </c>
      <c r="BO42" s="14" t="s">
        <v>152</v>
      </c>
      <c r="BP42" s="14" t="s">
        <v>292</v>
      </c>
      <c r="BQ42" s="15" t="s">
        <v>794</v>
      </c>
    </row>
    <row r="43" spans="1:69" x14ac:dyDescent="0.25">
      <c r="A43" s="2" t="s">
        <v>795</v>
      </c>
      <c r="B43" s="14" t="s">
        <v>796</v>
      </c>
      <c r="C43" s="14" t="s">
        <v>292</v>
      </c>
      <c r="D43" s="15" t="s">
        <v>797</v>
      </c>
      <c r="F43" s="2" t="s">
        <v>153</v>
      </c>
      <c r="G43" s="14" t="s">
        <v>782</v>
      </c>
      <c r="H43" s="14" t="s">
        <v>177</v>
      </c>
      <c r="I43" s="15" t="s">
        <v>783</v>
      </c>
      <c r="K43" s="2" t="s">
        <v>132</v>
      </c>
      <c r="L43" s="14" t="s">
        <v>715</v>
      </c>
      <c r="M43" s="14" t="s">
        <v>716</v>
      </c>
      <c r="N43" s="15" t="s">
        <v>717</v>
      </c>
      <c r="P43" s="2" t="s">
        <v>82</v>
      </c>
      <c r="Q43" s="14" t="s">
        <v>553</v>
      </c>
      <c r="R43" s="14" t="s">
        <v>292</v>
      </c>
      <c r="S43" s="15" t="s">
        <v>554</v>
      </c>
      <c r="U43" s="2" t="s">
        <v>155</v>
      </c>
      <c r="V43" s="14" t="s">
        <v>798</v>
      </c>
      <c r="W43" s="14" t="s">
        <v>429</v>
      </c>
      <c r="X43" s="15" t="s">
        <v>799</v>
      </c>
      <c r="Z43" s="2" t="s">
        <v>146</v>
      </c>
      <c r="AA43" s="14" t="s">
        <v>772</v>
      </c>
      <c r="AB43" s="14" t="s">
        <v>395</v>
      </c>
      <c r="AC43" s="15" t="s">
        <v>773</v>
      </c>
      <c r="AE43" s="2" t="s">
        <v>135</v>
      </c>
      <c r="AF43" s="14" t="s">
        <v>728</v>
      </c>
      <c r="AG43" s="14" t="s">
        <v>395</v>
      </c>
      <c r="AH43" s="15" t="s">
        <v>729</v>
      </c>
      <c r="AJ43" s="2"/>
      <c r="AK43" s="14"/>
      <c r="AL43" s="14"/>
      <c r="AM43" s="15" t="s">
        <v>800</v>
      </c>
      <c r="BN43" s="2" t="s">
        <v>156</v>
      </c>
      <c r="BO43" s="14" t="s">
        <v>156</v>
      </c>
      <c r="BP43" s="14" t="s">
        <v>292</v>
      </c>
      <c r="BQ43" s="15" t="s">
        <v>801</v>
      </c>
    </row>
    <row r="44" spans="1:69" x14ac:dyDescent="0.25">
      <c r="A44" s="2" t="s">
        <v>802</v>
      </c>
      <c r="B44" s="14" t="s">
        <v>780</v>
      </c>
      <c r="C44" s="14" t="s">
        <v>292</v>
      </c>
      <c r="D44" s="15" t="s">
        <v>803</v>
      </c>
      <c r="F44" s="2" t="s">
        <v>96</v>
      </c>
      <c r="G44" s="14" t="s">
        <v>592</v>
      </c>
      <c r="H44" s="14" t="s">
        <v>289</v>
      </c>
      <c r="I44" s="15" t="s">
        <v>593</v>
      </c>
      <c r="K44" s="2" t="s">
        <v>149</v>
      </c>
      <c r="L44" s="14" t="s">
        <v>804</v>
      </c>
      <c r="M44" s="14" t="s">
        <v>536</v>
      </c>
      <c r="N44" s="15" t="s">
        <v>805</v>
      </c>
      <c r="P44" s="2" t="s">
        <v>87</v>
      </c>
      <c r="Q44" s="14" t="s">
        <v>567</v>
      </c>
      <c r="R44" s="14" t="s">
        <v>292</v>
      </c>
      <c r="S44" s="15" t="s">
        <v>568</v>
      </c>
      <c r="U44" s="2" t="s">
        <v>157</v>
      </c>
      <c r="V44" s="14" t="s">
        <v>806</v>
      </c>
      <c r="W44" s="14" t="s">
        <v>429</v>
      </c>
      <c r="X44" s="15" t="s">
        <v>807</v>
      </c>
      <c r="Z44" s="2" t="s">
        <v>150</v>
      </c>
      <c r="AA44" s="14" t="s">
        <v>788</v>
      </c>
      <c r="AB44" s="14" t="s">
        <v>429</v>
      </c>
      <c r="AC44" s="15" t="s">
        <v>789</v>
      </c>
      <c r="AE44" s="2" t="s">
        <v>138</v>
      </c>
      <c r="AF44" s="14" t="s">
        <v>739</v>
      </c>
      <c r="AG44" s="14" t="s">
        <v>395</v>
      </c>
      <c r="AH44" s="15" t="s">
        <v>740</v>
      </c>
      <c r="AJ44" s="2"/>
      <c r="AK44" s="14"/>
      <c r="AL44" s="14"/>
      <c r="AM44" s="15" t="s">
        <v>808</v>
      </c>
      <c r="BN44" s="2" t="s">
        <v>158</v>
      </c>
      <c r="BO44" s="14" t="s">
        <v>158</v>
      </c>
      <c r="BP44" s="14" t="s">
        <v>292</v>
      </c>
      <c r="BQ44" s="15" t="s">
        <v>809</v>
      </c>
    </row>
    <row r="45" spans="1:69" x14ac:dyDescent="0.25">
      <c r="A45" s="2" t="s">
        <v>810</v>
      </c>
      <c r="B45" s="14" t="s">
        <v>796</v>
      </c>
      <c r="C45" s="14" t="s">
        <v>292</v>
      </c>
      <c r="D45" s="15" t="s">
        <v>811</v>
      </c>
      <c r="F45" s="2" t="s">
        <v>100</v>
      </c>
      <c r="G45" s="14" t="s">
        <v>601</v>
      </c>
      <c r="H45" s="14" t="s">
        <v>289</v>
      </c>
      <c r="I45" s="15" t="s">
        <v>602</v>
      </c>
      <c r="K45" s="2" t="s">
        <v>154</v>
      </c>
      <c r="L45" s="14" t="s">
        <v>812</v>
      </c>
      <c r="M45" s="14" t="s">
        <v>536</v>
      </c>
      <c r="N45" s="15" t="s">
        <v>813</v>
      </c>
      <c r="P45" s="2" t="s">
        <v>91</v>
      </c>
      <c r="Q45" s="14" t="s">
        <v>580</v>
      </c>
      <c r="R45" s="14" t="s">
        <v>292</v>
      </c>
      <c r="S45" s="15" t="s">
        <v>581</v>
      </c>
      <c r="U45" s="2" t="s">
        <v>159</v>
      </c>
      <c r="V45" s="14" t="s">
        <v>814</v>
      </c>
      <c r="W45" s="14" t="s">
        <v>429</v>
      </c>
      <c r="X45" s="15" t="s">
        <v>815</v>
      </c>
      <c r="Z45" s="2" t="s">
        <v>155</v>
      </c>
      <c r="AA45" s="14" t="s">
        <v>798</v>
      </c>
      <c r="AB45" s="14" t="s">
        <v>429</v>
      </c>
      <c r="AC45" s="15" t="s">
        <v>799</v>
      </c>
      <c r="AE45" s="2" t="s">
        <v>140</v>
      </c>
      <c r="AF45" s="14" t="s">
        <v>749</v>
      </c>
      <c r="AG45" s="14" t="s">
        <v>395</v>
      </c>
      <c r="AH45" s="15" t="s">
        <v>750</v>
      </c>
      <c r="AJ45" s="2"/>
      <c r="AK45" s="14"/>
      <c r="AL45" s="14"/>
      <c r="AM45" s="15" t="s">
        <v>816</v>
      </c>
      <c r="BN45" s="2" t="s">
        <v>160</v>
      </c>
      <c r="BO45" s="14" t="s">
        <v>160</v>
      </c>
      <c r="BP45" s="14" t="s">
        <v>292</v>
      </c>
      <c r="BQ45" s="15" t="s">
        <v>817</v>
      </c>
    </row>
    <row r="46" spans="1:69" ht="15" customHeight="1" x14ac:dyDescent="0.25">
      <c r="A46" s="2" t="s">
        <v>818</v>
      </c>
      <c r="B46" s="14" t="s">
        <v>819</v>
      </c>
      <c r="C46" s="14" t="s">
        <v>820</v>
      </c>
      <c r="D46" s="15" t="s">
        <v>821</v>
      </c>
      <c r="F46" s="2" t="s">
        <v>104</v>
      </c>
      <c r="G46" s="14" t="s">
        <v>616</v>
      </c>
      <c r="H46" s="14" t="s">
        <v>289</v>
      </c>
      <c r="I46" s="15" t="s">
        <v>617</v>
      </c>
      <c r="K46" s="2" t="s">
        <v>136</v>
      </c>
      <c r="L46" s="14" t="s">
        <v>730</v>
      </c>
      <c r="M46" s="14" t="s">
        <v>292</v>
      </c>
      <c r="N46" s="15" t="s">
        <v>731</v>
      </c>
      <c r="P46" s="2" t="s">
        <v>96</v>
      </c>
      <c r="Q46" s="14" t="s">
        <v>592</v>
      </c>
      <c r="R46" s="14" t="s">
        <v>177</v>
      </c>
      <c r="S46" s="15" t="s">
        <v>593</v>
      </c>
      <c r="U46" s="2" t="s">
        <v>161</v>
      </c>
      <c r="V46" s="14" t="s">
        <v>822</v>
      </c>
      <c r="W46" s="14" t="s">
        <v>429</v>
      </c>
      <c r="X46" s="15" t="s">
        <v>823</v>
      </c>
      <c r="Z46" s="2" t="s">
        <v>157</v>
      </c>
      <c r="AA46" s="14" t="s">
        <v>806</v>
      </c>
      <c r="AB46" s="14" t="s">
        <v>429</v>
      </c>
      <c r="AC46" s="15" t="s">
        <v>807</v>
      </c>
      <c r="AE46" s="2" t="s">
        <v>143</v>
      </c>
      <c r="AF46" s="14" t="s">
        <v>759</v>
      </c>
      <c r="AG46" s="14" t="s">
        <v>395</v>
      </c>
      <c r="AH46" s="15" t="s">
        <v>760</v>
      </c>
      <c r="AJ46" s="2"/>
      <c r="AK46" s="14"/>
      <c r="AL46" s="14"/>
      <c r="AM46" s="15"/>
      <c r="BN46" s="2" t="s">
        <v>162</v>
      </c>
      <c r="BO46" s="14" t="s">
        <v>162</v>
      </c>
      <c r="BP46" s="14" t="s">
        <v>292</v>
      </c>
      <c r="BQ46" s="15" t="s">
        <v>824</v>
      </c>
    </row>
    <row r="47" spans="1:69" ht="15" customHeight="1" x14ac:dyDescent="0.25">
      <c r="A47" s="2" t="s">
        <v>825</v>
      </c>
      <c r="B47" s="14" t="s">
        <v>826</v>
      </c>
      <c r="C47" s="14" t="s">
        <v>820</v>
      </c>
      <c r="D47" s="15" t="s">
        <v>827</v>
      </c>
      <c r="F47" s="2" t="s">
        <v>108</v>
      </c>
      <c r="G47" s="14" t="s">
        <v>630</v>
      </c>
      <c r="H47" s="14" t="s">
        <v>289</v>
      </c>
      <c r="I47" s="15" t="s">
        <v>631</v>
      </c>
      <c r="K47" s="2" t="s">
        <v>118</v>
      </c>
      <c r="L47" s="14" t="s">
        <v>669</v>
      </c>
      <c r="M47" s="14" t="s">
        <v>177</v>
      </c>
      <c r="N47" s="15" t="s">
        <v>670</v>
      </c>
      <c r="P47" s="2" t="s">
        <v>100</v>
      </c>
      <c r="Q47" s="14" t="s">
        <v>601</v>
      </c>
      <c r="R47" s="14" t="s">
        <v>177</v>
      </c>
      <c r="S47" s="15" t="s">
        <v>602</v>
      </c>
      <c r="U47" s="2" t="s">
        <v>163</v>
      </c>
      <c r="V47" s="14" t="s">
        <v>828</v>
      </c>
      <c r="W47" s="14" t="s">
        <v>292</v>
      </c>
      <c r="X47" s="15" t="s">
        <v>829</v>
      </c>
      <c r="Z47" s="2" t="s">
        <v>159</v>
      </c>
      <c r="AA47" s="14" t="s">
        <v>814</v>
      </c>
      <c r="AB47" s="14" t="s">
        <v>429</v>
      </c>
      <c r="AC47" s="15" t="s">
        <v>815</v>
      </c>
      <c r="AE47" s="2" t="s">
        <v>146</v>
      </c>
      <c r="AF47" s="14" t="s">
        <v>772</v>
      </c>
      <c r="AG47" s="14" t="s">
        <v>395</v>
      </c>
      <c r="AH47" s="15" t="s">
        <v>773</v>
      </c>
      <c r="AJ47" s="2" t="s">
        <v>830</v>
      </c>
      <c r="AK47" s="14" t="s">
        <v>831</v>
      </c>
      <c r="AL47" s="14" t="s">
        <v>292</v>
      </c>
      <c r="AM47" s="15" t="b">
        <v>1</v>
      </c>
      <c r="BN47" s="2" t="s">
        <v>164</v>
      </c>
      <c r="BO47" s="14" t="s">
        <v>164</v>
      </c>
      <c r="BP47" s="14" t="s">
        <v>292</v>
      </c>
      <c r="BQ47" s="15" t="s">
        <v>832</v>
      </c>
    </row>
    <row r="48" spans="1:69" x14ac:dyDescent="0.25">
      <c r="A48" s="2" t="s">
        <v>833</v>
      </c>
      <c r="B48" s="14" t="s">
        <v>834</v>
      </c>
      <c r="C48" s="14" t="s">
        <v>820</v>
      </c>
      <c r="D48" s="15" t="s">
        <v>835</v>
      </c>
      <c r="F48" s="2" t="s">
        <v>112</v>
      </c>
      <c r="G48" s="14" t="s">
        <v>644</v>
      </c>
      <c r="H48" s="14" t="s">
        <v>289</v>
      </c>
      <c r="I48" s="15" t="s">
        <v>645</v>
      </c>
      <c r="K48" s="2" t="s">
        <v>122</v>
      </c>
      <c r="L48" s="14" t="s">
        <v>679</v>
      </c>
      <c r="M48" s="14" t="s">
        <v>177</v>
      </c>
      <c r="N48" s="15" t="s">
        <v>680</v>
      </c>
      <c r="P48" s="2" t="s">
        <v>104</v>
      </c>
      <c r="Q48" s="14" t="s">
        <v>616</v>
      </c>
      <c r="R48" s="14" t="s">
        <v>177</v>
      </c>
      <c r="S48" s="15" t="s">
        <v>617</v>
      </c>
      <c r="U48" s="2" t="s">
        <v>165</v>
      </c>
      <c r="V48" s="14" t="s">
        <v>836</v>
      </c>
      <c r="W48" s="14" t="s">
        <v>292</v>
      </c>
      <c r="X48" s="15" t="s">
        <v>837</v>
      </c>
      <c r="Z48" s="2" t="s">
        <v>161</v>
      </c>
      <c r="AA48" s="14" t="s">
        <v>822</v>
      </c>
      <c r="AB48" s="14" t="s">
        <v>429</v>
      </c>
      <c r="AC48" s="15" t="s">
        <v>823</v>
      </c>
      <c r="AE48" s="2" t="s">
        <v>150</v>
      </c>
      <c r="AF48" s="14" t="s">
        <v>788</v>
      </c>
      <c r="AG48" s="14" t="s">
        <v>429</v>
      </c>
      <c r="AH48" s="15" t="s">
        <v>789</v>
      </c>
      <c r="AJ48" s="2"/>
      <c r="AK48" s="14"/>
      <c r="AL48" s="14"/>
      <c r="AM48" s="15" t="s">
        <v>838</v>
      </c>
      <c r="BN48" s="2" t="s">
        <v>166</v>
      </c>
      <c r="BO48" s="14" t="s">
        <v>166</v>
      </c>
      <c r="BP48" s="14" t="s">
        <v>292</v>
      </c>
      <c r="BQ48" s="15" t="s">
        <v>839</v>
      </c>
    </row>
    <row r="49" spans="1:69" x14ac:dyDescent="0.25">
      <c r="A49" s="2" t="s">
        <v>840</v>
      </c>
      <c r="B49" s="14" t="s">
        <v>841</v>
      </c>
      <c r="C49" s="14" t="s">
        <v>820</v>
      </c>
      <c r="D49" s="15" t="s">
        <v>842</v>
      </c>
      <c r="F49" s="2" t="s">
        <v>115</v>
      </c>
      <c r="G49" s="14" t="s">
        <v>656</v>
      </c>
      <c r="H49" s="14" t="s">
        <v>289</v>
      </c>
      <c r="I49" s="15" t="s">
        <v>657</v>
      </c>
      <c r="K49" s="2" t="s">
        <v>126</v>
      </c>
      <c r="L49" s="14" t="s">
        <v>690</v>
      </c>
      <c r="M49" s="14" t="s">
        <v>177</v>
      </c>
      <c r="N49" s="15" t="s">
        <v>691</v>
      </c>
      <c r="P49" s="2" t="s">
        <v>108</v>
      </c>
      <c r="Q49" s="14" t="s">
        <v>630</v>
      </c>
      <c r="R49" s="14" t="s">
        <v>177</v>
      </c>
      <c r="S49" s="15" t="s">
        <v>631</v>
      </c>
      <c r="U49" s="2" t="s">
        <v>167</v>
      </c>
      <c r="V49" s="14" t="s">
        <v>846</v>
      </c>
      <c r="W49" s="14" t="s">
        <v>292</v>
      </c>
      <c r="X49" s="15" t="s">
        <v>847</v>
      </c>
      <c r="Z49" s="2" t="s">
        <v>163</v>
      </c>
      <c r="AA49" s="14" t="s">
        <v>828</v>
      </c>
      <c r="AB49" s="14" t="s">
        <v>292</v>
      </c>
      <c r="AC49" s="15" t="s">
        <v>829</v>
      </c>
      <c r="AE49" s="2" t="s">
        <v>155</v>
      </c>
      <c r="AF49" s="14" t="s">
        <v>798</v>
      </c>
      <c r="AG49" s="14" t="s">
        <v>429</v>
      </c>
      <c r="AH49" s="15" t="s">
        <v>799</v>
      </c>
      <c r="AJ49" s="2"/>
      <c r="AK49" s="14"/>
      <c r="AL49" s="14"/>
      <c r="AM49" s="15" t="b">
        <v>0</v>
      </c>
      <c r="BN49" s="2" t="s">
        <v>168</v>
      </c>
      <c r="BO49" s="14" t="s">
        <v>168</v>
      </c>
      <c r="BP49" s="14" t="s">
        <v>292</v>
      </c>
      <c r="BQ49" s="15" t="s">
        <v>848</v>
      </c>
    </row>
    <row r="50" spans="1:69" x14ac:dyDescent="0.25">
      <c r="A50" s="2" t="s">
        <v>849</v>
      </c>
      <c r="B50" s="14" t="s">
        <v>850</v>
      </c>
      <c r="C50" s="14" t="s">
        <v>820</v>
      </c>
      <c r="D50" s="15" t="s">
        <v>851</v>
      </c>
      <c r="F50" s="2" t="s">
        <v>169</v>
      </c>
      <c r="G50" s="14" t="s">
        <v>843</v>
      </c>
      <c r="H50" s="14" t="s">
        <v>844</v>
      </c>
      <c r="I50" s="15" t="s">
        <v>845</v>
      </c>
      <c r="K50" s="2" t="s">
        <v>129</v>
      </c>
      <c r="L50" s="14" t="s">
        <v>699</v>
      </c>
      <c r="M50" s="14" t="s">
        <v>177</v>
      </c>
      <c r="N50" s="15" t="s">
        <v>700</v>
      </c>
      <c r="P50" s="2" t="s">
        <v>112</v>
      </c>
      <c r="Q50" s="14" t="s">
        <v>644</v>
      </c>
      <c r="R50" s="14" t="s">
        <v>177</v>
      </c>
      <c r="S50" s="15" t="s">
        <v>645</v>
      </c>
      <c r="U50" s="2" t="s">
        <v>170</v>
      </c>
      <c r="V50" s="14" t="s">
        <v>853</v>
      </c>
      <c r="W50" s="14" t="s">
        <v>292</v>
      </c>
      <c r="X50" s="15" t="s">
        <v>854</v>
      </c>
      <c r="Z50" s="2" t="s">
        <v>165</v>
      </c>
      <c r="AA50" s="14" t="s">
        <v>836</v>
      </c>
      <c r="AB50" s="14" t="s">
        <v>292</v>
      </c>
      <c r="AC50" s="15" t="s">
        <v>837</v>
      </c>
      <c r="AE50" s="2" t="s">
        <v>157</v>
      </c>
      <c r="AF50" s="14" t="s">
        <v>806</v>
      </c>
      <c r="AG50" s="14" t="s">
        <v>429</v>
      </c>
      <c r="AH50" s="15" t="s">
        <v>807</v>
      </c>
      <c r="AJ50" s="2"/>
      <c r="AK50" s="14"/>
      <c r="AL50" s="14"/>
      <c r="AM50" s="15" t="s">
        <v>855</v>
      </c>
      <c r="BN50" s="2" t="s">
        <v>171</v>
      </c>
      <c r="BO50" s="14" t="s">
        <v>171</v>
      </c>
      <c r="BP50" s="14" t="s">
        <v>292</v>
      </c>
      <c r="BQ50" s="15" t="s">
        <v>856</v>
      </c>
    </row>
    <row r="51" spans="1:69" ht="28.5" customHeight="1" x14ac:dyDescent="0.25">
      <c r="A51" s="2" t="s">
        <v>857</v>
      </c>
      <c r="B51" s="14" t="s">
        <v>858</v>
      </c>
      <c r="C51" s="14" t="s">
        <v>820</v>
      </c>
      <c r="D51" s="15" t="s">
        <v>859</v>
      </c>
      <c r="F51" s="2" t="s">
        <v>142</v>
      </c>
      <c r="G51" s="14" t="s">
        <v>142</v>
      </c>
      <c r="H51" s="14" t="s">
        <v>292</v>
      </c>
      <c r="I51" s="15" t="s">
        <v>852</v>
      </c>
      <c r="K51" s="2" t="s">
        <v>131</v>
      </c>
      <c r="L51" s="14" t="s">
        <v>713</v>
      </c>
      <c r="M51" s="14" t="s">
        <v>177</v>
      </c>
      <c r="N51" s="15" t="s">
        <v>714</v>
      </c>
      <c r="P51" s="2" t="s">
        <v>115</v>
      </c>
      <c r="Q51" s="14" t="s">
        <v>656</v>
      </c>
      <c r="R51" s="14" t="s">
        <v>177</v>
      </c>
      <c r="S51" s="15" t="s">
        <v>657</v>
      </c>
      <c r="U51" s="2" t="s">
        <v>172</v>
      </c>
      <c r="V51" s="14" t="s">
        <v>862</v>
      </c>
      <c r="W51" s="14" t="s">
        <v>292</v>
      </c>
      <c r="X51" s="15" t="s">
        <v>863</v>
      </c>
      <c r="Z51" s="2" t="s">
        <v>167</v>
      </c>
      <c r="AA51" s="14" t="s">
        <v>846</v>
      </c>
      <c r="AB51" s="14" t="s">
        <v>292</v>
      </c>
      <c r="AC51" s="15" t="s">
        <v>847</v>
      </c>
      <c r="AE51" s="2" t="s">
        <v>159</v>
      </c>
      <c r="AF51" s="14" t="s">
        <v>814</v>
      </c>
      <c r="AG51" s="14" t="s">
        <v>429</v>
      </c>
      <c r="AH51" s="15" t="s">
        <v>815</v>
      </c>
      <c r="AJ51" s="2"/>
      <c r="AK51" s="14"/>
      <c r="AL51" s="14"/>
      <c r="AM51" s="15"/>
      <c r="BN51" s="2" t="s">
        <v>173</v>
      </c>
      <c r="BO51" s="14" t="s">
        <v>173</v>
      </c>
      <c r="BP51" s="14" t="s">
        <v>292</v>
      </c>
      <c r="BQ51" s="15" t="s">
        <v>864</v>
      </c>
    </row>
    <row r="52" spans="1:69" ht="28.5" customHeight="1" x14ac:dyDescent="0.25">
      <c r="A52" s="2" t="s">
        <v>865</v>
      </c>
      <c r="B52" s="14" t="s">
        <v>866</v>
      </c>
      <c r="C52" s="14" t="s">
        <v>820</v>
      </c>
      <c r="D52" s="15" t="s">
        <v>867</v>
      </c>
      <c r="F52" s="2" t="s">
        <v>174</v>
      </c>
      <c r="G52" s="14" t="s">
        <v>860</v>
      </c>
      <c r="H52" s="14" t="s">
        <v>292</v>
      </c>
      <c r="I52" s="15" t="s">
        <v>861</v>
      </c>
      <c r="K52" s="2" t="s">
        <v>135</v>
      </c>
      <c r="L52" s="14" t="s">
        <v>728</v>
      </c>
      <c r="M52" s="14" t="s">
        <v>395</v>
      </c>
      <c r="N52" s="15" t="s">
        <v>729</v>
      </c>
      <c r="P52" s="2" t="s">
        <v>118</v>
      </c>
      <c r="Q52" s="14" t="s">
        <v>669</v>
      </c>
      <c r="R52" s="14" t="s">
        <v>177</v>
      </c>
      <c r="S52" s="15" t="s">
        <v>670</v>
      </c>
      <c r="U52" s="2" t="s">
        <v>175</v>
      </c>
      <c r="V52" s="14" t="s">
        <v>869</v>
      </c>
      <c r="W52" s="14" t="s">
        <v>177</v>
      </c>
      <c r="X52" s="15" t="s">
        <v>870</v>
      </c>
      <c r="Z52" s="2" t="s">
        <v>170</v>
      </c>
      <c r="AA52" s="14" t="s">
        <v>853</v>
      </c>
      <c r="AB52" s="14" t="s">
        <v>292</v>
      </c>
      <c r="AC52" s="15" t="s">
        <v>854</v>
      </c>
      <c r="AE52" s="2" t="s">
        <v>161</v>
      </c>
      <c r="AF52" s="14" t="s">
        <v>822</v>
      </c>
      <c r="AG52" s="14" t="s">
        <v>429</v>
      </c>
      <c r="AH52" s="15" t="s">
        <v>823</v>
      </c>
      <c r="AJ52" s="2" t="s">
        <v>871</v>
      </c>
      <c r="AK52" s="14" t="s">
        <v>872</v>
      </c>
      <c r="AL52" s="14" t="s">
        <v>292</v>
      </c>
      <c r="AM52" s="15" t="s">
        <v>873</v>
      </c>
      <c r="BN52" s="2" t="s">
        <v>176</v>
      </c>
      <c r="BO52" s="14" t="s">
        <v>176</v>
      </c>
      <c r="BP52" s="14" t="s">
        <v>292</v>
      </c>
      <c r="BQ52" s="15" t="s">
        <v>874</v>
      </c>
    </row>
    <row r="53" spans="1:69" x14ac:dyDescent="0.25">
      <c r="A53" s="2" t="s">
        <v>875</v>
      </c>
      <c r="B53" s="14" t="s">
        <v>467</v>
      </c>
      <c r="C53" s="14" t="s">
        <v>292</v>
      </c>
      <c r="D53" s="15" t="s">
        <v>876</v>
      </c>
      <c r="F53" s="2" t="s">
        <v>177</v>
      </c>
      <c r="G53" s="14" t="s">
        <v>177</v>
      </c>
      <c r="H53" s="14" t="s">
        <v>292</v>
      </c>
      <c r="I53" s="15" t="s">
        <v>868</v>
      </c>
      <c r="K53" s="2" t="s">
        <v>138</v>
      </c>
      <c r="L53" s="14" t="s">
        <v>739</v>
      </c>
      <c r="M53" s="14" t="s">
        <v>395</v>
      </c>
      <c r="N53" s="15" t="s">
        <v>740</v>
      </c>
      <c r="P53" s="2" t="s">
        <v>122</v>
      </c>
      <c r="Q53" s="14" t="s">
        <v>679</v>
      </c>
      <c r="R53" s="14" t="s">
        <v>177</v>
      </c>
      <c r="S53" s="15" t="s">
        <v>680</v>
      </c>
      <c r="U53" s="2" t="s">
        <v>178</v>
      </c>
      <c r="V53" s="14" t="s">
        <v>879</v>
      </c>
      <c r="W53" s="14" t="s">
        <v>177</v>
      </c>
      <c r="X53" s="15" t="s">
        <v>880</v>
      </c>
      <c r="Z53" s="2" t="s">
        <v>172</v>
      </c>
      <c r="AA53" s="14" t="s">
        <v>862</v>
      </c>
      <c r="AB53" s="14" t="s">
        <v>292</v>
      </c>
      <c r="AC53" s="15" t="s">
        <v>863</v>
      </c>
      <c r="AE53" s="2" t="s">
        <v>163</v>
      </c>
      <c r="AF53" s="14" t="s">
        <v>828</v>
      </c>
      <c r="AG53" s="14" t="s">
        <v>292</v>
      </c>
      <c r="AH53" s="15" t="s">
        <v>829</v>
      </c>
      <c r="AJ53" s="2"/>
      <c r="AK53" s="14"/>
      <c r="AL53" s="14"/>
      <c r="AM53" s="15" t="s">
        <v>881</v>
      </c>
      <c r="BN53" s="2" t="s">
        <v>179</v>
      </c>
      <c r="BO53" s="14" t="s">
        <v>179</v>
      </c>
      <c r="BP53" s="14" t="s">
        <v>292</v>
      </c>
      <c r="BQ53" s="15" t="s">
        <v>882</v>
      </c>
    </row>
    <row r="54" spans="1:69" x14ac:dyDescent="0.25">
      <c r="A54" s="2" t="s">
        <v>883</v>
      </c>
      <c r="B54" s="14" t="s">
        <v>884</v>
      </c>
      <c r="C54" s="14" t="s">
        <v>820</v>
      </c>
      <c r="D54" s="15" t="s">
        <v>885</v>
      </c>
      <c r="F54" s="2" t="s">
        <v>180</v>
      </c>
      <c r="G54" s="14" t="s">
        <v>877</v>
      </c>
      <c r="H54" s="14" t="s">
        <v>611</v>
      </c>
      <c r="I54" s="15" t="s">
        <v>878</v>
      </c>
      <c r="K54" s="2" t="s">
        <v>140</v>
      </c>
      <c r="L54" s="14" t="s">
        <v>749</v>
      </c>
      <c r="M54" s="14" t="s">
        <v>395</v>
      </c>
      <c r="N54" s="15" t="s">
        <v>750</v>
      </c>
      <c r="P54" s="2" t="s">
        <v>126</v>
      </c>
      <c r="Q54" s="14" t="s">
        <v>690</v>
      </c>
      <c r="R54" s="14" t="s">
        <v>177</v>
      </c>
      <c r="S54" s="15" t="s">
        <v>691</v>
      </c>
      <c r="U54" s="2" t="s">
        <v>181</v>
      </c>
      <c r="V54" s="14" t="s">
        <v>886</v>
      </c>
      <c r="W54" s="14" t="s">
        <v>177</v>
      </c>
      <c r="X54" s="15" t="s">
        <v>887</v>
      </c>
      <c r="Z54" s="2" t="s">
        <v>175</v>
      </c>
      <c r="AA54" s="14" t="s">
        <v>869</v>
      </c>
      <c r="AB54" s="14" t="s">
        <v>177</v>
      </c>
      <c r="AC54" s="15" t="s">
        <v>870</v>
      </c>
      <c r="AE54" s="2" t="s">
        <v>165</v>
      </c>
      <c r="AF54" s="14" t="s">
        <v>836</v>
      </c>
      <c r="AG54" s="14" t="s">
        <v>292</v>
      </c>
      <c r="AH54" s="15" t="s">
        <v>837</v>
      </c>
      <c r="AJ54" s="2"/>
      <c r="AK54" s="14"/>
      <c r="AL54" s="14"/>
      <c r="AM54" s="15" t="s">
        <v>888</v>
      </c>
      <c r="BN54" s="2" t="s">
        <v>182</v>
      </c>
      <c r="BO54" s="14" t="s">
        <v>182</v>
      </c>
      <c r="BP54" s="14" t="s">
        <v>292</v>
      </c>
      <c r="BQ54" s="15" t="s">
        <v>889</v>
      </c>
    </row>
    <row r="55" spans="1:69" x14ac:dyDescent="0.25">
      <c r="A55" s="2" t="s">
        <v>890</v>
      </c>
      <c r="B55" s="14" t="s">
        <v>891</v>
      </c>
      <c r="C55" s="14" t="s">
        <v>292</v>
      </c>
      <c r="D55" s="15" t="s">
        <v>892</v>
      </c>
      <c r="F55" s="2" t="s">
        <v>136</v>
      </c>
      <c r="G55" s="14" t="s">
        <v>730</v>
      </c>
      <c r="H55" s="14"/>
      <c r="I55" s="15" t="s">
        <v>731</v>
      </c>
      <c r="K55" s="2" t="s">
        <v>143</v>
      </c>
      <c r="L55" s="14" t="s">
        <v>759</v>
      </c>
      <c r="M55" s="14" t="s">
        <v>395</v>
      </c>
      <c r="N55" s="15" t="s">
        <v>760</v>
      </c>
      <c r="P55" s="2" t="s">
        <v>129</v>
      </c>
      <c r="Q55" s="14" t="s">
        <v>699</v>
      </c>
      <c r="R55" s="14" t="s">
        <v>177</v>
      </c>
      <c r="S55" s="15" t="s">
        <v>700</v>
      </c>
      <c r="U55" s="2" t="s">
        <v>183</v>
      </c>
      <c r="V55" s="14" t="s">
        <v>893</v>
      </c>
      <c r="W55" s="14" t="s">
        <v>177</v>
      </c>
      <c r="X55" s="15" t="s">
        <v>894</v>
      </c>
      <c r="Z55" s="2" t="s">
        <v>178</v>
      </c>
      <c r="AA55" s="14" t="s">
        <v>879</v>
      </c>
      <c r="AB55" s="14" t="s">
        <v>177</v>
      </c>
      <c r="AC55" s="15" t="s">
        <v>880</v>
      </c>
      <c r="AE55" s="2" t="s">
        <v>167</v>
      </c>
      <c r="AF55" s="14" t="s">
        <v>846</v>
      </c>
      <c r="AG55" s="14" t="s">
        <v>292</v>
      </c>
      <c r="AH55" s="15" t="s">
        <v>847</v>
      </c>
      <c r="AJ55" s="2"/>
      <c r="AK55" s="14"/>
      <c r="AL55" s="14"/>
      <c r="AM55" s="15" t="s">
        <v>895</v>
      </c>
      <c r="BN55" s="2" t="s">
        <v>184</v>
      </c>
      <c r="BO55" s="14" t="s">
        <v>184</v>
      </c>
      <c r="BP55" s="14" t="s">
        <v>292</v>
      </c>
      <c r="BQ55" s="15" t="s">
        <v>896</v>
      </c>
    </row>
    <row r="56" spans="1:69" ht="15" customHeight="1" x14ac:dyDescent="0.25">
      <c r="A56" s="2" t="s">
        <v>121</v>
      </c>
      <c r="B56" s="14" t="s">
        <v>665</v>
      </c>
      <c r="C56" s="14" t="s">
        <v>820</v>
      </c>
      <c r="D56" s="15" t="s">
        <v>897</v>
      </c>
      <c r="F56" s="2" t="s">
        <v>118</v>
      </c>
      <c r="G56" s="14" t="s">
        <v>669</v>
      </c>
      <c r="H56" s="14" t="s">
        <v>289</v>
      </c>
      <c r="I56" s="15" t="s">
        <v>670</v>
      </c>
      <c r="K56" s="2" t="s">
        <v>146</v>
      </c>
      <c r="L56" s="14" t="s">
        <v>772</v>
      </c>
      <c r="M56" s="14" t="s">
        <v>395</v>
      </c>
      <c r="N56" s="15" t="s">
        <v>773</v>
      </c>
      <c r="P56" s="2" t="s">
        <v>131</v>
      </c>
      <c r="Q56" s="14" t="s">
        <v>713</v>
      </c>
      <c r="R56" s="14" t="s">
        <v>177</v>
      </c>
      <c r="S56" s="15" t="s">
        <v>714</v>
      </c>
      <c r="U56" s="2" t="s">
        <v>185</v>
      </c>
      <c r="V56" s="14" t="s">
        <v>898</v>
      </c>
      <c r="W56" s="14" t="s">
        <v>177</v>
      </c>
      <c r="X56" s="15" t="s">
        <v>899</v>
      </c>
      <c r="Z56" s="2" t="s">
        <v>181</v>
      </c>
      <c r="AA56" s="14" t="s">
        <v>886</v>
      </c>
      <c r="AB56" s="14" t="s">
        <v>177</v>
      </c>
      <c r="AC56" s="15" t="s">
        <v>887</v>
      </c>
      <c r="AE56" s="2" t="s">
        <v>170</v>
      </c>
      <c r="AF56" s="14" t="s">
        <v>853</v>
      </c>
      <c r="AG56" s="14" t="s">
        <v>292</v>
      </c>
      <c r="AH56" s="15" t="s">
        <v>854</v>
      </c>
      <c r="AJ56" s="2"/>
      <c r="AK56" s="14"/>
      <c r="AL56" s="14"/>
      <c r="AM56" s="15"/>
      <c r="BN56" s="2" t="s">
        <v>186</v>
      </c>
      <c r="BO56" s="14" t="s">
        <v>186</v>
      </c>
      <c r="BP56" s="14" t="s">
        <v>292</v>
      </c>
      <c r="BQ56" s="15" t="s">
        <v>900</v>
      </c>
    </row>
    <row r="57" spans="1:69" ht="15" customHeight="1" thickBot="1" x14ac:dyDescent="0.3">
      <c r="A57" s="2" t="s">
        <v>125</v>
      </c>
      <c r="B57" s="14" t="s">
        <v>677</v>
      </c>
      <c r="C57" s="14" t="s">
        <v>820</v>
      </c>
      <c r="D57" s="15" t="s">
        <v>678</v>
      </c>
      <c r="F57" s="2" t="s">
        <v>122</v>
      </c>
      <c r="G57" s="14" t="s">
        <v>679</v>
      </c>
      <c r="H57" s="14" t="s">
        <v>289</v>
      </c>
      <c r="I57" s="15" t="s">
        <v>680</v>
      </c>
      <c r="K57" s="2" t="s">
        <v>150</v>
      </c>
      <c r="L57" s="14" t="s">
        <v>788</v>
      </c>
      <c r="M57" s="14" t="s">
        <v>429</v>
      </c>
      <c r="N57" s="15" t="s">
        <v>789</v>
      </c>
      <c r="P57" s="2" t="s">
        <v>135</v>
      </c>
      <c r="Q57" s="14" t="s">
        <v>728</v>
      </c>
      <c r="R57" s="14" t="s">
        <v>395</v>
      </c>
      <c r="S57" s="15" t="s">
        <v>729</v>
      </c>
      <c r="U57" s="2" t="s">
        <v>187</v>
      </c>
      <c r="V57" s="14" t="s">
        <v>901</v>
      </c>
      <c r="W57" s="14" t="s">
        <v>395</v>
      </c>
      <c r="X57" s="15" t="s">
        <v>902</v>
      </c>
      <c r="Z57" s="2" t="s">
        <v>183</v>
      </c>
      <c r="AA57" s="14" t="s">
        <v>893</v>
      </c>
      <c r="AB57" s="14" t="s">
        <v>177</v>
      </c>
      <c r="AC57" s="15" t="s">
        <v>894</v>
      </c>
      <c r="AE57" s="2" t="s">
        <v>172</v>
      </c>
      <c r="AF57" s="14" t="s">
        <v>862</v>
      </c>
      <c r="AG57" s="14" t="s">
        <v>292</v>
      </c>
      <c r="AH57" s="15" t="s">
        <v>863</v>
      </c>
      <c r="AJ57" s="2" t="s">
        <v>903</v>
      </c>
      <c r="AK57" s="14" t="s">
        <v>904</v>
      </c>
      <c r="AL57" s="14" t="s">
        <v>292</v>
      </c>
      <c r="AM57" s="15" t="s">
        <v>905</v>
      </c>
      <c r="BN57" s="16" t="s">
        <v>188</v>
      </c>
      <c r="BO57" s="17" t="s">
        <v>188</v>
      </c>
      <c r="BP57" s="17" t="s">
        <v>292</v>
      </c>
      <c r="BQ57" s="18" t="s">
        <v>906</v>
      </c>
    </row>
    <row r="58" spans="1:69" x14ac:dyDescent="0.25">
      <c r="A58" s="2" t="s">
        <v>907</v>
      </c>
      <c r="B58" s="14" t="s">
        <v>908</v>
      </c>
      <c r="C58" s="14" t="s">
        <v>177</v>
      </c>
      <c r="D58" s="15" t="s">
        <v>908</v>
      </c>
      <c r="F58" s="2" t="s">
        <v>126</v>
      </c>
      <c r="G58" s="14" t="s">
        <v>690</v>
      </c>
      <c r="H58" s="14" t="s">
        <v>289</v>
      </c>
      <c r="I58" s="15" t="s">
        <v>691</v>
      </c>
      <c r="K58" s="2" t="s">
        <v>155</v>
      </c>
      <c r="L58" s="14" t="s">
        <v>798</v>
      </c>
      <c r="M58" s="14" t="s">
        <v>429</v>
      </c>
      <c r="N58" s="15" t="s">
        <v>799</v>
      </c>
      <c r="P58" s="2" t="s">
        <v>138</v>
      </c>
      <c r="Q58" s="14" t="s">
        <v>739</v>
      </c>
      <c r="R58" s="14" t="s">
        <v>395</v>
      </c>
      <c r="S58" s="15" t="s">
        <v>740</v>
      </c>
      <c r="U58" s="2" t="s">
        <v>189</v>
      </c>
      <c r="V58" s="14" t="s">
        <v>909</v>
      </c>
      <c r="W58" s="14" t="s">
        <v>395</v>
      </c>
      <c r="X58" s="15" t="s">
        <v>910</v>
      </c>
      <c r="Z58" s="2" t="s">
        <v>185</v>
      </c>
      <c r="AA58" s="14" t="s">
        <v>898</v>
      </c>
      <c r="AB58" s="14" t="s">
        <v>177</v>
      </c>
      <c r="AC58" s="15" t="s">
        <v>899</v>
      </c>
      <c r="AE58" s="2" t="s">
        <v>175</v>
      </c>
      <c r="AF58" s="14" t="s">
        <v>869</v>
      </c>
      <c r="AG58" s="14" t="s">
        <v>177</v>
      </c>
      <c r="AH58" s="15" t="s">
        <v>870</v>
      </c>
      <c r="AJ58" s="2"/>
      <c r="AK58" s="14"/>
      <c r="AL58" s="14"/>
      <c r="AM58" s="15" t="s">
        <v>911</v>
      </c>
    </row>
    <row r="59" spans="1:69" x14ac:dyDescent="0.25">
      <c r="A59" s="2" t="s">
        <v>128</v>
      </c>
      <c r="B59" s="14" t="s">
        <v>688</v>
      </c>
      <c r="C59" s="14" t="s">
        <v>820</v>
      </c>
      <c r="D59" s="15" t="s">
        <v>689</v>
      </c>
      <c r="F59" s="2" t="s">
        <v>129</v>
      </c>
      <c r="G59" s="14" t="s">
        <v>699</v>
      </c>
      <c r="H59" s="14" t="s">
        <v>289</v>
      </c>
      <c r="I59" s="15" t="s">
        <v>700</v>
      </c>
      <c r="K59" s="2" t="s">
        <v>157</v>
      </c>
      <c r="L59" s="14" t="s">
        <v>806</v>
      </c>
      <c r="M59" s="14" t="s">
        <v>429</v>
      </c>
      <c r="N59" s="15" t="s">
        <v>807</v>
      </c>
      <c r="P59" s="2" t="s">
        <v>140</v>
      </c>
      <c r="Q59" s="14" t="s">
        <v>749</v>
      </c>
      <c r="R59" s="14" t="s">
        <v>395</v>
      </c>
      <c r="S59" s="15" t="s">
        <v>750</v>
      </c>
      <c r="U59" s="2" t="s">
        <v>190</v>
      </c>
      <c r="V59" s="14" t="s">
        <v>912</v>
      </c>
      <c r="W59" s="14" t="s">
        <v>395</v>
      </c>
      <c r="X59" s="15" t="s">
        <v>913</v>
      </c>
      <c r="Z59" s="2" t="s">
        <v>187</v>
      </c>
      <c r="AA59" s="14" t="s">
        <v>901</v>
      </c>
      <c r="AB59" s="14" t="s">
        <v>395</v>
      </c>
      <c r="AC59" s="15" t="s">
        <v>902</v>
      </c>
      <c r="AE59" s="2" t="s">
        <v>178</v>
      </c>
      <c r="AF59" s="14" t="s">
        <v>879</v>
      </c>
      <c r="AG59" s="14" t="s">
        <v>177</v>
      </c>
      <c r="AH59" s="15" t="s">
        <v>880</v>
      </c>
      <c r="AJ59" s="2"/>
      <c r="AK59" s="14"/>
      <c r="AL59" s="14"/>
      <c r="AM59" s="15" t="s">
        <v>888</v>
      </c>
    </row>
    <row r="60" spans="1:69" x14ac:dyDescent="0.25">
      <c r="A60" s="2" t="s">
        <v>92</v>
      </c>
      <c r="B60" s="14" t="s">
        <v>92</v>
      </c>
      <c r="C60" s="14" t="s">
        <v>92</v>
      </c>
      <c r="D60" s="15" t="s">
        <v>914</v>
      </c>
      <c r="F60" s="2" t="s">
        <v>131</v>
      </c>
      <c r="G60" s="14" t="s">
        <v>713</v>
      </c>
      <c r="H60" s="14" t="s">
        <v>289</v>
      </c>
      <c r="I60" s="15" t="s">
        <v>714</v>
      </c>
      <c r="K60" s="2" t="s">
        <v>159</v>
      </c>
      <c r="L60" s="14" t="s">
        <v>814</v>
      </c>
      <c r="M60" s="14" t="s">
        <v>429</v>
      </c>
      <c r="N60" s="15" t="s">
        <v>815</v>
      </c>
      <c r="P60" s="2" t="s">
        <v>143</v>
      </c>
      <c r="Q60" s="14" t="s">
        <v>759</v>
      </c>
      <c r="R60" s="14" t="s">
        <v>395</v>
      </c>
      <c r="S60" s="15" t="s">
        <v>760</v>
      </c>
      <c r="U60" s="2" t="s">
        <v>191</v>
      </c>
      <c r="V60" s="14" t="s">
        <v>915</v>
      </c>
      <c r="W60" s="14" t="s">
        <v>395</v>
      </c>
      <c r="X60" s="15" t="s">
        <v>916</v>
      </c>
      <c r="Z60" s="2" t="s">
        <v>189</v>
      </c>
      <c r="AA60" s="14" t="s">
        <v>909</v>
      </c>
      <c r="AB60" s="14" t="s">
        <v>395</v>
      </c>
      <c r="AC60" s="15" t="s">
        <v>910</v>
      </c>
      <c r="AE60" s="2" t="s">
        <v>181</v>
      </c>
      <c r="AF60" s="14" t="s">
        <v>886</v>
      </c>
      <c r="AG60" s="14" t="s">
        <v>177</v>
      </c>
      <c r="AH60" s="15" t="s">
        <v>887</v>
      </c>
      <c r="AJ60" s="2"/>
      <c r="AK60" s="14"/>
      <c r="AL60" s="14"/>
      <c r="AM60" s="15" t="s">
        <v>917</v>
      </c>
    </row>
    <row r="61" spans="1:69" ht="28.5" customHeight="1" x14ac:dyDescent="0.25">
      <c r="A61" s="2" t="s">
        <v>918</v>
      </c>
      <c r="B61" s="14" t="s">
        <v>919</v>
      </c>
      <c r="C61" s="14" t="s">
        <v>395</v>
      </c>
      <c r="D61" s="15" t="s">
        <v>920</v>
      </c>
      <c r="F61" s="2" t="s">
        <v>135</v>
      </c>
      <c r="G61" s="14" t="s">
        <v>728</v>
      </c>
      <c r="H61" s="14" t="s">
        <v>401</v>
      </c>
      <c r="I61" s="15" t="s">
        <v>729</v>
      </c>
      <c r="K61" s="2" t="s">
        <v>161</v>
      </c>
      <c r="L61" s="14" t="s">
        <v>822</v>
      </c>
      <c r="M61" s="14" t="s">
        <v>429</v>
      </c>
      <c r="N61" s="15" t="s">
        <v>823</v>
      </c>
      <c r="P61" s="2" t="s">
        <v>146</v>
      </c>
      <c r="Q61" s="14" t="s">
        <v>772</v>
      </c>
      <c r="R61" s="14" t="s">
        <v>395</v>
      </c>
      <c r="S61" s="15" t="s">
        <v>773</v>
      </c>
      <c r="U61" s="2" t="s">
        <v>192</v>
      </c>
      <c r="V61" s="14" t="s">
        <v>921</v>
      </c>
      <c r="W61" s="14" t="s">
        <v>395</v>
      </c>
      <c r="X61" s="15" t="s">
        <v>922</v>
      </c>
      <c r="Z61" s="2" t="s">
        <v>190</v>
      </c>
      <c r="AA61" s="14" t="s">
        <v>912</v>
      </c>
      <c r="AB61" s="14" t="s">
        <v>395</v>
      </c>
      <c r="AC61" s="15" t="s">
        <v>913</v>
      </c>
      <c r="AE61" s="2" t="s">
        <v>183</v>
      </c>
      <c r="AF61" s="14" t="s">
        <v>893</v>
      </c>
      <c r="AG61" s="14" t="s">
        <v>177</v>
      </c>
      <c r="AH61" s="15" t="s">
        <v>894</v>
      </c>
      <c r="AJ61" s="2"/>
      <c r="AK61" s="14"/>
      <c r="AL61" s="14"/>
      <c r="AM61" s="15"/>
    </row>
    <row r="62" spans="1:69" ht="28.5" customHeight="1" x14ac:dyDescent="0.25">
      <c r="A62" s="2" t="s">
        <v>923</v>
      </c>
      <c r="B62" s="14" t="s">
        <v>924</v>
      </c>
      <c r="C62" s="14" t="s">
        <v>395</v>
      </c>
      <c r="D62" s="15" t="s">
        <v>925</v>
      </c>
      <c r="F62" s="2" t="s">
        <v>138</v>
      </c>
      <c r="G62" s="14" t="s">
        <v>739</v>
      </c>
      <c r="H62" s="14" t="s">
        <v>401</v>
      </c>
      <c r="I62" s="15" t="s">
        <v>740</v>
      </c>
      <c r="K62" s="2" t="s">
        <v>163</v>
      </c>
      <c r="L62" s="14" t="s">
        <v>828</v>
      </c>
      <c r="M62" s="14" t="s">
        <v>292</v>
      </c>
      <c r="N62" s="15" t="s">
        <v>829</v>
      </c>
      <c r="P62" s="2" t="s">
        <v>150</v>
      </c>
      <c r="Q62" s="14" t="s">
        <v>788</v>
      </c>
      <c r="R62" s="14" t="s">
        <v>429</v>
      </c>
      <c r="S62" s="15" t="s">
        <v>789</v>
      </c>
      <c r="U62" s="2" t="s">
        <v>193</v>
      </c>
      <c r="V62" s="14" t="s">
        <v>926</v>
      </c>
      <c r="W62" s="14" t="s">
        <v>429</v>
      </c>
      <c r="X62" s="15" t="s">
        <v>927</v>
      </c>
      <c r="Z62" s="2" t="s">
        <v>191</v>
      </c>
      <c r="AA62" s="14" t="s">
        <v>915</v>
      </c>
      <c r="AB62" s="14" t="s">
        <v>395</v>
      </c>
      <c r="AC62" s="15" t="s">
        <v>916</v>
      </c>
      <c r="AE62" s="2" t="s">
        <v>185</v>
      </c>
      <c r="AF62" s="14" t="s">
        <v>898</v>
      </c>
      <c r="AG62" s="14" t="s">
        <v>177</v>
      </c>
      <c r="AH62" s="15" t="s">
        <v>899</v>
      </c>
      <c r="AJ62" s="2" t="s">
        <v>928</v>
      </c>
      <c r="AK62" s="14" t="s">
        <v>929</v>
      </c>
      <c r="AL62" s="14" t="s">
        <v>292</v>
      </c>
      <c r="AM62" s="15" t="s">
        <v>873</v>
      </c>
    </row>
    <row r="63" spans="1:69" x14ac:dyDescent="0.25">
      <c r="A63" s="2" t="s">
        <v>930</v>
      </c>
      <c r="B63" s="14" t="s">
        <v>931</v>
      </c>
      <c r="C63" s="14" t="s">
        <v>395</v>
      </c>
      <c r="D63" s="15" t="s">
        <v>932</v>
      </c>
      <c r="F63" s="2" t="s">
        <v>140</v>
      </c>
      <c r="G63" s="14" t="s">
        <v>749</v>
      </c>
      <c r="H63" s="14" t="s">
        <v>401</v>
      </c>
      <c r="I63" s="15" t="s">
        <v>750</v>
      </c>
      <c r="K63" s="2" t="s">
        <v>165</v>
      </c>
      <c r="L63" s="14" t="s">
        <v>836</v>
      </c>
      <c r="M63" s="14" t="s">
        <v>292</v>
      </c>
      <c r="N63" s="15" t="s">
        <v>837</v>
      </c>
      <c r="P63" s="2" t="s">
        <v>155</v>
      </c>
      <c r="Q63" s="14" t="s">
        <v>798</v>
      </c>
      <c r="R63" s="14" t="s">
        <v>429</v>
      </c>
      <c r="S63" s="15" t="s">
        <v>799</v>
      </c>
      <c r="U63" s="2" t="s">
        <v>194</v>
      </c>
      <c r="V63" s="14" t="s">
        <v>933</v>
      </c>
      <c r="W63" s="14" t="s">
        <v>429</v>
      </c>
      <c r="X63" s="15" t="s">
        <v>934</v>
      </c>
      <c r="Z63" s="2" t="s">
        <v>192</v>
      </c>
      <c r="AA63" s="14" t="s">
        <v>921</v>
      </c>
      <c r="AB63" s="14" t="s">
        <v>395</v>
      </c>
      <c r="AC63" s="15" t="s">
        <v>922</v>
      </c>
      <c r="AE63" s="2" t="s">
        <v>187</v>
      </c>
      <c r="AF63" s="14" t="s">
        <v>901</v>
      </c>
      <c r="AG63" s="14" t="s">
        <v>395</v>
      </c>
      <c r="AH63" s="15" t="s">
        <v>902</v>
      </c>
      <c r="AJ63" s="2"/>
      <c r="AK63" s="14"/>
      <c r="AL63" s="14"/>
      <c r="AM63" s="15" t="s">
        <v>935</v>
      </c>
    </row>
    <row r="64" spans="1:69" x14ac:dyDescent="0.25">
      <c r="A64" s="2" t="s">
        <v>936</v>
      </c>
      <c r="B64" s="14" t="s">
        <v>936</v>
      </c>
      <c r="C64" s="14" t="s">
        <v>769</v>
      </c>
      <c r="D64" s="15" t="s">
        <v>937</v>
      </c>
      <c r="F64" s="2" t="s">
        <v>143</v>
      </c>
      <c r="G64" s="14" t="s">
        <v>759</v>
      </c>
      <c r="H64" s="14" t="s">
        <v>401</v>
      </c>
      <c r="I64" s="15" t="s">
        <v>760</v>
      </c>
      <c r="K64" s="2" t="s">
        <v>167</v>
      </c>
      <c r="L64" s="14" t="s">
        <v>846</v>
      </c>
      <c r="M64" s="14" t="s">
        <v>292</v>
      </c>
      <c r="N64" s="15" t="s">
        <v>847</v>
      </c>
      <c r="P64" s="2" t="s">
        <v>157</v>
      </c>
      <c r="Q64" s="14" t="s">
        <v>806</v>
      </c>
      <c r="R64" s="14" t="s">
        <v>429</v>
      </c>
      <c r="S64" s="15" t="s">
        <v>807</v>
      </c>
      <c r="U64" s="2" t="s">
        <v>195</v>
      </c>
      <c r="V64" s="14" t="s">
        <v>938</v>
      </c>
      <c r="W64" s="14" t="s">
        <v>429</v>
      </c>
      <c r="X64" s="15" t="s">
        <v>939</v>
      </c>
      <c r="Z64" s="2" t="s">
        <v>193</v>
      </c>
      <c r="AA64" s="14" t="s">
        <v>926</v>
      </c>
      <c r="AB64" s="14" t="s">
        <v>429</v>
      </c>
      <c r="AC64" s="15" t="s">
        <v>927</v>
      </c>
      <c r="AE64" s="2" t="s">
        <v>189</v>
      </c>
      <c r="AF64" s="14" t="s">
        <v>909</v>
      </c>
      <c r="AG64" s="14" t="s">
        <v>395</v>
      </c>
      <c r="AH64" s="15" t="s">
        <v>910</v>
      </c>
      <c r="AJ64" s="2"/>
      <c r="AK64" s="14"/>
      <c r="AL64" s="14"/>
      <c r="AM64" s="15" t="s">
        <v>940</v>
      </c>
    </row>
    <row r="65" spans="1:39" x14ac:dyDescent="0.25">
      <c r="A65" s="2" t="s">
        <v>941</v>
      </c>
      <c r="B65" s="14" t="s">
        <v>942</v>
      </c>
      <c r="C65" s="14" t="s">
        <v>943</v>
      </c>
      <c r="D65" s="15" t="s">
        <v>942</v>
      </c>
      <c r="F65" s="2" t="s">
        <v>146</v>
      </c>
      <c r="G65" s="14" t="s">
        <v>772</v>
      </c>
      <c r="H65" s="14" t="s">
        <v>401</v>
      </c>
      <c r="I65" s="15" t="s">
        <v>773</v>
      </c>
      <c r="K65" s="2" t="s">
        <v>170</v>
      </c>
      <c r="L65" s="14" t="s">
        <v>853</v>
      </c>
      <c r="M65" s="14" t="s">
        <v>292</v>
      </c>
      <c r="N65" s="15" t="s">
        <v>854</v>
      </c>
      <c r="P65" s="2" t="s">
        <v>159</v>
      </c>
      <c r="Q65" s="14" t="s">
        <v>814</v>
      </c>
      <c r="R65" s="14" t="s">
        <v>429</v>
      </c>
      <c r="S65" s="15" t="s">
        <v>815</v>
      </c>
      <c r="U65" s="2" t="s">
        <v>196</v>
      </c>
      <c r="V65" s="14" t="s">
        <v>944</v>
      </c>
      <c r="W65" s="14" t="s">
        <v>429</v>
      </c>
      <c r="X65" s="15" t="s">
        <v>945</v>
      </c>
      <c r="Z65" s="2" t="s">
        <v>194</v>
      </c>
      <c r="AA65" s="14" t="s">
        <v>933</v>
      </c>
      <c r="AB65" s="14" t="s">
        <v>429</v>
      </c>
      <c r="AC65" s="15" t="s">
        <v>934</v>
      </c>
      <c r="AE65" s="2" t="s">
        <v>190</v>
      </c>
      <c r="AF65" s="14" t="s">
        <v>912</v>
      </c>
      <c r="AG65" s="14" t="s">
        <v>395</v>
      </c>
      <c r="AH65" s="15" t="s">
        <v>913</v>
      </c>
      <c r="AJ65" s="2"/>
      <c r="AK65" s="14"/>
      <c r="AL65" s="14"/>
      <c r="AM65" s="15" t="s">
        <v>946</v>
      </c>
    </row>
    <row r="66" spans="1:39" ht="15" customHeight="1" x14ac:dyDescent="0.25">
      <c r="A66" s="28" t="s">
        <v>947</v>
      </c>
      <c r="B66" s="14" t="s">
        <v>948</v>
      </c>
      <c r="C66" s="14" t="s">
        <v>292</v>
      </c>
      <c r="D66" s="15" t="s">
        <v>949</v>
      </c>
      <c r="F66" s="2" t="s">
        <v>150</v>
      </c>
      <c r="G66" s="14" t="s">
        <v>788</v>
      </c>
      <c r="H66" s="14" t="s">
        <v>441</v>
      </c>
      <c r="I66" s="15" t="s">
        <v>789</v>
      </c>
      <c r="K66" s="2" t="s">
        <v>172</v>
      </c>
      <c r="L66" s="14" t="s">
        <v>862</v>
      </c>
      <c r="M66" s="14" t="s">
        <v>292</v>
      </c>
      <c r="N66" s="15" t="s">
        <v>863</v>
      </c>
      <c r="P66" s="2" t="s">
        <v>161</v>
      </c>
      <c r="Q66" s="14" t="s">
        <v>822</v>
      </c>
      <c r="R66" s="14" t="s">
        <v>429</v>
      </c>
      <c r="S66" s="15" t="s">
        <v>823</v>
      </c>
      <c r="U66" s="2" t="s">
        <v>197</v>
      </c>
      <c r="V66" s="14" t="s">
        <v>950</v>
      </c>
      <c r="W66" s="14" t="s">
        <v>429</v>
      </c>
      <c r="X66" s="15" t="s">
        <v>951</v>
      </c>
      <c r="Z66" s="2" t="s">
        <v>195</v>
      </c>
      <c r="AA66" s="14" t="s">
        <v>938</v>
      </c>
      <c r="AB66" s="14" t="s">
        <v>429</v>
      </c>
      <c r="AC66" s="15" t="s">
        <v>939</v>
      </c>
      <c r="AE66" s="2" t="s">
        <v>191</v>
      </c>
      <c r="AF66" s="14" t="s">
        <v>915</v>
      </c>
      <c r="AG66" s="14" t="s">
        <v>395</v>
      </c>
      <c r="AH66" s="15" t="s">
        <v>916</v>
      </c>
      <c r="AJ66" s="2"/>
      <c r="AK66" s="14"/>
      <c r="AL66" s="14"/>
      <c r="AM66" s="15"/>
    </row>
    <row r="67" spans="1:39" ht="15" customHeight="1" x14ac:dyDescent="0.25">
      <c r="A67" s="28"/>
      <c r="B67" s="14"/>
      <c r="C67" s="14"/>
      <c r="D67" s="15" t="s">
        <v>952</v>
      </c>
      <c r="F67" s="2" t="s">
        <v>155</v>
      </c>
      <c r="G67" s="14" t="s">
        <v>798</v>
      </c>
      <c r="H67" s="14" t="s">
        <v>441</v>
      </c>
      <c r="I67" s="15" t="s">
        <v>799</v>
      </c>
      <c r="K67" s="2" t="s">
        <v>175</v>
      </c>
      <c r="L67" s="14" t="s">
        <v>869</v>
      </c>
      <c r="M67" s="14" t="s">
        <v>177</v>
      </c>
      <c r="N67" s="15" t="s">
        <v>870</v>
      </c>
      <c r="P67" s="2" t="s">
        <v>163</v>
      </c>
      <c r="Q67" s="14" t="s">
        <v>828</v>
      </c>
      <c r="R67" s="14" t="s">
        <v>292</v>
      </c>
      <c r="S67" s="15" t="s">
        <v>829</v>
      </c>
      <c r="U67" s="2" t="s">
        <v>198</v>
      </c>
      <c r="V67" s="14" t="s">
        <v>953</v>
      </c>
      <c r="W67" s="14" t="s">
        <v>292</v>
      </c>
      <c r="X67" s="15" t="s">
        <v>829</v>
      </c>
      <c r="Z67" s="2" t="s">
        <v>196</v>
      </c>
      <c r="AA67" s="14" t="s">
        <v>944</v>
      </c>
      <c r="AB67" s="14" t="s">
        <v>429</v>
      </c>
      <c r="AC67" s="15" t="s">
        <v>945</v>
      </c>
      <c r="AE67" s="2" t="s">
        <v>192</v>
      </c>
      <c r="AF67" s="14" t="s">
        <v>921</v>
      </c>
      <c r="AG67" s="14" t="s">
        <v>395</v>
      </c>
      <c r="AH67" s="15" t="s">
        <v>922</v>
      </c>
      <c r="AJ67" s="2" t="s">
        <v>954</v>
      </c>
      <c r="AK67" s="14" t="s">
        <v>954</v>
      </c>
      <c r="AL67" s="14" t="s">
        <v>292</v>
      </c>
      <c r="AM67" s="15" t="b">
        <v>1</v>
      </c>
    </row>
    <row r="68" spans="1:39" x14ac:dyDescent="0.25">
      <c r="A68" s="28"/>
      <c r="B68" s="14"/>
      <c r="C68" s="14"/>
      <c r="D68" s="15" t="s">
        <v>955</v>
      </c>
      <c r="F68" s="2" t="s">
        <v>157</v>
      </c>
      <c r="G68" s="14" t="s">
        <v>806</v>
      </c>
      <c r="H68" s="14" t="s">
        <v>441</v>
      </c>
      <c r="I68" s="15" t="s">
        <v>807</v>
      </c>
      <c r="K68" s="2" t="s">
        <v>178</v>
      </c>
      <c r="L68" s="14" t="s">
        <v>879</v>
      </c>
      <c r="M68" s="14" t="s">
        <v>177</v>
      </c>
      <c r="N68" s="15" t="s">
        <v>880</v>
      </c>
      <c r="P68" s="2" t="s">
        <v>165</v>
      </c>
      <c r="Q68" s="14" t="s">
        <v>836</v>
      </c>
      <c r="R68" s="14" t="s">
        <v>292</v>
      </c>
      <c r="S68" s="15" t="s">
        <v>837</v>
      </c>
      <c r="U68" s="2" t="s">
        <v>199</v>
      </c>
      <c r="V68" s="14" t="s">
        <v>956</v>
      </c>
      <c r="W68" s="14" t="s">
        <v>292</v>
      </c>
      <c r="X68" s="15" t="s">
        <v>837</v>
      </c>
      <c r="Z68" s="2" t="s">
        <v>197</v>
      </c>
      <c r="AA68" s="14" t="s">
        <v>950</v>
      </c>
      <c r="AB68" s="14" t="s">
        <v>429</v>
      </c>
      <c r="AC68" s="15" t="s">
        <v>951</v>
      </c>
      <c r="AE68" s="2" t="s">
        <v>193</v>
      </c>
      <c r="AF68" s="14" t="s">
        <v>926</v>
      </c>
      <c r="AG68" s="14" t="s">
        <v>429</v>
      </c>
      <c r="AH68" s="15" t="s">
        <v>927</v>
      </c>
      <c r="AJ68" s="2"/>
      <c r="AK68" s="14"/>
      <c r="AL68" s="14"/>
      <c r="AM68" s="15" t="s">
        <v>957</v>
      </c>
    </row>
    <row r="69" spans="1:39" x14ac:dyDescent="0.25">
      <c r="A69" s="28"/>
      <c r="B69" s="14"/>
      <c r="C69" s="14"/>
      <c r="D69" s="15" t="s">
        <v>958</v>
      </c>
      <c r="F69" s="2" t="s">
        <v>159</v>
      </c>
      <c r="G69" s="14" t="s">
        <v>814</v>
      </c>
      <c r="H69" s="14" t="s">
        <v>441</v>
      </c>
      <c r="I69" s="15" t="s">
        <v>815</v>
      </c>
      <c r="K69" s="2" t="s">
        <v>181</v>
      </c>
      <c r="L69" s="14" t="s">
        <v>886</v>
      </c>
      <c r="M69" s="14" t="s">
        <v>177</v>
      </c>
      <c r="N69" s="15" t="s">
        <v>887</v>
      </c>
      <c r="P69" s="2" t="s">
        <v>167</v>
      </c>
      <c r="Q69" s="14" t="s">
        <v>846</v>
      </c>
      <c r="R69" s="14" t="s">
        <v>292</v>
      </c>
      <c r="S69" s="15" t="s">
        <v>847</v>
      </c>
      <c r="U69" s="2" t="s">
        <v>200</v>
      </c>
      <c r="V69" s="14" t="s">
        <v>959</v>
      </c>
      <c r="W69" s="14" t="s">
        <v>292</v>
      </c>
      <c r="X69" s="15" t="s">
        <v>847</v>
      </c>
      <c r="Z69" s="2" t="s">
        <v>198</v>
      </c>
      <c r="AA69" s="14" t="s">
        <v>953</v>
      </c>
      <c r="AB69" s="14" t="s">
        <v>292</v>
      </c>
      <c r="AC69" s="15" t="s">
        <v>829</v>
      </c>
      <c r="AE69" s="2" t="s">
        <v>194</v>
      </c>
      <c r="AF69" s="14" t="s">
        <v>933</v>
      </c>
      <c r="AG69" s="14" t="s">
        <v>429</v>
      </c>
      <c r="AH69" s="15" t="s">
        <v>934</v>
      </c>
      <c r="AJ69" s="2"/>
      <c r="AK69" s="14"/>
      <c r="AL69" s="14"/>
      <c r="AM69" s="15" t="b">
        <v>0</v>
      </c>
    </row>
    <row r="70" spans="1:39" x14ac:dyDescent="0.25">
      <c r="A70" s="28"/>
      <c r="B70" s="14"/>
      <c r="C70" s="14"/>
      <c r="D70" s="15" t="s">
        <v>960</v>
      </c>
      <c r="F70" s="2" t="s">
        <v>161</v>
      </c>
      <c r="G70" s="14" t="s">
        <v>822</v>
      </c>
      <c r="H70" s="14" t="s">
        <v>441</v>
      </c>
      <c r="I70" s="15" t="s">
        <v>823</v>
      </c>
      <c r="K70" s="2" t="s">
        <v>183</v>
      </c>
      <c r="L70" s="14" t="s">
        <v>893</v>
      </c>
      <c r="M70" s="14" t="s">
        <v>177</v>
      </c>
      <c r="N70" s="15" t="s">
        <v>894</v>
      </c>
      <c r="P70" s="2" t="s">
        <v>170</v>
      </c>
      <c r="Q70" s="14" t="s">
        <v>853</v>
      </c>
      <c r="R70" s="14" t="s">
        <v>292</v>
      </c>
      <c r="S70" s="15" t="s">
        <v>854</v>
      </c>
      <c r="U70" s="2" t="s">
        <v>201</v>
      </c>
      <c r="V70" s="14" t="s">
        <v>961</v>
      </c>
      <c r="W70" s="14" t="s">
        <v>292</v>
      </c>
      <c r="X70" s="15" t="s">
        <v>854</v>
      </c>
      <c r="Z70" s="2" t="s">
        <v>199</v>
      </c>
      <c r="AA70" s="14" t="s">
        <v>956</v>
      </c>
      <c r="AB70" s="14" t="s">
        <v>292</v>
      </c>
      <c r="AC70" s="15" t="s">
        <v>837</v>
      </c>
      <c r="AE70" s="2" t="s">
        <v>195</v>
      </c>
      <c r="AF70" s="14" t="s">
        <v>938</v>
      </c>
      <c r="AG70" s="14" t="s">
        <v>429</v>
      </c>
      <c r="AH70" s="15" t="s">
        <v>939</v>
      </c>
      <c r="AJ70" s="2"/>
      <c r="AK70" s="14"/>
      <c r="AL70" s="14"/>
      <c r="AM70" s="15" t="s">
        <v>962</v>
      </c>
    </row>
    <row r="71" spans="1:39" ht="15" customHeight="1" x14ac:dyDescent="0.25">
      <c r="A71" s="28"/>
      <c r="B71" s="14"/>
      <c r="C71" s="14"/>
      <c r="D71" s="15"/>
      <c r="F71" s="2" t="s">
        <v>163</v>
      </c>
      <c r="G71" s="14" t="s">
        <v>828</v>
      </c>
      <c r="H71" s="14"/>
      <c r="I71" s="15" t="s">
        <v>829</v>
      </c>
      <c r="K71" s="2" t="s">
        <v>185</v>
      </c>
      <c r="L71" s="14" t="s">
        <v>898</v>
      </c>
      <c r="M71" s="14" t="s">
        <v>177</v>
      </c>
      <c r="N71" s="15" t="s">
        <v>899</v>
      </c>
      <c r="P71" s="2" t="s">
        <v>172</v>
      </c>
      <c r="Q71" s="14" t="s">
        <v>862</v>
      </c>
      <c r="R71" s="14" t="s">
        <v>292</v>
      </c>
      <c r="S71" s="15" t="s">
        <v>863</v>
      </c>
      <c r="U71" s="2" t="s">
        <v>202</v>
      </c>
      <c r="V71" s="14" t="s">
        <v>963</v>
      </c>
      <c r="W71" s="14" t="s">
        <v>292</v>
      </c>
      <c r="X71" s="15" t="s">
        <v>863</v>
      </c>
      <c r="Z71" s="2" t="s">
        <v>200</v>
      </c>
      <c r="AA71" s="14" t="s">
        <v>959</v>
      </c>
      <c r="AB71" s="14" t="s">
        <v>292</v>
      </c>
      <c r="AC71" s="15" t="s">
        <v>847</v>
      </c>
      <c r="AE71" s="2" t="s">
        <v>196</v>
      </c>
      <c r="AF71" s="14" t="s">
        <v>944</v>
      </c>
      <c r="AG71" s="14" t="s">
        <v>429</v>
      </c>
      <c r="AH71" s="15" t="s">
        <v>945</v>
      </c>
      <c r="AJ71" s="2"/>
      <c r="AK71" s="14"/>
      <c r="AL71" s="14"/>
      <c r="AM71" s="15"/>
    </row>
    <row r="72" spans="1:39" ht="15" customHeight="1" x14ac:dyDescent="0.25">
      <c r="A72" s="2" t="s">
        <v>964</v>
      </c>
      <c r="B72" s="14" t="s">
        <v>965</v>
      </c>
      <c r="C72" s="14" t="s">
        <v>820</v>
      </c>
      <c r="D72" s="15" t="s">
        <v>966</v>
      </c>
      <c r="F72" s="2" t="s">
        <v>165</v>
      </c>
      <c r="G72" s="14" t="s">
        <v>836</v>
      </c>
      <c r="H72" s="14"/>
      <c r="I72" s="15" t="s">
        <v>837</v>
      </c>
      <c r="K72" s="2" t="s">
        <v>187</v>
      </c>
      <c r="L72" s="14" t="s">
        <v>901</v>
      </c>
      <c r="M72" s="14" t="s">
        <v>395</v>
      </c>
      <c r="N72" s="15" t="s">
        <v>902</v>
      </c>
      <c r="P72" s="2" t="s">
        <v>175</v>
      </c>
      <c r="Q72" s="14" t="s">
        <v>869</v>
      </c>
      <c r="R72" s="14" t="s">
        <v>177</v>
      </c>
      <c r="S72" s="15" t="s">
        <v>870</v>
      </c>
      <c r="U72" s="2" t="s">
        <v>203</v>
      </c>
      <c r="V72" s="14" t="s">
        <v>967</v>
      </c>
      <c r="W72" s="14" t="s">
        <v>177</v>
      </c>
      <c r="X72" s="15" t="s">
        <v>968</v>
      </c>
      <c r="Z72" s="2" t="s">
        <v>201</v>
      </c>
      <c r="AA72" s="14" t="s">
        <v>961</v>
      </c>
      <c r="AB72" s="14" t="s">
        <v>292</v>
      </c>
      <c r="AC72" s="15" t="s">
        <v>854</v>
      </c>
      <c r="AE72" s="2" t="s">
        <v>197</v>
      </c>
      <c r="AF72" s="14" t="s">
        <v>950</v>
      </c>
      <c r="AG72" s="14" t="s">
        <v>429</v>
      </c>
      <c r="AH72" s="15" t="s">
        <v>951</v>
      </c>
      <c r="AJ72" s="2" t="s">
        <v>969</v>
      </c>
      <c r="AK72" s="14" t="s">
        <v>970</v>
      </c>
      <c r="AL72" s="14" t="s">
        <v>292</v>
      </c>
      <c r="AM72" s="15" t="s">
        <v>888</v>
      </c>
    </row>
    <row r="73" spans="1:39" x14ac:dyDescent="0.25">
      <c r="A73" s="2" t="s">
        <v>971</v>
      </c>
      <c r="B73" s="14" t="s">
        <v>972</v>
      </c>
      <c r="C73" s="14" t="s">
        <v>820</v>
      </c>
      <c r="D73" s="15" t="s">
        <v>973</v>
      </c>
      <c r="F73" s="2" t="s">
        <v>167</v>
      </c>
      <c r="G73" s="14" t="s">
        <v>846</v>
      </c>
      <c r="H73" s="14"/>
      <c r="I73" s="15" t="s">
        <v>847</v>
      </c>
      <c r="K73" s="2" t="s">
        <v>189</v>
      </c>
      <c r="L73" s="14" t="s">
        <v>909</v>
      </c>
      <c r="M73" s="14" t="s">
        <v>395</v>
      </c>
      <c r="N73" s="15" t="s">
        <v>910</v>
      </c>
      <c r="P73" s="2" t="s">
        <v>178</v>
      </c>
      <c r="Q73" s="14" t="s">
        <v>879</v>
      </c>
      <c r="R73" s="14" t="s">
        <v>177</v>
      </c>
      <c r="S73" s="15" t="s">
        <v>880</v>
      </c>
      <c r="U73" s="2" t="s">
        <v>204</v>
      </c>
      <c r="V73" s="14" t="s">
        <v>974</v>
      </c>
      <c r="W73" s="14" t="s">
        <v>177</v>
      </c>
      <c r="X73" s="15" t="s">
        <v>975</v>
      </c>
      <c r="Z73" s="2" t="s">
        <v>202</v>
      </c>
      <c r="AA73" s="14" t="s">
        <v>963</v>
      </c>
      <c r="AB73" s="14" t="s">
        <v>292</v>
      </c>
      <c r="AC73" s="15" t="s">
        <v>863</v>
      </c>
      <c r="AE73" s="2" t="s">
        <v>198</v>
      </c>
      <c r="AF73" s="14" t="s">
        <v>953</v>
      </c>
      <c r="AG73" s="14" t="s">
        <v>292</v>
      </c>
      <c r="AH73" s="15" t="s">
        <v>829</v>
      </c>
      <c r="AJ73" s="2"/>
      <c r="AK73" s="14"/>
      <c r="AL73" s="14"/>
      <c r="AM73" s="15" t="s">
        <v>976</v>
      </c>
    </row>
    <row r="74" spans="1:39" x14ac:dyDescent="0.25">
      <c r="A74" s="2" t="s">
        <v>977</v>
      </c>
      <c r="B74" s="14" t="s">
        <v>978</v>
      </c>
      <c r="C74" s="14" t="s">
        <v>820</v>
      </c>
      <c r="D74" s="15" t="s">
        <v>979</v>
      </c>
      <c r="F74" s="2" t="s">
        <v>170</v>
      </c>
      <c r="G74" s="14" t="s">
        <v>853</v>
      </c>
      <c r="H74" s="14"/>
      <c r="I74" s="15" t="s">
        <v>854</v>
      </c>
      <c r="K74" s="2" t="s">
        <v>190</v>
      </c>
      <c r="L74" s="14" t="s">
        <v>912</v>
      </c>
      <c r="M74" s="14" t="s">
        <v>395</v>
      </c>
      <c r="N74" s="15" t="s">
        <v>913</v>
      </c>
      <c r="P74" s="2" t="s">
        <v>181</v>
      </c>
      <c r="Q74" s="14" t="s">
        <v>886</v>
      </c>
      <c r="R74" s="14" t="s">
        <v>177</v>
      </c>
      <c r="S74" s="15" t="s">
        <v>887</v>
      </c>
      <c r="U74" s="2" t="s">
        <v>205</v>
      </c>
      <c r="V74" s="14" t="s">
        <v>980</v>
      </c>
      <c r="W74" s="14" t="s">
        <v>177</v>
      </c>
      <c r="X74" s="15" t="s">
        <v>981</v>
      </c>
      <c r="Z74" s="2" t="s">
        <v>203</v>
      </c>
      <c r="AA74" s="14" t="s">
        <v>967</v>
      </c>
      <c r="AB74" s="14" t="s">
        <v>177</v>
      </c>
      <c r="AC74" s="15" t="s">
        <v>968</v>
      </c>
      <c r="AE74" s="2" t="s">
        <v>199</v>
      </c>
      <c r="AF74" s="14" t="s">
        <v>956</v>
      </c>
      <c r="AG74" s="14" t="s">
        <v>292</v>
      </c>
      <c r="AH74" s="15" t="s">
        <v>837</v>
      </c>
      <c r="AJ74" s="2"/>
      <c r="AK74" s="14"/>
      <c r="AL74" s="14"/>
      <c r="AM74" s="15" t="s">
        <v>982</v>
      </c>
    </row>
    <row r="75" spans="1:39" x14ac:dyDescent="0.25">
      <c r="A75" s="2" t="s">
        <v>983</v>
      </c>
      <c r="B75" s="14" t="s">
        <v>984</v>
      </c>
      <c r="C75" s="14" t="s">
        <v>943</v>
      </c>
      <c r="D75" s="15" t="s">
        <v>984</v>
      </c>
      <c r="F75" s="2" t="s">
        <v>172</v>
      </c>
      <c r="G75" s="14" t="s">
        <v>862</v>
      </c>
      <c r="H75" s="14"/>
      <c r="I75" s="15" t="s">
        <v>581</v>
      </c>
      <c r="K75" s="2" t="s">
        <v>191</v>
      </c>
      <c r="L75" s="14" t="s">
        <v>915</v>
      </c>
      <c r="M75" s="14" t="s">
        <v>395</v>
      </c>
      <c r="N75" s="15" t="s">
        <v>916</v>
      </c>
      <c r="P75" s="2" t="s">
        <v>183</v>
      </c>
      <c r="Q75" s="14" t="s">
        <v>893</v>
      </c>
      <c r="R75" s="14" t="s">
        <v>177</v>
      </c>
      <c r="S75" s="15" t="s">
        <v>894</v>
      </c>
      <c r="U75" s="2" t="s">
        <v>136</v>
      </c>
      <c r="V75" s="14" t="s">
        <v>987</v>
      </c>
      <c r="W75" s="14" t="s">
        <v>292</v>
      </c>
      <c r="X75" s="15" t="s">
        <v>988</v>
      </c>
      <c r="Z75" s="2" t="s">
        <v>204</v>
      </c>
      <c r="AA75" s="14" t="s">
        <v>974</v>
      </c>
      <c r="AB75" s="14" t="s">
        <v>177</v>
      </c>
      <c r="AC75" s="15" t="s">
        <v>975</v>
      </c>
      <c r="AE75" s="2" t="s">
        <v>200</v>
      </c>
      <c r="AF75" s="14" t="s">
        <v>959</v>
      </c>
      <c r="AG75" s="14" t="s">
        <v>292</v>
      </c>
      <c r="AH75" s="15" t="s">
        <v>847</v>
      </c>
      <c r="AJ75" s="2"/>
      <c r="AK75" s="14"/>
      <c r="AL75" s="14"/>
      <c r="AM75" s="15" t="s">
        <v>989</v>
      </c>
    </row>
    <row r="76" spans="1:39" x14ac:dyDescent="0.25">
      <c r="A76" s="2" t="s">
        <v>990</v>
      </c>
      <c r="B76" s="14" t="s">
        <v>991</v>
      </c>
      <c r="C76" s="14" t="s">
        <v>820</v>
      </c>
      <c r="D76" s="15" t="s">
        <v>992</v>
      </c>
      <c r="F76" s="2" t="s">
        <v>206</v>
      </c>
      <c r="G76" s="14" t="s">
        <v>985</v>
      </c>
      <c r="H76" s="14" t="s">
        <v>292</v>
      </c>
      <c r="I76" s="15" t="s">
        <v>986</v>
      </c>
      <c r="K76" s="2" t="s">
        <v>192</v>
      </c>
      <c r="L76" s="14" t="s">
        <v>921</v>
      </c>
      <c r="M76" s="14" t="s">
        <v>395</v>
      </c>
      <c r="N76" s="15" t="s">
        <v>922</v>
      </c>
      <c r="P76" s="2" t="s">
        <v>185</v>
      </c>
      <c r="Q76" s="14" t="s">
        <v>898</v>
      </c>
      <c r="R76" s="14" t="s">
        <v>177</v>
      </c>
      <c r="S76" s="15" t="s">
        <v>899</v>
      </c>
      <c r="U76" s="2" t="s">
        <v>207</v>
      </c>
      <c r="V76" s="14" t="s">
        <v>995</v>
      </c>
      <c r="W76" s="14" t="s">
        <v>292</v>
      </c>
      <c r="X76" s="15" t="s">
        <v>996</v>
      </c>
      <c r="Z76" s="2" t="s">
        <v>208</v>
      </c>
      <c r="AA76" s="14" t="s">
        <v>997</v>
      </c>
      <c r="AB76" s="14" t="s">
        <v>177</v>
      </c>
      <c r="AC76" s="15" t="s">
        <v>998</v>
      </c>
      <c r="AE76" s="2" t="s">
        <v>201</v>
      </c>
      <c r="AF76" s="14" t="s">
        <v>961</v>
      </c>
      <c r="AG76" s="14" t="s">
        <v>292</v>
      </c>
      <c r="AH76" s="15" t="s">
        <v>854</v>
      </c>
      <c r="AJ76" s="2"/>
      <c r="AK76" s="14"/>
      <c r="AL76" s="14"/>
      <c r="AM76" s="15"/>
    </row>
    <row r="77" spans="1:39" x14ac:dyDescent="0.25">
      <c r="A77" s="2" t="s">
        <v>999</v>
      </c>
      <c r="B77" s="14" t="s">
        <v>1000</v>
      </c>
      <c r="C77" s="14" t="s">
        <v>292</v>
      </c>
      <c r="D77" s="15" t="s">
        <v>1001</v>
      </c>
      <c r="F77" s="2" t="s">
        <v>209</v>
      </c>
      <c r="G77" s="14" t="s">
        <v>993</v>
      </c>
      <c r="H77" s="14" t="s">
        <v>292</v>
      </c>
      <c r="I77" s="15" t="s">
        <v>994</v>
      </c>
      <c r="K77" s="2" t="s">
        <v>193</v>
      </c>
      <c r="L77" s="14" t="s">
        <v>926</v>
      </c>
      <c r="M77" s="14" t="s">
        <v>429</v>
      </c>
      <c r="N77" s="15" t="s">
        <v>927</v>
      </c>
      <c r="P77" s="2" t="s">
        <v>187</v>
      </c>
      <c r="Q77" s="14" t="s">
        <v>901</v>
      </c>
      <c r="R77" s="14" t="s">
        <v>395</v>
      </c>
      <c r="S77" s="15" t="s">
        <v>902</v>
      </c>
      <c r="U77" s="2" t="s">
        <v>210</v>
      </c>
      <c r="V77" s="14" t="s">
        <v>1004</v>
      </c>
      <c r="W77" s="14" t="s">
        <v>292</v>
      </c>
      <c r="X77" s="15" t="s">
        <v>1005</v>
      </c>
      <c r="Z77" s="2" t="s">
        <v>205</v>
      </c>
      <c r="AA77" s="14" t="s">
        <v>980</v>
      </c>
      <c r="AB77" s="14" t="s">
        <v>177</v>
      </c>
      <c r="AC77" s="15" t="s">
        <v>981</v>
      </c>
      <c r="AE77" s="2" t="s">
        <v>202</v>
      </c>
      <c r="AF77" s="14" t="s">
        <v>963</v>
      </c>
      <c r="AG77" s="14" t="s">
        <v>292</v>
      </c>
      <c r="AH77" s="15" t="s">
        <v>863</v>
      </c>
      <c r="AJ77" s="2" t="s">
        <v>1006</v>
      </c>
      <c r="AK77" s="14" t="s">
        <v>1006</v>
      </c>
      <c r="AL77" s="14" t="s">
        <v>620</v>
      </c>
      <c r="AM77" s="15" t="s">
        <v>1007</v>
      </c>
    </row>
    <row r="78" spans="1:39" ht="15.75" thickBot="1" x14ac:dyDescent="0.3">
      <c r="A78" s="2" t="s">
        <v>1008</v>
      </c>
      <c r="B78" s="14" t="s">
        <v>1009</v>
      </c>
      <c r="C78" s="14" t="s">
        <v>292</v>
      </c>
      <c r="D78" s="15" t="s">
        <v>1009</v>
      </c>
      <c r="F78" s="2" t="s">
        <v>211</v>
      </c>
      <c r="G78" s="14" t="s">
        <v>1002</v>
      </c>
      <c r="H78" s="14" t="s">
        <v>292</v>
      </c>
      <c r="I78" s="15" t="s">
        <v>1003</v>
      </c>
      <c r="K78" s="2" t="s">
        <v>194</v>
      </c>
      <c r="L78" s="14" t="s">
        <v>933</v>
      </c>
      <c r="M78" s="14" t="s">
        <v>429</v>
      </c>
      <c r="N78" s="15" t="s">
        <v>934</v>
      </c>
      <c r="P78" s="2" t="s">
        <v>189</v>
      </c>
      <c r="Q78" s="14" t="s">
        <v>909</v>
      </c>
      <c r="R78" s="14" t="s">
        <v>395</v>
      </c>
      <c r="S78" s="15" t="s">
        <v>910</v>
      </c>
      <c r="U78" s="16" t="s">
        <v>212</v>
      </c>
      <c r="V78" s="17" t="s">
        <v>1012</v>
      </c>
      <c r="W78" s="17" t="s">
        <v>292</v>
      </c>
      <c r="X78" s="18" t="s">
        <v>1013</v>
      </c>
      <c r="Z78" s="2" t="s">
        <v>136</v>
      </c>
      <c r="AA78" s="14" t="s">
        <v>987</v>
      </c>
      <c r="AB78" s="14" t="s">
        <v>292</v>
      </c>
      <c r="AC78" s="15" t="s">
        <v>1014</v>
      </c>
      <c r="AE78" s="2" t="s">
        <v>203</v>
      </c>
      <c r="AF78" s="14" t="s">
        <v>967</v>
      </c>
      <c r="AG78" s="14" t="s">
        <v>177</v>
      </c>
      <c r="AH78" s="15" t="s">
        <v>968</v>
      </c>
      <c r="AJ78" s="2" t="s">
        <v>1015</v>
      </c>
      <c r="AK78" s="14" t="s">
        <v>1015</v>
      </c>
      <c r="AL78" s="14" t="s">
        <v>620</v>
      </c>
      <c r="AM78" s="15" t="s">
        <v>1016</v>
      </c>
    </row>
    <row r="79" spans="1:39" x14ac:dyDescent="0.25">
      <c r="A79" s="2" t="s">
        <v>1017</v>
      </c>
      <c r="B79" s="14" t="s">
        <v>1018</v>
      </c>
      <c r="C79" s="14" t="s">
        <v>943</v>
      </c>
      <c r="D79" s="15" t="s">
        <v>1018</v>
      </c>
      <c r="F79" s="2" t="s">
        <v>213</v>
      </c>
      <c r="G79" s="14" t="s">
        <v>1010</v>
      </c>
      <c r="H79" s="14" t="s">
        <v>292</v>
      </c>
      <c r="I79" s="15" t="s">
        <v>1011</v>
      </c>
      <c r="K79" s="2" t="s">
        <v>195</v>
      </c>
      <c r="L79" s="14" t="s">
        <v>938</v>
      </c>
      <c r="M79" s="14" t="s">
        <v>429</v>
      </c>
      <c r="N79" s="15" t="s">
        <v>939</v>
      </c>
      <c r="P79" s="2" t="s">
        <v>190</v>
      </c>
      <c r="Q79" s="14" t="s">
        <v>912</v>
      </c>
      <c r="R79" s="14" t="s">
        <v>395</v>
      </c>
      <c r="S79" s="15" t="s">
        <v>913</v>
      </c>
      <c r="Z79" s="2" t="s">
        <v>207</v>
      </c>
      <c r="AA79" s="14" t="s">
        <v>995</v>
      </c>
      <c r="AB79" s="14" t="s">
        <v>292</v>
      </c>
      <c r="AC79" s="15" t="s">
        <v>996</v>
      </c>
      <c r="AE79" s="2" t="s">
        <v>204</v>
      </c>
      <c r="AF79" s="14" t="s">
        <v>974</v>
      </c>
      <c r="AG79" s="14" t="s">
        <v>177</v>
      </c>
      <c r="AH79" s="15" t="s">
        <v>975</v>
      </c>
      <c r="AJ79" s="2" t="s">
        <v>1021</v>
      </c>
      <c r="AK79" s="14" t="s">
        <v>1022</v>
      </c>
      <c r="AL79" s="14" t="s">
        <v>536</v>
      </c>
      <c r="AM79" s="15" t="s">
        <v>1023</v>
      </c>
    </row>
    <row r="80" spans="1:39" x14ac:dyDescent="0.25">
      <c r="A80" s="2" t="s">
        <v>1024</v>
      </c>
      <c r="B80" s="14" t="s">
        <v>1025</v>
      </c>
      <c r="C80" s="14" t="s">
        <v>820</v>
      </c>
      <c r="D80" s="15" t="s">
        <v>1026</v>
      </c>
      <c r="F80" s="2" t="s">
        <v>214</v>
      </c>
      <c r="G80" s="14" t="s">
        <v>1019</v>
      </c>
      <c r="H80" s="14" t="s">
        <v>292</v>
      </c>
      <c r="I80" s="15" t="s">
        <v>1020</v>
      </c>
      <c r="K80" s="2" t="s">
        <v>196</v>
      </c>
      <c r="L80" s="14" t="s">
        <v>944</v>
      </c>
      <c r="M80" s="14" t="s">
        <v>429</v>
      </c>
      <c r="N80" s="15" t="s">
        <v>945</v>
      </c>
      <c r="P80" s="2" t="s">
        <v>191</v>
      </c>
      <c r="Q80" s="14" t="s">
        <v>915</v>
      </c>
      <c r="R80" s="14" t="s">
        <v>395</v>
      </c>
      <c r="S80" s="15" t="s">
        <v>916</v>
      </c>
      <c r="Z80" s="2" t="s">
        <v>210</v>
      </c>
      <c r="AA80" s="14" t="s">
        <v>1004</v>
      </c>
      <c r="AB80" s="14" t="s">
        <v>292</v>
      </c>
      <c r="AC80" s="15" t="s">
        <v>1027</v>
      </c>
      <c r="AE80" s="2" t="s">
        <v>205</v>
      </c>
      <c r="AF80" s="14" t="s">
        <v>980</v>
      </c>
      <c r="AG80" s="14" t="s">
        <v>177</v>
      </c>
      <c r="AH80" s="15" t="s">
        <v>981</v>
      </c>
      <c r="AJ80" s="2" t="s">
        <v>1028</v>
      </c>
      <c r="AK80" s="14" t="s">
        <v>1029</v>
      </c>
      <c r="AL80" s="14" t="s">
        <v>536</v>
      </c>
      <c r="AM80" s="15" t="s">
        <v>1030</v>
      </c>
    </row>
    <row r="81" spans="1:39" ht="15.75" thickBot="1" x14ac:dyDescent="0.3">
      <c r="A81" s="2" t="s">
        <v>1031</v>
      </c>
      <c r="B81" s="14" t="s">
        <v>1032</v>
      </c>
      <c r="C81" s="14" t="s">
        <v>820</v>
      </c>
      <c r="D81" s="15" t="s">
        <v>1033</v>
      </c>
      <c r="F81" s="2" t="s">
        <v>175</v>
      </c>
      <c r="G81" s="14" t="s">
        <v>869</v>
      </c>
      <c r="H81" s="14" t="s">
        <v>289</v>
      </c>
      <c r="I81" s="15" t="s">
        <v>870</v>
      </c>
      <c r="K81" s="2" t="s">
        <v>197</v>
      </c>
      <c r="L81" s="14" t="s">
        <v>950</v>
      </c>
      <c r="M81" s="14" t="s">
        <v>429</v>
      </c>
      <c r="N81" s="15" t="s">
        <v>951</v>
      </c>
      <c r="P81" s="2" t="s">
        <v>192</v>
      </c>
      <c r="Q81" s="14" t="s">
        <v>921</v>
      </c>
      <c r="R81" s="14" t="s">
        <v>395</v>
      </c>
      <c r="S81" s="15" t="s">
        <v>922</v>
      </c>
      <c r="Z81" s="16" t="s">
        <v>212</v>
      </c>
      <c r="AA81" s="17" t="s">
        <v>1012</v>
      </c>
      <c r="AB81" s="17" t="s">
        <v>292</v>
      </c>
      <c r="AC81" s="18" t="s">
        <v>1013</v>
      </c>
      <c r="AE81" s="2" t="s">
        <v>215</v>
      </c>
      <c r="AF81" s="14" t="s">
        <v>1034</v>
      </c>
      <c r="AG81" s="14" t="s">
        <v>769</v>
      </c>
      <c r="AH81" s="15" t="s">
        <v>1035</v>
      </c>
      <c r="AJ81" s="2" t="s">
        <v>1036</v>
      </c>
      <c r="AK81" s="14" t="s">
        <v>1036</v>
      </c>
      <c r="AL81" s="14" t="s">
        <v>413</v>
      </c>
      <c r="AM81" s="15" t="s">
        <v>1037</v>
      </c>
    </row>
    <row r="82" spans="1:39" x14ac:dyDescent="0.25">
      <c r="A82" s="2" t="s">
        <v>1038</v>
      </c>
      <c r="B82" s="14" t="s">
        <v>1039</v>
      </c>
      <c r="C82" s="14" t="s">
        <v>820</v>
      </c>
      <c r="D82" s="15" t="s">
        <v>1040</v>
      </c>
      <c r="F82" s="2" t="s">
        <v>178</v>
      </c>
      <c r="G82" s="14" t="s">
        <v>879</v>
      </c>
      <c r="H82" s="14" t="s">
        <v>289</v>
      </c>
      <c r="I82" s="15" t="s">
        <v>880</v>
      </c>
      <c r="K82" s="2" t="s">
        <v>198</v>
      </c>
      <c r="L82" s="14" t="s">
        <v>953</v>
      </c>
      <c r="M82" s="14" t="s">
        <v>292</v>
      </c>
      <c r="N82" s="15" t="s">
        <v>829</v>
      </c>
      <c r="P82" s="2" t="s">
        <v>193</v>
      </c>
      <c r="Q82" s="14" t="s">
        <v>926</v>
      </c>
      <c r="R82" s="14" t="s">
        <v>429</v>
      </c>
      <c r="S82" s="15" t="s">
        <v>927</v>
      </c>
      <c r="AE82" s="2" t="s">
        <v>216</v>
      </c>
      <c r="AF82" s="14" t="s">
        <v>1041</v>
      </c>
      <c r="AG82" s="14" t="s">
        <v>769</v>
      </c>
      <c r="AH82" s="15" t="s">
        <v>1042</v>
      </c>
      <c r="AJ82" s="2" t="s">
        <v>1043</v>
      </c>
      <c r="AK82" s="14" t="s">
        <v>1044</v>
      </c>
      <c r="AL82" s="14" t="s">
        <v>1045</v>
      </c>
      <c r="AM82" s="15" t="s">
        <v>1046</v>
      </c>
    </row>
    <row r="83" spans="1:39" x14ac:dyDescent="0.25">
      <c r="A83" s="2" t="s">
        <v>1047</v>
      </c>
      <c r="B83" s="14" t="s">
        <v>1048</v>
      </c>
      <c r="C83" s="14" t="s">
        <v>820</v>
      </c>
      <c r="D83" s="15" t="s">
        <v>1049</v>
      </c>
      <c r="F83" s="2" t="s">
        <v>181</v>
      </c>
      <c r="G83" s="14" t="s">
        <v>886</v>
      </c>
      <c r="H83" s="14" t="s">
        <v>289</v>
      </c>
      <c r="I83" s="15" t="s">
        <v>887</v>
      </c>
      <c r="K83" s="2" t="s">
        <v>199</v>
      </c>
      <c r="L83" s="14" t="s">
        <v>956</v>
      </c>
      <c r="M83" s="14" t="s">
        <v>292</v>
      </c>
      <c r="N83" s="15" t="s">
        <v>837</v>
      </c>
      <c r="P83" s="2" t="s">
        <v>194</v>
      </c>
      <c r="Q83" s="14" t="s">
        <v>933</v>
      </c>
      <c r="R83" s="14" t="s">
        <v>429</v>
      </c>
      <c r="S83" s="15" t="s">
        <v>934</v>
      </c>
      <c r="AE83" s="2" t="s">
        <v>207</v>
      </c>
      <c r="AF83" s="14" t="s">
        <v>995</v>
      </c>
      <c r="AG83" s="14" t="s">
        <v>292</v>
      </c>
      <c r="AH83" s="15" t="s">
        <v>996</v>
      </c>
      <c r="AJ83" s="2" t="s">
        <v>1050</v>
      </c>
      <c r="AK83" s="14" t="s">
        <v>1050</v>
      </c>
      <c r="AL83" s="14" t="s">
        <v>292</v>
      </c>
      <c r="AM83" s="15" t="s">
        <v>1051</v>
      </c>
    </row>
    <row r="84" spans="1:39" x14ac:dyDescent="0.25">
      <c r="A84" s="2" t="s">
        <v>1052</v>
      </c>
      <c r="B84" s="14" t="s">
        <v>1053</v>
      </c>
      <c r="C84" s="14" t="s">
        <v>820</v>
      </c>
      <c r="D84" s="15" t="s">
        <v>1054</v>
      </c>
      <c r="F84" s="2" t="s">
        <v>183</v>
      </c>
      <c r="G84" s="14" t="s">
        <v>893</v>
      </c>
      <c r="H84" s="14" t="s">
        <v>289</v>
      </c>
      <c r="I84" s="15" t="s">
        <v>894</v>
      </c>
      <c r="K84" s="2" t="s">
        <v>200</v>
      </c>
      <c r="L84" s="14" t="s">
        <v>959</v>
      </c>
      <c r="M84" s="14" t="s">
        <v>292</v>
      </c>
      <c r="N84" s="15" t="s">
        <v>847</v>
      </c>
      <c r="P84" s="2" t="s">
        <v>195</v>
      </c>
      <c r="Q84" s="14" t="s">
        <v>938</v>
      </c>
      <c r="R84" s="14" t="s">
        <v>429</v>
      </c>
      <c r="S84" s="15" t="s">
        <v>939</v>
      </c>
      <c r="AE84" s="2" t="s">
        <v>210</v>
      </c>
      <c r="AF84" s="14" t="s">
        <v>1004</v>
      </c>
      <c r="AG84" s="14" t="s">
        <v>292</v>
      </c>
      <c r="AH84" s="15" t="s">
        <v>1056</v>
      </c>
      <c r="AJ84" s="2" t="s">
        <v>1057</v>
      </c>
      <c r="AK84" s="14" t="s">
        <v>1058</v>
      </c>
      <c r="AL84" s="14" t="s">
        <v>634</v>
      </c>
      <c r="AM84" s="15" t="s">
        <v>1059</v>
      </c>
    </row>
    <row r="85" spans="1:39" ht="15.75" thickBot="1" x14ac:dyDescent="0.3">
      <c r="A85" s="2" t="s">
        <v>1060</v>
      </c>
      <c r="B85" s="14" t="s">
        <v>1061</v>
      </c>
      <c r="C85" s="14" t="s">
        <v>292</v>
      </c>
      <c r="D85" s="15" t="s">
        <v>1062</v>
      </c>
      <c r="F85" s="2" t="s">
        <v>185</v>
      </c>
      <c r="G85" s="14" t="s">
        <v>898</v>
      </c>
      <c r="H85" s="14" t="s">
        <v>289</v>
      </c>
      <c r="I85" s="15" t="s">
        <v>1055</v>
      </c>
      <c r="K85" s="2" t="s">
        <v>201</v>
      </c>
      <c r="L85" s="14" t="s">
        <v>961</v>
      </c>
      <c r="M85" s="14" t="s">
        <v>292</v>
      </c>
      <c r="N85" s="15" t="s">
        <v>854</v>
      </c>
      <c r="P85" s="2" t="s">
        <v>196</v>
      </c>
      <c r="Q85" s="14" t="s">
        <v>944</v>
      </c>
      <c r="R85" s="14" t="s">
        <v>429</v>
      </c>
      <c r="S85" s="15" t="s">
        <v>945</v>
      </c>
      <c r="AE85" s="16" t="s">
        <v>212</v>
      </c>
      <c r="AF85" s="17" t="s">
        <v>1012</v>
      </c>
      <c r="AG85" s="17" t="s">
        <v>292</v>
      </c>
      <c r="AH85" s="18" t="s">
        <v>1013</v>
      </c>
      <c r="AJ85" s="2" t="s">
        <v>1063</v>
      </c>
      <c r="AK85" s="14" t="s">
        <v>1064</v>
      </c>
      <c r="AL85" s="14" t="s">
        <v>634</v>
      </c>
      <c r="AM85" s="15" t="s">
        <v>1065</v>
      </c>
    </row>
    <row r="86" spans="1:39" x14ac:dyDescent="0.25">
      <c r="A86" s="2" t="s">
        <v>619</v>
      </c>
      <c r="B86" s="14" t="s">
        <v>619</v>
      </c>
      <c r="C86" s="14" t="s">
        <v>820</v>
      </c>
      <c r="D86" s="15" t="s">
        <v>1066</v>
      </c>
      <c r="F86" s="2" t="s">
        <v>187</v>
      </c>
      <c r="G86" s="14" t="s">
        <v>901</v>
      </c>
      <c r="H86" s="14" t="s">
        <v>401</v>
      </c>
      <c r="I86" s="15" t="s">
        <v>902</v>
      </c>
      <c r="K86" s="2" t="s">
        <v>202</v>
      </c>
      <c r="L86" s="14" t="s">
        <v>963</v>
      </c>
      <c r="M86" s="14" t="s">
        <v>292</v>
      </c>
      <c r="N86" s="15" t="s">
        <v>863</v>
      </c>
      <c r="P86" s="2" t="s">
        <v>197</v>
      </c>
      <c r="Q86" s="14" t="s">
        <v>950</v>
      </c>
      <c r="R86" s="14" t="s">
        <v>429</v>
      </c>
      <c r="S86" s="15" t="s">
        <v>951</v>
      </c>
      <c r="AJ86" s="2" t="s">
        <v>1067</v>
      </c>
      <c r="AK86" s="14" t="s">
        <v>1067</v>
      </c>
      <c r="AL86" s="14" t="s">
        <v>1068</v>
      </c>
      <c r="AM86" s="15" t="s">
        <v>1069</v>
      </c>
    </row>
    <row r="87" spans="1:39" x14ac:dyDescent="0.25">
      <c r="A87" s="2" t="s">
        <v>1070</v>
      </c>
      <c r="B87" s="14" t="s">
        <v>1071</v>
      </c>
      <c r="C87" s="14" t="s">
        <v>820</v>
      </c>
      <c r="D87" s="15" t="s">
        <v>1072</v>
      </c>
      <c r="F87" s="2" t="s">
        <v>189</v>
      </c>
      <c r="G87" s="14" t="s">
        <v>909</v>
      </c>
      <c r="H87" s="14" t="s">
        <v>401</v>
      </c>
      <c r="I87" s="15" t="s">
        <v>910</v>
      </c>
      <c r="K87" s="2" t="s">
        <v>203</v>
      </c>
      <c r="L87" s="14" t="s">
        <v>967</v>
      </c>
      <c r="M87" s="14" t="s">
        <v>177</v>
      </c>
      <c r="N87" s="15" t="s">
        <v>968</v>
      </c>
      <c r="P87" s="2" t="s">
        <v>198</v>
      </c>
      <c r="Q87" s="14" t="s">
        <v>953</v>
      </c>
      <c r="R87" s="14" t="s">
        <v>292</v>
      </c>
      <c r="S87" s="15" t="s">
        <v>829</v>
      </c>
      <c r="AJ87" s="2" t="s">
        <v>1073</v>
      </c>
      <c r="AK87" s="14" t="s">
        <v>1073</v>
      </c>
      <c r="AL87" s="14" t="s">
        <v>1068</v>
      </c>
      <c r="AM87" s="15" t="s">
        <v>1074</v>
      </c>
    </row>
    <row r="88" spans="1:39" x14ac:dyDescent="0.25">
      <c r="A88" s="2" t="s">
        <v>1075</v>
      </c>
      <c r="B88" s="14" t="s">
        <v>1022</v>
      </c>
      <c r="C88" s="14" t="s">
        <v>536</v>
      </c>
      <c r="D88" s="15" t="s">
        <v>1076</v>
      </c>
      <c r="F88" s="2" t="s">
        <v>190</v>
      </c>
      <c r="G88" s="14" t="s">
        <v>912</v>
      </c>
      <c r="H88" s="14" t="s">
        <v>401</v>
      </c>
      <c r="I88" s="15" t="s">
        <v>913</v>
      </c>
      <c r="K88" s="2" t="s">
        <v>204</v>
      </c>
      <c r="L88" s="14" t="s">
        <v>974</v>
      </c>
      <c r="M88" s="14" t="s">
        <v>177</v>
      </c>
      <c r="N88" s="15" t="s">
        <v>975</v>
      </c>
      <c r="P88" s="2" t="s">
        <v>199</v>
      </c>
      <c r="Q88" s="14" t="s">
        <v>956</v>
      </c>
      <c r="R88" s="14" t="s">
        <v>292</v>
      </c>
      <c r="S88" s="15" t="s">
        <v>837</v>
      </c>
      <c r="AJ88" s="2" t="s">
        <v>1077</v>
      </c>
      <c r="AK88" s="14" t="s">
        <v>1077</v>
      </c>
      <c r="AL88" s="14" t="s">
        <v>292</v>
      </c>
      <c r="AM88" s="15" t="s">
        <v>1078</v>
      </c>
    </row>
    <row r="89" spans="1:39" x14ac:dyDescent="0.25">
      <c r="A89" s="2" t="s">
        <v>1079</v>
      </c>
      <c r="B89" s="14" t="s">
        <v>1079</v>
      </c>
      <c r="C89" s="14" t="s">
        <v>292</v>
      </c>
      <c r="D89" s="15" t="s">
        <v>1080</v>
      </c>
      <c r="F89" s="2" t="s">
        <v>191</v>
      </c>
      <c r="G89" s="14" t="s">
        <v>915</v>
      </c>
      <c r="H89" s="14" t="s">
        <v>401</v>
      </c>
      <c r="I89" s="15" t="s">
        <v>916</v>
      </c>
      <c r="K89" s="2" t="s">
        <v>205</v>
      </c>
      <c r="L89" s="14" t="s">
        <v>980</v>
      </c>
      <c r="M89" s="14" t="s">
        <v>177</v>
      </c>
      <c r="N89" s="15" t="s">
        <v>981</v>
      </c>
      <c r="P89" s="2" t="s">
        <v>200</v>
      </c>
      <c r="Q89" s="14" t="s">
        <v>959</v>
      </c>
      <c r="R89" s="14" t="s">
        <v>292</v>
      </c>
      <c r="S89" s="15" t="s">
        <v>847</v>
      </c>
      <c r="AJ89" s="2" t="s">
        <v>1081</v>
      </c>
      <c r="AK89" s="14" t="s">
        <v>1081</v>
      </c>
      <c r="AL89" s="14" t="s">
        <v>1068</v>
      </c>
      <c r="AM89" s="15" t="s">
        <v>1082</v>
      </c>
    </row>
    <row r="90" spans="1:39" x14ac:dyDescent="0.25">
      <c r="A90" s="2" t="s">
        <v>1083</v>
      </c>
      <c r="B90" s="14" t="s">
        <v>1083</v>
      </c>
      <c r="C90" s="14" t="s">
        <v>292</v>
      </c>
      <c r="D90" s="15" t="s">
        <v>1084</v>
      </c>
      <c r="F90" s="2" t="s">
        <v>192</v>
      </c>
      <c r="G90" s="14" t="s">
        <v>921</v>
      </c>
      <c r="H90" s="14" t="s">
        <v>401</v>
      </c>
      <c r="I90" s="15" t="s">
        <v>922</v>
      </c>
      <c r="K90" s="2" t="s">
        <v>217</v>
      </c>
      <c r="L90" s="14" t="s">
        <v>1034</v>
      </c>
      <c r="M90" s="14" t="s">
        <v>769</v>
      </c>
      <c r="N90" s="15" t="s">
        <v>1035</v>
      </c>
      <c r="P90" s="2" t="s">
        <v>201</v>
      </c>
      <c r="Q90" s="14" t="s">
        <v>961</v>
      </c>
      <c r="R90" s="14" t="s">
        <v>292</v>
      </c>
      <c r="S90" s="15" t="s">
        <v>854</v>
      </c>
      <c r="AJ90" s="2" t="s">
        <v>1085</v>
      </c>
      <c r="AK90" s="14" t="s">
        <v>1086</v>
      </c>
      <c r="AL90" s="14" t="s">
        <v>620</v>
      </c>
      <c r="AM90" s="15" t="s">
        <v>1087</v>
      </c>
    </row>
    <row r="91" spans="1:39" x14ac:dyDescent="0.25">
      <c r="A91" s="2" t="s">
        <v>1088</v>
      </c>
      <c r="B91" s="14" t="s">
        <v>1088</v>
      </c>
      <c r="C91" s="14" t="s">
        <v>292</v>
      </c>
      <c r="D91" s="15" t="s">
        <v>1089</v>
      </c>
      <c r="F91" s="2" t="s">
        <v>193</v>
      </c>
      <c r="G91" s="14" t="s">
        <v>926</v>
      </c>
      <c r="H91" s="14" t="s">
        <v>441</v>
      </c>
      <c r="I91" s="15" t="s">
        <v>927</v>
      </c>
      <c r="K91" s="2" t="s">
        <v>216</v>
      </c>
      <c r="L91" s="14" t="s">
        <v>1041</v>
      </c>
      <c r="M91" s="14" t="s">
        <v>769</v>
      </c>
      <c r="N91" s="15" t="s">
        <v>1042</v>
      </c>
      <c r="P91" s="2" t="s">
        <v>202</v>
      </c>
      <c r="Q91" s="14" t="s">
        <v>963</v>
      </c>
      <c r="R91" s="14" t="s">
        <v>292</v>
      </c>
      <c r="S91" s="15" t="s">
        <v>863</v>
      </c>
      <c r="AJ91" s="2" t="s">
        <v>1090</v>
      </c>
      <c r="AK91" s="14" t="s">
        <v>1091</v>
      </c>
      <c r="AL91" s="14" t="s">
        <v>292</v>
      </c>
      <c r="AM91" s="15" t="s">
        <v>1092</v>
      </c>
    </row>
    <row r="92" spans="1:39" x14ac:dyDescent="0.25">
      <c r="A92" s="2" t="s">
        <v>1093</v>
      </c>
      <c r="B92" s="14" t="s">
        <v>1093</v>
      </c>
      <c r="C92" s="14" t="s">
        <v>292</v>
      </c>
      <c r="D92" s="15" t="s">
        <v>1094</v>
      </c>
      <c r="F92" s="2" t="s">
        <v>194</v>
      </c>
      <c r="G92" s="14" t="s">
        <v>933</v>
      </c>
      <c r="H92" s="14" t="s">
        <v>441</v>
      </c>
      <c r="I92" s="15" t="s">
        <v>934</v>
      </c>
      <c r="K92" s="2" t="s">
        <v>207</v>
      </c>
      <c r="L92" s="14" t="s">
        <v>995</v>
      </c>
      <c r="M92" s="14" t="s">
        <v>292</v>
      </c>
      <c r="N92" s="15" t="s">
        <v>996</v>
      </c>
      <c r="P92" s="2" t="s">
        <v>203</v>
      </c>
      <c r="Q92" s="14" t="s">
        <v>967</v>
      </c>
      <c r="R92" s="14" t="s">
        <v>177</v>
      </c>
      <c r="S92" s="15" t="s">
        <v>968</v>
      </c>
      <c r="AJ92" s="2" t="s">
        <v>1095</v>
      </c>
      <c r="AK92" s="14" t="s">
        <v>1095</v>
      </c>
      <c r="AL92" s="14" t="s">
        <v>292</v>
      </c>
      <c r="AM92" s="15" t="s">
        <v>1096</v>
      </c>
    </row>
    <row r="93" spans="1:39" x14ac:dyDescent="0.25">
      <c r="A93" s="2" t="s">
        <v>1097</v>
      </c>
      <c r="B93" s="14" t="s">
        <v>1097</v>
      </c>
      <c r="C93" s="14" t="s">
        <v>292</v>
      </c>
      <c r="D93" s="15" t="s">
        <v>1098</v>
      </c>
      <c r="F93" s="2" t="s">
        <v>195</v>
      </c>
      <c r="G93" s="14" t="s">
        <v>938</v>
      </c>
      <c r="H93" s="14" t="s">
        <v>441</v>
      </c>
      <c r="I93" s="15" t="s">
        <v>939</v>
      </c>
      <c r="K93" s="2" t="s">
        <v>210</v>
      </c>
      <c r="L93" s="14" t="s">
        <v>1004</v>
      </c>
      <c r="M93" s="14" t="s">
        <v>292</v>
      </c>
      <c r="N93" s="15" t="s">
        <v>1099</v>
      </c>
      <c r="P93" s="2" t="s">
        <v>204</v>
      </c>
      <c r="Q93" s="14" t="s">
        <v>974</v>
      </c>
      <c r="R93" s="14" t="s">
        <v>177</v>
      </c>
      <c r="S93" s="15" t="s">
        <v>975</v>
      </c>
      <c r="AJ93" s="2" t="s">
        <v>1100</v>
      </c>
      <c r="AK93" s="14" t="s">
        <v>1100</v>
      </c>
      <c r="AL93" s="14" t="s">
        <v>1045</v>
      </c>
      <c r="AM93" s="15" t="s">
        <v>1101</v>
      </c>
    </row>
    <row r="94" spans="1:39" ht="15.75" thickBot="1" x14ac:dyDescent="0.3">
      <c r="A94" s="2" t="s">
        <v>1102</v>
      </c>
      <c r="B94" s="14" t="s">
        <v>1103</v>
      </c>
      <c r="C94" s="14" t="s">
        <v>820</v>
      </c>
      <c r="D94" s="15" t="s">
        <v>966</v>
      </c>
      <c r="F94" s="2" t="s">
        <v>196</v>
      </c>
      <c r="G94" s="14" t="s">
        <v>944</v>
      </c>
      <c r="H94" s="14" t="s">
        <v>441</v>
      </c>
      <c r="I94" s="15" t="s">
        <v>945</v>
      </c>
      <c r="K94" s="16" t="s">
        <v>212</v>
      </c>
      <c r="L94" s="17" t="s">
        <v>1012</v>
      </c>
      <c r="M94" s="17" t="s">
        <v>292</v>
      </c>
      <c r="N94" s="18" t="s">
        <v>1104</v>
      </c>
      <c r="P94" s="2" t="s">
        <v>205</v>
      </c>
      <c r="Q94" s="14" t="s">
        <v>980</v>
      </c>
      <c r="R94" s="14" t="s">
        <v>177</v>
      </c>
      <c r="S94" s="15" t="s">
        <v>981</v>
      </c>
      <c r="AJ94" s="2" t="s">
        <v>1105</v>
      </c>
      <c r="AK94" s="14" t="s">
        <v>1105</v>
      </c>
      <c r="AL94" s="14" t="s">
        <v>292</v>
      </c>
      <c r="AM94" s="15" t="s">
        <v>1106</v>
      </c>
    </row>
    <row r="95" spans="1:39" x14ac:dyDescent="0.25">
      <c r="A95" s="2" t="s">
        <v>1107</v>
      </c>
      <c r="B95" s="14" t="s">
        <v>1108</v>
      </c>
      <c r="C95" s="14" t="s">
        <v>820</v>
      </c>
      <c r="D95" s="15" t="s">
        <v>973</v>
      </c>
      <c r="F95" s="2" t="s">
        <v>197</v>
      </c>
      <c r="G95" s="14" t="s">
        <v>950</v>
      </c>
      <c r="H95" s="14" t="s">
        <v>441</v>
      </c>
      <c r="I95" s="15" t="s">
        <v>951</v>
      </c>
      <c r="P95" s="2" t="s">
        <v>218</v>
      </c>
      <c r="Q95" s="14" t="s">
        <v>1110</v>
      </c>
      <c r="R95" s="14" t="s">
        <v>485</v>
      </c>
      <c r="S95" s="15" t="s">
        <v>1111</v>
      </c>
      <c r="AJ95" s="2" t="s">
        <v>1112</v>
      </c>
      <c r="AK95" s="14" t="s">
        <v>1112</v>
      </c>
      <c r="AL95" s="14" t="s">
        <v>292</v>
      </c>
      <c r="AM95" s="15" t="s">
        <v>1113</v>
      </c>
    </row>
    <row r="96" spans="1:39" x14ac:dyDescent="0.25">
      <c r="A96" s="2" t="s">
        <v>1114</v>
      </c>
      <c r="B96" s="14" t="s">
        <v>1115</v>
      </c>
      <c r="C96" s="14" t="s">
        <v>536</v>
      </c>
      <c r="D96" s="15" t="s">
        <v>1115</v>
      </c>
      <c r="F96" s="2" t="s">
        <v>198</v>
      </c>
      <c r="G96" s="14" t="s">
        <v>953</v>
      </c>
      <c r="H96" s="14"/>
      <c r="I96" s="15" t="s">
        <v>1109</v>
      </c>
      <c r="P96" s="2" t="s">
        <v>219</v>
      </c>
      <c r="Q96" s="14" t="s">
        <v>1117</v>
      </c>
      <c r="R96" s="14" t="s">
        <v>485</v>
      </c>
      <c r="S96" s="15" t="s">
        <v>1118</v>
      </c>
      <c r="AJ96" s="2" t="s">
        <v>1119</v>
      </c>
      <c r="AK96" s="14" t="s">
        <v>1119</v>
      </c>
      <c r="AL96" s="14" t="s">
        <v>292</v>
      </c>
      <c r="AM96" s="15" t="s">
        <v>1120</v>
      </c>
    </row>
    <row r="97" spans="1:39" x14ac:dyDescent="0.25">
      <c r="A97" s="2" t="s">
        <v>1121</v>
      </c>
      <c r="B97" s="14" t="s">
        <v>1122</v>
      </c>
      <c r="C97" s="14" t="s">
        <v>536</v>
      </c>
      <c r="D97" s="15" t="s">
        <v>1123</v>
      </c>
      <c r="F97" s="2" t="s">
        <v>199</v>
      </c>
      <c r="G97" s="14" t="s">
        <v>956</v>
      </c>
      <c r="H97" s="14"/>
      <c r="I97" s="15" t="s">
        <v>1116</v>
      </c>
      <c r="P97" s="2" t="s">
        <v>207</v>
      </c>
      <c r="Q97" s="14" t="s">
        <v>995</v>
      </c>
      <c r="R97" s="14" t="s">
        <v>292</v>
      </c>
      <c r="S97" s="15" t="s">
        <v>996</v>
      </c>
      <c r="AJ97" s="2" t="s">
        <v>1125</v>
      </c>
      <c r="AK97" s="14" t="s">
        <v>1126</v>
      </c>
      <c r="AL97" s="14" t="s">
        <v>634</v>
      </c>
      <c r="AM97" s="15" t="s">
        <v>1127</v>
      </c>
    </row>
    <row r="98" spans="1:39" x14ac:dyDescent="0.25">
      <c r="A98" s="2" t="s">
        <v>1128</v>
      </c>
      <c r="B98" s="14" t="s">
        <v>1129</v>
      </c>
      <c r="C98" s="14" t="s">
        <v>820</v>
      </c>
      <c r="D98" s="15" t="s">
        <v>1130</v>
      </c>
      <c r="F98" s="2" t="s">
        <v>200</v>
      </c>
      <c r="G98" s="14" t="s">
        <v>959</v>
      </c>
      <c r="H98" s="14"/>
      <c r="I98" s="15" t="s">
        <v>1124</v>
      </c>
      <c r="P98" s="2" t="s">
        <v>210</v>
      </c>
      <c r="Q98" s="14" t="s">
        <v>1004</v>
      </c>
      <c r="R98" s="14" t="s">
        <v>292</v>
      </c>
      <c r="S98" s="15" t="s">
        <v>1132</v>
      </c>
      <c r="AJ98" s="2" t="s">
        <v>1133</v>
      </c>
      <c r="AK98" s="14" t="s">
        <v>521</v>
      </c>
      <c r="AL98" s="14" t="s">
        <v>292</v>
      </c>
      <c r="AM98" s="15" t="s">
        <v>1134</v>
      </c>
    </row>
    <row r="99" spans="1:39" ht="15.75" thickBot="1" x14ac:dyDescent="0.3">
      <c r="A99" s="2" t="s">
        <v>1135</v>
      </c>
      <c r="B99" s="14" t="s">
        <v>1136</v>
      </c>
      <c r="C99" s="14" t="s">
        <v>292</v>
      </c>
      <c r="D99" s="15" t="s">
        <v>1137</v>
      </c>
      <c r="F99" s="2" t="s">
        <v>201</v>
      </c>
      <c r="G99" s="14" t="s">
        <v>961</v>
      </c>
      <c r="H99" s="14"/>
      <c r="I99" s="15" t="s">
        <v>1131</v>
      </c>
      <c r="P99" s="16" t="s">
        <v>212</v>
      </c>
      <c r="Q99" s="17" t="s">
        <v>1012</v>
      </c>
      <c r="R99" s="17" t="s">
        <v>292</v>
      </c>
      <c r="S99" s="18" t="s">
        <v>1139</v>
      </c>
      <c r="AJ99" s="2" t="s">
        <v>1140</v>
      </c>
      <c r="AK99" s="14" t="s">
        <v>541</v>
      </c>
      <c r="AL99" s="14" t="s">
        <v>292</v>
      </c>
      <c r="AM99" s="15" t="s">
        <v>1134</v>
      </c>
    </row>
    <row r="100" spans="1:39" x14ac:dyDescent="0.25">
      <c r="A100" s="2" t="s">
        <v>1141</v>
      </c>
      <c r="B100" s="14" t="s">
        <v>1142</v>
      </c>
      <c r="C100" s="14" t="s">
        <v>292</v>
      </c>
      <c r="D100" s="15" t="s">
        <v>1143</v>
      </c>
      <c r="F100" s="2" t="s">
        <v>202</v>
      </c>
      <c r="G100" s="14" t="s">
        <v>963</v>
      </c>
      <c r="H100" s="14"/>
      <c r="I100" s="15" t="s">
        <v>1138</v>
      </c>
      <c r="AJ100" s="2" t="s">
        <v>1144</v>
      </c>
      <c r="AK100" s="14" t="s">
        <v>1144</v>
      </c>
      <c r="AL100" s="14" t="s">
        <v>292</v>
      </c>
      <c r="AM100" s="15" t="s">
        <v>1145</v>
      </c>
    </row>
    <row r="101" spans="1:39" x14ac:dyDescent="0.25">
      <c r="A101" s="2" t="s">
        <v>1146</v>
      </c>
      <c r="B101" s="14" t="s">
        <v>1147</v>
      </c>
      <c r="C101" s="14" t="s">
        <v>536</v>
      </c>
      <c r="D101" s="15" t="s">
        <v>1147</v>
      </c>
      <c r="F101" s="2" t="s">
        <v>203</v>
      </c>
      <c r="G101" s="14" t="s">
        <v>967</v>
      </c>
      <c r="H101" s="14" t="s">
        <v>289</v>
      </c>
      <c r="I101" s="15" t="s">
        <v>968</v>
      </c>
      <c r="AJ101" s="2" t="s">
        <v>1148</v>
      </c>
      <c r="AK101" s="14" t="s">
        <v>1149</v>
      </c>
      <c r="AL101" s="14" t="s">
        <v>292</v>
      </c>
      <c r="AM101" s="15" t="s">
        <v>1150</v>
      </c>
    </row>
    <row r="102" spans="1:39" x14ac:dyDescent="0.25">
      <c r="A102" s="2" t="s">
        <v>1151</v>
      </c>
      <c r="B102" s="14" t="s">
        <v>1122</v>
      </c>
      <c r="C102" s="14" t="s">
        <v>536</v>
      </c>
      <c r="D102" s="15" t="s">
        <v>1152</v>
      </c>
      <c r="F102" s="2" t="s">
        <v>204</v>
      </c>
      <c r="G102" s="14" t="s">
        <v>974</v>
      </c>
      <c r="H102" s="14" t="s">
        <v>289</v>
      </c>
      <c r="I102" s="15" t="s">
        <v>975</v>
      </c>
      <c r="AJ102" s="2" t="s">
        <v>1153</v>
      </c>
      <c r="AK102" s="14" t="s">
        <v>1154</v>
      </c>
      <c r="AL102" s="14" t="s">
        <v>620</v>
      </c>
      <c r="AM102" s="15" t="s">
        <v>1155</v>
      </c>
    </row>
    <row r="103" spans="1:39" x14ac:dyDescent="0.25">
      <c r="A103" s="2" t="s">
        <v>1156</v>
      </c>
      <c r="B103" s="14" t="s">
        <v>1157</v>
      </c>
      <c r="C103" s="14" t="s">
        <v>292</v>
      </c>
      <c r="D103" s="15" t="s">
        <v>1158</v>
      </c>
      <c r="F103" s="2" t="s">
        <v>205</v>
      </c>
      <c r="G103" s="14" t="s">
        <v>980</v>
      </c>
      <c r="H103" s="14" t="s">
        <v>289</v>
      </c>
      <c r="I103" s="15" t="s">
        <v>981</v>
      </c>
      <c r="AJ103" s="2" t="s">
        <v>1161</v>
      </c>
      <c r="AK103" s="14" t="s">
        <v>1161</v>
      </c>
      <c r="AL103" s="14" t="s">
        <v>292</v>
      </c>
      <c r="AM103" s="15" t="s">
        <v>1162</v>
      </c>
    </row>
    <row r="104" spans="1:39" x14ac:dyDescent="0.25">
      <c r="A104" s="2" t="s">
        <v>1163</v>
      </c>
      <c r="B104" s="14" t="s">
        <v>1164</v>
      </c>
      <c r="C104" s="14" t="s">
        <v>292</v>
      </c>
      <c r="D104" s="15" t="s">
        <v>1165</v>
      </c>
      <c r="F104" s="2" t="s">
        <v>220</v>
      </c>
      <c r="G104" s="14" t="s">
        <v>1159</v>
      </c>
      <c r="H104" s="14" t="s">
        <v>611</v>
      </c>
      <c r="I104" s="15" t="s">
        <v>1160</v>
      </c>
      <c r="AJ104" s="2" t="s">
        <v>1168</v>
      </c>
      <c r="AK104" s="14" t="s">
        <v>1168</v>
      </c>
      <c r="AL104" s="14" t="s">
        <v>292</v>
      </c>
      <c r="AM104" s="15" t="s">
        <v>1169</v>
      </c>
    </row>
    <row r="105" spans="1:39" x14ac:dyDescent="0.25">
      <c r="A105" s="2" t="s">
        <v>1170</v>
      </c>
      <c r="B105" s="14" t="s">
        <v>1171</v>
      </c>
      <c r="C105" s="14" t="s">
        <v>536</v>
      </c>
      <c r="D105" s="15" t="s">
        <v>1172</v>
      </c>
      <c r="F105" s="2" t="s">
        <v>221</v>
      </c>
      <c r="G105" s="14" t="s">
        <v>1166</v>
      </c>
      <c r="H105" s="14" t="s">
        <v>611</v>
      </c>
      <c r="I105" s="15" t="s">
        <v>1167</v>
      </c>
      <c r="AJ105" s="2" t="s">
        <v>1173</v>
      </c>
      <c r="AK105" s="14" t="s">
        <v>1173</v>
      </c>
      <c r="AL105" s="14" t="s">
        <v>292</v>
      </c>
      <c r="AM105" s="15" t="s">
        <v>1174</v>
      </c>
    </row>
    <row r="106" spans="1:39" x14ac:dyDescent="0.25">
      <c r="A106" s="2" t="s">
        <v>1175</v>
      </c>
      <c r="B106" s="14" t="s">
        <v>1122</v>
      </c>
      <c r="C106" s="14" t="s">
        <v>536</v>
      </c>
      <c r="D106" s="15" t="s">
        <v>1176</v>
      </c>
      <c r="F106" s="2" t="s">
        <v>222</v>
      </c>
      <c r="G106" s="14" t="s">
        <v>768</v>
      </c>
      <c r="H106" s="14" t="s">
        <v>769</v>
      </c>
      <c r="I106" s="15" t="s">
        <v>770</v>
      </c>
      <c r="AJ106" s="2" t="s">
        <v>1178</v>
      </c>
      <c r="AK106" s="14" t="s">
        <v>1179</v>
      </c>
      <c r="AL106" s="14" t="s">
        <v>413</v>
      </c>
      <c r="AM106" s="15" t="s">
        <v>1180</v>
      </c>
    </row>
    <row r="107" spans="1:39" x14ac:dyDescent="0.25">
      <c r="A107" s="2" t="s">
        <v>1181</v>
      </c>
      <c r="B107" s="14" t="s">
        <v>1182</v>
      </c>
      <c r="C107" s="14" t="s">
        <v>292</v>
      </c>
      <c r="D107" s="15" t="s">
        <v>1183</v>
      </c>
      <c r="F107" s="2" t="s">
        <v>223</v>
      </c>
      <c r="G107" s="14" t="s">
        <v>223</v>
      </c>
      <c r="H107" s="14" t="s">
        <v>1068</v>
      </c>
      <c r="I107" s="15" t="s">
        <v>1177</v>
      </c>
      <c r="AJ107" s="2" t="s">
        <v>1186</v>
      </c>
      <c r="AK107" s="14" t="s">
        <v>1187</v>
      </c>
      <c r="AL107" s="14" t="s">
        <v>292</v>
      </c>
      <c r="AM107" s="15" t="s">
        <v>1188</v>
      </c>
    </row>
    <row r="108" spans="1:39" x14ac:dyDescent="0.25">
      <c r="A108" s="2" t="s">
        <v>1189</v>
      </c>
      <c r="B108" s="14" t="s">
        <v>1190</v>
      </c>
      <c r="C108" s="14" t="s">
        <v>292</v>
      </c>
      <c r="D108" s="15" t="s">
        <v>1191</v>
      </c>
      <c r="F108" s="2" t="s">
        <v>224</v>
      </c>
      <c r="G108" s="14" t="s">
        <v>224</v>
      </c>
      <c r="H108" s="14" t="s">
        <v>1184</v>
      </c>
      <c r="I108" s="15" t="s">
        <v>1185</v>
      </c>
      <c r="AJ108" s="2" t="s">
        <v>1192</v>
      </c>
      <c r="AK108" s="14" t="s">
        <v>1193</v>
      </c>
      <c r="AL108" s="14" t="s">
        <v>620</v>
      </c>
      <c r="AM108" s="15" t="s">
        <v>1194</v>
      </c>
    </row>
    <row r="109" spans="1:39" x14ac:dyDescent="0.25">
      <c r="A109" s="2" t="s">
        <v>1195</v>
      </c>
      <c r="B109" s="14" t="s">
        <v>1196</v>
      </c>
      <c r="C109" s="14" t="s">
        <v>536</v>
      </c>
      <c r="D109" s="15" t="s">
        <v>1196</v>
      </c>
      <c r="F109" s="2" t="s">
        <v>207</v>
      </c>
      <c r="G109" s="14" t="s">
        <v>995</v>
      </c>
      <c r="H109" s="14" t="s">
        <v>292</v>
      </c>
      <c r="I109" s="15" t="s">
        <v>996</v>
      </c>
      <c r="AJ109" s="2" t="s">
        <v>1199</v>
      </c>
      <c r="AK109" s="14" t="s">
        <v>1199</v>
      </c>
      <c r="AL109" s="14" t="s">
        <v>292</v>
      </c>
      <c r="AM109" s="15" t="s">
        <v>1200</v>
      </c>
    </row>
    <row r="110" spans="1:39" x14ac:dyDescent="0.25">
      <c r="A110" s="2" t="s">
        <v>1201</v>
      </c>
      <c r="B110" s="14" t="s">
        <v>1122</v>
      </c>
      <c r="C110" s="14" t="s">
        <v>536</v>
      </c>
      <c r="D110" s="15" t="s">
        <v>1202</v>
      </c>
      <c r="F110" s="2" t="s">
        <v>225</v>
      </c>
      <c r="G110" s="14" t="s">
        <v>1197</v>
      </c>
      <c r="H110" s="14" t="s">
        <v>292</v>
      </c>
      <c r="I110" s="15" t="s">
        <v>1198</v>
      </c>
      <c r="AJ110" s="2" t="s">
        <v>1203</v>
      </c>
      <c r="AK110" s="14" t="s">
        <v>1203</v>
      </c>
      <c r="AL110" s="14" t="s">
        <v>292</v>
      </c>
      <c r="AM110" s="15" t="s">
        <v>1204</v>
      </c>
    </row>
    <row r="111" spans="1:39" x14ac:dyDescent="0.25">
      <c r="A111" s="2" t="s">
        <v>1205</v>
      </c>
      <c r="B111" s="14" t="s">
        <v>1206</v>
      </c>
      <c r="C111" s="14" t="s">
        <v>292</v>
      </c>
      <c r="D111" s="15" t="s">
        <v>1207</v>
      </c>
      <c r="F111" s="2" t="s">
        <v>210</v>
      </c>
      <c r="G111" s="14" t="s">
        <v>1004</v>
      </c>
      <c r="H111" s="14" t="s">
        <v>292</v>
      </c>
      <c r="I111" s="15" t="s">
        <v>996</v>
      </c>
      <c r="AJ111" s="2" t="s">
        <v>1208</v>
      </c>
      <c r="AK111" s="14" t="s">
        <v>1208</v>
      </c>
      <c r="AL111" s="14" t="s">
        <v>292</v>
      </c>
      <c r="AM111" s="15" t="s">
        <v>1209</v>
      </c>
    </row>
    <row r="112" spans="1:39" ht="15.75" thickBot="1" x14ac:dyDescent="0.3">
      <c r="A112" s="2" t="s">
        <v>1210</v>
      </c>
      <c r="B112" s="14" t="s">
        <v>1211</v>
      </c>
      <c r="C112" s="14" t="s">
        <v>292</v>
      </c>
      <c r="D112" s="15" t="s">
        <v>1212</v>
      </c>
      <c r="F112" s="16" t="s">
        <v>212</v>
      </c>
      <c r="G112" s="17" t="s">
        <v>1012</v>
      </c>
      <c r="H112" s="17" t="s">
        <v>292</v>
      </c>
      <c r="I112" s="18" t="s">
        <v>1013</v>
      </c>
      <c r="AJ112" s="2" t="s">
        <v>1213</v>
      </c>
      <c r="AK112" s="14" t="s">
        <v>1213</v>
      </c>
      <c r="AL112" s="14" t="s">
        <v>620</v>
      </c>
      <c r="AM112" s="15" t="s">
        <v>1214</v>
      </c>
    </row>
    <row r="113" spans="1:39" x14ac:dyDescent="0.25">
      <c r="A113" s="2" t="s">
        <v>1215</v>
      </c>
      <c r="B113" s="14" t="s">
        <v>1216</v>
      </c>
      <c r="C113" s="14" t="s">
        <v>292</v>
      </c>
      <c r="D113" s="15" t="s">
        <v>1217</v>
      </c>
      <c r="AJ113" s="2" t="s">
        <v>791</v>
      </c>
      <c r="AK113" s="14" t="s">
        <v>792</v>
      </c>
      <c r="AL113" s="14" t="s">
        <v>292</v>
      </c>
      <c r="AM113" s="15" t="s">
        <v>793</v>
      </c>
    </row>
    <row r="114" spans="1:39" x14ac:dyDescent="0.25">
      <c r="A114" s="2" t="s">
        <v>1218</v>
      </c>
      <c r="B114" s="14" t="s">
        <v>1219</v>
      </c>
      <c r="C114" s="14" t="s">
        <v>292</v>
      </c>
      <c r="D114" s="15" t="s">
        <v>1220</v>
      </c>
      <c r="AJ114" s="2" t="s">
        <v>1221</v>
      </c>
      <c r="AK114" s="14" t="s">
        <v>1222</v>
      </c>
      <c r="AL114" s="14" t="s">
        <v>769</v>
      </c>
      <c r="AM114" s="15" t="s">
        <v>1223</v>
      </c>
    </row>
    <row r="115" spans="1:39" x14ac:dyDescent="0.25">
      <c r="A115" s="2" t="s">
        <v>1224</v>
      </c>
      <c r="B115" s="14" t="s">
        <v>1225</v>
      </c>
      <c r="C115" s="14" t="s">
        <v>292</v>
      </c>
      <c r="D115" s="15" t="s">
        <v>1226</v>
      </c>
      <c r="AJ115" s="2" t="s">
        <v>1227</v>
      </c>
      <c r="AK115" s="14" t="s">
        <v>1228</v>
      </c>
      <c r="AL115" s="14" t="s">
        <v>769</v>
      </c>
      <c r="AM115" s="15" t="s">
        <v>1229</v>
      </c>
    </row>
    <row r="116" spans="1:39" x14ac:dyDescent="0.25">
      <c r="A116" s="2" t="s">
        <v>1230</v>
      </c>
      <c r="B116" s="14" t="s">
        <v>1231</v>
      </c>
      <c r="C116" s="14" t="s">
        <v>292</v>
      </c>
      <c r="D116" s="15" t="s">
        <v>1232</v>
      </c>
      <c r="AJ116" s="2" t="s">
        <v>1233</v>
      </c>
      <c r="AK116" s="14" t="s">
        <v>1234</v>
      </c>
      <c r="AL116" s="14" t="s">
        <v>769</v>
      </c>
      <c r="AM116" s="15" t="s">
        <v>1235</v>
      </c>
    </row>
    <row r="117" spans="1:39" x14ac:dyDescent="0.25">
      <c r="A117" s="2" t="s">
        <v>1224</v>
      </c>
      <c r="B117" s="14" t="s">
        <v>1225</v>
      </c>
      <c r="C117" s="14" t="s">
        <v>292</v>
      </c>
      <c r="D117" s="15" t="s">
        <v>1236</v>
      </c>
      <c r="AJ117" s="2" t="s">
        <v>1237</v>
      </c>
      <c r="AK117" s="14" t="s">
        <v>1238</v>
      </c>
      <c r="AL117" s="14" t="s">
        <v>413</v>
      </c>
      <c r="AM117" s="15" t="s">
        <v>1239</v>
      </c>
    </row>
    <row r="118" spans="1:39" x14ac:dyDescent="0.25">
      <c r="A118" s="2" t="s">
        <v>1230</v>
      </c>
      <c r="B118" s="14" t="s">
        <v>1231</v>
      </c>
      <c r="C118" s="14" t="s">
        <v>292</v>
      </c>
      <c r="D118" s="15" t="s">
        <v>1240</v>
      </c>
      <c r="AJ118" s="2" t="s">
        <v>1241</v>
      </c>
      <c r="AK118" s="14" t="s">
        <v>1241</v>
      </c>
      <c r="AL118" s="14" t="s">
        <v>292</v>
      </c>
      <c r="AM118" s="15" t="s">
        <v>1242</v>
      </c>
    </row>
    <row r="119" spans="1:39" x14ac:dyDescent="0.25">
      <c r="A119" s="2" t="s">
        <v>1243</v>
      </c>
      <c r="B119" s="14" t="s">
        <v>1244</v>
      </c>
      <c r="C119" s="14" t="s">
        <v>292</v>
      </c>
      <c r="D119" s="15" t="s">
        <v>1245</v>
      </c>
      <c r="AJ119" s="2" t="s">
        <v>1246</v>
      </c>
      <c r="AK119" s="14" t="s">
        <v>1246</v>
      </c>
      <c r="AL119" s="14" t="s">
        <v>292</v>
      </c>
      <c r="AM119" s="15" t="s">
        <v>1247</v>
      </c>
    </row>
    <row r="120" spans="1:39" x14ac:dyDescent="0.25">
      <c r="A120" s="2" t="s">
        <v>1248</v>
      </c>
      <c r="B120" s="14" t="s">
        <v>1249</v>
      </c>
      <c r="C120" s="14" t="s">
        <v>820</v>
      </c>
      <c r="D120" s="15" t="s">
        <v>1250</v>
      </c>
      <c r="AJ120" s="2" t="s">
        <v>1251</v>
      </c>
      <c r="AK120" s="14" t="s">
        <v>1252</v>
      </c>
      <c r="AL120" s="14" t="s">
        <v>292</v>
      </c>
      <c r="AM120" s="15" t="s">
        <v>1253</v>
      </c>
    </row>
    <row r="121" spans="1:39" x14ac:dyDescent="0.25">
      <c r="A121" s="2" t="s">
        <v>1254</v>
      </c>
      <c r="B121" s="14" t="s">
        <v>1255</v>
      </c>
      <c r="C121" s="14" t="s">
        <v>292</v>
      </c>
      <c r="D121" s="15" t="s">
        <v>1256</v>
      </c>
      <c r="AJ121" s="2" t="s">
        <v>1257</v>
      </c>
      <c r="AK121" s="14" t="s">
        <v>1258</v>
      </c>
      <c r="AL121" s="14" t="s">
        <v>1259</v>
      </c>
      <c r="AM121" s="15" t="s">
        <v>1253</v>
      </c>
    </row>
    <row r="122" spans="1:39" x14ac:dyDescent="0.25">
      <c r="A122" s="2" t="s">
        <v>82</v>
      </c>
      <c r="B122" s="14" t="s">
        <v>553</v>
      </c>
      <c r="C122" s="14" t="s">
        <v>292</v>
      </c>
      <c r="D122" s="15" t="s">
        <v>554</v>
      </c>
      <c r="AJ122" s="2" t="s">
        <v>1260</v>
      </c>
      <c r="AK122" s="14" t="s">
        <v>1261</v>
      </c>
      <c r="AL122" s="14" t="s">
        <v>292</v>
      </c>
      <c r="AM122" s="15" t="s">
        <v>1253</v>
      </c>
    </row>
    <row r="123" spans="1:39" x14ac:dyDescent="0.25">
      <c r="A123" s="2" t="s">
        <v>87</v>
      </c>
      <c r="B123" s="14" t="s">
        <v>567</v>
      </c>
      <c r="C123" s="14" t="s">
        <v>292</v>
      </c>
      <c r="D123" s="15" t="s">
        <v>568</v>
      </c>
      <c r="AJ123" s="2" t="s">
        <v>1262</v>
      </c>
      <c r="AK123" s="14" t="s">
        <v>1263</v>
      </c>
      <c r="AL123" s="14" t="s">
        <v>413</v>
      </c>
      <c r="AM123" s="15" t="s">
        <v>1264</v>
      </c>
    </row>
    <row r="124" spans="1:39" x14ac:dyDescent="0.25">
      <c r="A124" s="2" t="s">
        <v>91</v>
      </c>
      <c r="B124" s="14" t="s">
        <v>580</v>
      </c>
      <c r="C124" s="14" t="s">
        <v>292</v>
      </c>
      <c r="D124" s="15" t="s">
        <v>581</v>
      </c>
      <c r="AJ124" s="2" t="s">
        <v>1265</v>
      </c>
      <c r="AK124" s="14" t="s">
        <v>1266</v>
      </c>
      <c r="AL124" s="14" t="s">
        <v>413</v>
      </c>
      <c r="AM124" s="15" t="s">
        <v>1264</v>
      </c>
    </row>
    <row r="125" spans="1:39" x14ac:dyDescent="0.25">
      <c r="A125" s="2" t="s">
        <v>1267</v>
      </c>
      <c r="B125" s="14" t="s">
        <v>1267</v>
      </c>
      <c r="C125" s="14" t="s">
        <v>483</v>
      </c>
      <c r="D125" s="15" t="s">
        <v>1268</v>
      </c>
      <c r="AJ125" s="2" t="s">
        <v>1269</v>
      </c>
      <c r="AK125" s="14" t="s">
        <v>1269</v>
      </c>
      <c r="AL125" s="14" t="s">
        <v>292</v>
      </c>
      <c r="AM125" s="15" t="s">
        <v>1270</v>
      </c>
    </row>
    <row r="126" spans="1:39" x14ac:dyDescent="0.25">
      <c r="A126" s="2" t="s">
        <v>1271</v>
      </c>
      <c r="B126" s="14" t="s">
        <v>1271</v>
      </c>
      <c r="C126" s="14" t="s">
        <v>483</v>
      </c>
      <c r="D126" s="15" t="s">
        <v>1272</v>
      </c>
      <c r="AJ126" s="2"/>
      <c r="AK126" s="14"/>
      <c r="AL126" s="14"/>
      <c r="AM126" s="15" t="s">
        <v>1273</v>
      </c>
    </row>
    <row r="127" spans="1:39" x14ac:dyDescent="0.25">
      <c r="A127" s="2" t="s">
        <v>96</v>
      </c>
      <c r="B127" s="14" t="s">
        <v>592</v>
      </c>
      <c r="C127" s="14" t="s">
        <v>177</v>
      </c>
      <c r="D127" s="15" t="s">
        <v>593</v>
      </c>
      <c r="AJ127" s="2"/>
      <c r="AK127" s="14"/>
      <c r="AL127" s="14"/>
      <c r="AM127" s="15" t="s">
        <v>1274</v>
      </c>
    </row>
    <row r="128" spans="1:39" x14ac:dyDescent="0.25">
      <c r="A128" s="2" t="s">
        <v>100</v>
      </c>
      <c r="B128" s="14" t="s">
        <v>601</v>
      </c>
      <c r="C128" s="14" t="s">
        <v>177</v>
      </c>
      <c r="D128" s="15" t="s">
        <v>602</v>
      </c>
      <c r="AJ128" s="2"/>
      <c r="AK128" s="14"/>
      <c r="AL128" s="14"/>
      <c r="AM128" s="15" t="s">
        <v>1275</v>
      </c>
    </row>
    <row r="129" spans="1:39" x14ac:dyDescent="0.25">
      <c r="A129" s="2" t="s">
        <v>104</v>
      </c>
      <c r="B129" s="14" t="s">
        <v>616</v>
      </c>
      <c r="C129" s="14" t="s">
        <v>177</v>
      </c>
      <c r="D129" s="15" t="s">
        <v>617</v>
      </c>
      <c r="AJ129" s="2"/>
      <c r="AK129" s="14"/>
      <c r="AL129" s="14"/>
      <c r="AM129" s="15" t="s">
        <v>1276</v>
      </c>
    </row>
    <row r="130" spans="1:39" x14ac:dyDescent="0.25">
      <c r="A130" s="2" t="s">
        <v>108</v>
      </c>
      <c r="B130" s="14" t="s">
        <v>630</v>
      </c>
      <c r="C130" s="14" t="s">
        <v>177</v>
      </c>
      <c r="D130" s="15" t="s">
        <v>631</v>
      </c>
      <c r="AJ130" s="2"/>
      <c r="AK130" s="14"/>
      <c r="AL130" s="14"/>
      <c r="AM130" s="15" t="s">
        <v>1277</v>
      </c>
    </row>
    <row r="131" spans="1:39" x14ac:dyDescent="0.25">
      <c r="A131" s="2" t="s">
        <v>112</v>
      </c>
      <c r="B131" s="14" t="s">
        <v>644</v>
      </c>
      <c r="C131" s="14" t="s">
        <v>177</v>
      </c>
      <c r="D131" s="15" t="s">
        <v>645</v>
      </c>
      <c r="AJ131" s="2"/>
      <c r="AK131" s="14"/>
      <c r="AL131" s="14"/>
      <c r="AM131" s="15" t="s">
        <v>1278</v>
      </c>
    </row>
    <row r="132" spans="1:39" x14ac:dyDescent="0.25">
      <c r="A132" s="2" t="s">
        <v>115</v>
      </c>
      <c r="B132" s="14" t="s">
        <v>656</v>
      </c>
      <c r="C132" s="14" t="s">
        <v>177</v>
      </c>
      <c r="D132" s="15" t="s">
        <v>657</v>
      </c>
      <c r="AJ132" s="2"/>
      <c r="AK132" s="14"/>
      <c r="AL132" s="14"/>
      <c r="AM132" s="15" t="s">
        <v>1279</v>
      </c>
    </row>
    <row r="133" spans="1:39" x14ac:dyDescent="0.25">
      <c r="A133" s="2" t="s">
        <v>1280</v>
      </c>
      <c r="B133" s="14" t="s">
        <v>1281</v>
      </c>
      <c r="C133" s="14" t="s">
        <v>292</v>
      </c>
      <c r="D133" s="15" t="s">
        <v>1282</v>
      </c>
      <c r="AJ133" s="2"/>
      <c r="AK133" s="14"/>
      <c r="AL133" s="14"/>
      <c r="AM133" s="15" t="s">
        <v>1283</v>
      </c>
    </row>
    <row r="134" spans="1:39" x14ac:dyDescent="0.25">
      <c r="A134" s="2" t="s">
        <v>145</v>
      </c>
      <c r="B134" s="14" t="s">
        <v>145</v>
      </c>
      <c r="C134" s="14" t="s">
        <v>820</v>
      </c>
      <c r="D134" s="15" t="s">
        <v>145</v>
      </c>
      <c r="AJ134" s="2"/>
      <c r="AK134" s="14"/>
      <c r="AL134" s="14"/>
      <c r="AM134" s="15" t="s">
        <v>1284</v>
      </c>
    </row>
    <row r="135" spans="1:39" x14ac:dyDescent="0.25">
      <c r="A135" s="2" t="s">
        <v>148</v>
      </c>
      <c r="B135" s="14" t="s">
        <v>768</v>
      </c>
      <c r="C135" s="14" t="s">
        <v>769</v>
      </c>
      <c r="D135" s="15" t="s">
        <v>770</v>
      </c>
      <c r="AJ135" s="2"/>
      <c r="AK135" s="14"/>
      <c r="AL135" s="14"/>
      <c r="AM135" s="15" t="s">
        <v>1285</v>
      </c>
    </row>
    <row r="136" spans="1:39" x14ac:dyDescent="0.25">
      <c r="A136" s="2" t="s">
        <v>1286</v>
      </c>
      <c r="B136" s="14" t="s">
        <v>1286</v>
      </c>
      <c r="C136" s="14" t="s">
        <v>1287</v>
      </c>
      <c r="D136" s="15" t="s">
        <v>1288</v>
      </c>
      <c r="AJ136" s="2"/>
      <c r="AK136" s="14"/>
      <c r="AL136" s="14"/>
      <c r="AM136" s="15" t="s">
        <v>1289</v>
      </c>
    </row>
    <row r="137" spans="1:39" x14ac:dyDescent="0.25">
      <c r="A137" s="2" t="s">
        <v>123</v>
      </c>
      <c r="B137" s="14" t="s">
        <v>681</v>
      </c>
      <c r="C137" s="14" t="s">
        <v>177</v>
      </c>
      <c r="D137" s="15" t="s">
        <v>681</v>
      </c>
      <c r="AJ137" s="2"/>
      <c r="AK137" s="14"/>
      <c r="AL137" s="14"/>
      <c r="AM137" s="15"/>
    </row>
    <row r="138" spans="1:39" ht="15" customHeight="1" x14ac:dyDescent="0.25">
      <c r="A138" s="2" t="s">
        <v>169</v>
      </c>
      <c r="B138" s="14" t="s">
        <v>843</v>
      </c>
      <c r="C138" s="14" t="s">
        <v>844</v>
      </c>
      <c r="D138" s="15" t="s">
        <v>845</v>
      </c>
      <c r="AJ138" s="2" t="s">
        <v>1290</v>
      </c>
      <c r="AK138" s="14" t="s">
        <v>1290</v>
      </c>
      <c r="AL138" s="14" t="s">
        <v>292</v>
      </c>
      <c r="AM138" s="15" t="s">
        <v>605</v>
      </c>
    </row>
    <row r="139" spans="1:39" ht="15" customHeight="1" x14ac:dyDescent="0.25">
      <c r="A139" s="2" t="s">
        <v>142</v>
      </c>
      <c r="B139" s="14" t="s">
        <v>784</v>
      </c>
      <c r="C139" s="14" t="s">
        <v>292</v>
      </c>
      <c r="D139" s="15" t="s">
        <v>785</v>
      </c>
      <c r="AJ139" s="2" t="s">
        <v>1291</v>
      </c>
      <c r="AK139" s="14" t="s">
        <v>1292</v>
      </c>
      <c r="AL139" s="14" t="s">
        <v>292</v>
      </c>
      <c r="AM139" s="15" t="b">
        <v>1</v>
      </c>
    </row>
    <row r="140" spans="1:39" x14ac:dyDescent="0.25">
      <c r="A140" s="2" t="s">
        <v>1293</v>
      </c>
      <c r="B140" s="14" t="s">
        <v>1294</v>
      </c>
      <c r="C140" s="14" t="s">
        <v>292</v>
      </c>
      <c r="D140" s="15" t="s">
        <v>1295</v>
      </c>
      <c r="AJ140" s="2"/>
      <c r="AK140" s="14"/>
      <c r="AL140" s="14"/>
      <c r="AM140" s="15" t="s">
        <v>1296</v>
      </c>
    </row>
    <row r="141" spans="1:39" x14ac:dyDescent="0.25">
      <c r="A141" s="2" t="s">
        <v>1297</v>
      </c>
      <c r="B141" s="14" t="s">
        <v>1297</v>
      </c>
      <c r="C141" s="14" t="s">
        <v>820</v>
      </c>
      <c r="D141" s="15" t="s">
        <v>1298</v>
      </c>
      <c r="AJ141" s="2"/>
      <c r="AK141" s="14"/>
      <c r="AL141" s="14"/>
      <c r="AM141" s="15" t="b">
        <v>0</v>
      </c>
    </row>
    <row r="142" spans="1:39" x14ac:dyDescent="0.25">
      <c r="A142" s="2" t="s">
        <v>1299</v>
      </c>
      <c r="B142" s="14" t="s">
        <v>877</v>
      </c>
      <c r="C142" s="14" t="s">
        <v>292</v>
      </c>
      <c r="D142" s="15" t="s">
        <v>1300</v>
      </c>
      <c r="AJ142" s="2"/>
      <c r="AK142" s="14"/>
      <c r="AL142" s="14"/>
      <c r="AM142" s="15" t="s">
        <v>1301</v>
      </c>
    </row>
    <row r="143" spans="1:39" x14ac:dyDescent="0.25">
      <c r="A143" s="2" t="s">
        <v>1302</v>
      </c>
      <c r="B143" s="14" t="s">
        <v>1206</v>
      </c>
      <c r="C143" s="14" t="s">
        <v>292</v>
      </c>
      <c r="D143" s="15" t="s">
        <v>1303</v>
      </c>
      <c r="AJ143" s="2"/>
      <c r="AK143" s="14"/>
      <c r="AL143" s="14"/>
      <c r="AM143" s="15"/>
    </row>
    <row r="144" spans="1:39" x14ac:dyDescent="0.25">
      <c r="A144" s="2" t="s">
        <v>1304</v>
      </c>
      <c r="B144" s="14" t="s">
        <v>1305</v>
      </c>
      <c r="C144" s="14" t="s">
        <v>292</v>
      </c>
      <c r="D144" s="15" t="s">
        <v>1303</v>
      </c>
      <c r="AJ144" s="2" t="s">
        <v>1306</v>
      </c>
      <c r="AK144" s="14" t="s">
        <v>1307</v>
      </c>
      <c r="AL144" s="14" t="s">
        <v>292</v>
      </c>
      <c r="AM144" s="15" t="s">
        <v>873</v>
      </c>
    </row>
    <row r="145" spans="1:39" x14ac:dyDescent="0.25">
      <c r="A145" s="2" t="s">
        <v>1308</v>
      </c>
      <c r="B145" s="14" t="s">
        <v>1309</v>
      </c>
      <c r="C145" s="14" t="s">
        <v>292</v>
      </c>
      <c r="D145" s="15" t="s">
        <v>1310</v>
      </c>
      <c r="AJ145" s="2"/>
      <c r="AK145" s="14"/>
      <c r="AL145" s="14"/>
      <c r="AM145" s="15" t="s">
        <v>1311</v>
      </c>
    </row>
    <row r="146" spans="1:39" x14ac:dyDescent="0.25">
      <c r="A146" s="2" t="s">
        <v>1312</v>
      </c>
      <c r="B146" s="14" t="s">
        <v>1313</v>
      </c>
      <c r="C146" s="14" t="s">
        <v>395</v>
      </c>
      <c r="D146" s="15" t="s">
        <v>1314</v>
      </c>
      <c r="AJ146" s="2"/>
      <c r="AK146" s="14"/>
      <c r="AL146" s="14"/>
      <c r="AM146" s="15" t="s">
        <v>1315</v>
      </c>
    </row>
    <row r="147" spans="1:39" x14ac:dyDescent="0.25">
      <c r="A147" s="2" t="s">
        <v>1316</v>
      </c>
      <c r="B147" s="14" t="s">
        <v>1317</v>
      </c>
      <c r="C147" s="14" t="s">
        <v>395</v>
      </c>
      <c r="D147" s="15" t="s">
        <v>1318</v>
      </c>
      <c r="AJ147" s="2"/>
      <c r="AK147" s="14"/>
      <c r="AL147" s="14"/>
      <c r="AM147" s="15" t="s">
        <v>1319</v>
      </c>
    </row>
    <row r="148" spans="1:39" x14ac:dyDescent="0.25">
      <c r="A148" s="2" t="s">
        <v>132</v>
      </c>
      <c r="B148" s="14" t="s">
        <v>715</v>
      </c>
      <c r="C148" s="14" t="s">
        <v>716</v>
      </c>
      <c r="D148" s="15" t="s">
        <v>1320</v>
      </c>
      <c r="AJ148" s="2"/>
      <c r="AK148" s="14"/>
      <c r="AL148" s="14"/>
      <c r="AM148" s="15" t="s">
        <v>1321</v>
      </c>
    </row>
    <row r="149" spans="1:39" x14ac:dyDescent="0.25">
      <c r="A149" s="2" t="s">
        <v>1322</v>
      </c>
      <c r="B149" s="14" t="s">
        <v>1323</v>
      </c>
      <c r="C149" s="14" t="s">
        <v>395</v>
      </c>
      <c r="D149" s="15" t="s">
        <v>1324</v>
      </c>
      <c r="AJ149" s="2"/>
      <c r="AK149" s="14"/>
      <c r="AL149" s="14"/>
      <c r="AM149" s="15" t="s">
        <v>1325</v>
      </c>
    </row>
    <row r="150" spans="1:39" x14ac:dyDescent="0.25">
      <c r="A150" s="2" t="s">
        <v>1326</v>
      </c>
      <c r="B150" s="14" t="s">
        <v>1327</v>
      </c>
      <c r="C150" s="14" t="s">
        <v>395</v>
      </c>
      <c r="D150" s="15" t="s">
        <v>1328</v>
      </c>
      <c r="AJ150" s="2"/>
      <c r="AK150" s="14"/>
      <c r="AL150" s="14"/>
      <c r="AM150" s="15" t="s">
        <v>1329</v>
      </c>
    </row>
    <row r="151" spans="1:39" x14ac:dyDescent="0.25">
      <c r="A151" s="2" t="s">
        <v>1330</v>
      </c>
      <c r="B151" s="14" t="s">
        <v>1331</v>
      </c>
      <c r="C151" s="14" t="s">
        <v>395</v>
      </c>
      <c r="D151" s="15" t="s">
        <v>1332</v>
      </c>
      <c r="AJ151" s="2"/>
      <c r="AK151" s="14"/>
      <c r="AL151" s="14"/>
      <c r="AM151" s="15" t="s">
        <v>1333</v>
      </c>
    </row>
    <row r="152" spans="1:39" x14ac:dyDescent="0.25">
      <c r="A152" s="2" t="s">
        <v>1334</v>
      </c>
      <c r="B152" s="14" t="s">
        <v>1335</v>
      </c>
      <c r="C152" s="14" t="s">
        <v>1336</v>
      </c>
      <c r="D152" s="15" t="s">
        <v>1337</v>
      </c>
      <c r="AJ152" s="2"/>
      <c r="AK152" s="14"/>
      <c r="AL152" s="14"/>
      <c r="AM152" s="15" t="s">
        <v>380</v>
      </c>
    </row>
    <row r="153" spans="1:39" x14ac:dyDescent="0.25">
      <c r="A153" s="2" t="s">
        <v>1338</v>
      </c>
      <c r="B153" s="14" t="s">
        <v>1339</v>
      </c>
      <c r="C153" s="14" t="s">
        <v>395</v>
      </c>
      <c r="D153" s="15" t="s">
        <v>1340</v>
      </c>
      <c r="AJ153" s="2"/>
      <c r="AK153" s="14"/>
      <c r="AL153" s="14"/>
      <c r="AM153" s="15" t="s">
        <v>1341</v>
      </c>
    </row>
    <row r="154" spans="1:39" x14ac:dyDescent="0.25">
      <c r="A154" s="2" t="s">
        <v>1342</v>
      </c>
      <c r="B154" s="14" t="s">
        <v>1343</v>
      </c>
      <c r="C154" s="14" t="s">
        <v>1344</v>
      </c>
      <c r="D154" s="15" t="s">
        <v>1345</v>
      </c>
      <c r="AJ154" s="2"/>
      <c r="AK154" s="14"/>
      <c r="AL154" s="14"/>
      <c r="AM154" s="15"/>
    </row>
    <row r="155" spans="1:39" x14ac:dyDescent="0.25">
      <c r="A155" s="2" t="s">
        <v>1346</v>
      </c>
      <c r="B155" s="14" t="s">
        <v>1347</v>
      </c>
      <c r="C155" s="14" t="s">
        <v>1344</v>
      </c>
      <c r="D155" s="15" t="s">
        <v>1348</v>
      </c>
      <c r="AJ155" s="2" t="s">
        <v>1349</v>
      </c>
      <c r="AK155" s="14" t="s">
        <v>248</v>
      </c>
      <c r="AL155" s="14" t="s">
        <v>292</v>
      </c>
      <c r="AM155" s="15" t="s">
        <v>1270</v>
      </c>
    </row>
    <row r="156" spans="1:39" x14ac:dyDescent="0.25">
      <c r="A156" s="2" t="s">
        <v>1350</v>
      </c>
      <c r="B156" s="14" t="s">
        <v>1351</v>
      </c>
      <c r="C156" s="14" t="s">
        <v>1344</v>
      </c>
      <c r="D156" s="15" t="s">
        <v>1352</v>
      </c>
      <c r="AJ156" s="2"/>
      <c r="AK156" s="14"/>
      <c r="AL156" s="14"/>
      <c r="AM156" s="15" t="s">
        <v>1353</v>
      </c>
    </row>
    <row r="157" spans="1:39" x14ac:dyDescent="0.25">
      <c r="A157" s="2" t="s">
        <v>136</v>
      </c>
      <c r="B157" s="14" t="s">
        <v>730</v>
      </c>
      <c r="C157" s="14" t="s">
        <v>292</v>
      </c>
      <c r="D157" s="15" t="s">
        <v>731</v>
      </c>
      <c r="AJ157" s="2"/>
      <c r="AK157" s="14"/>
      <c r="AL157" s="14"/>
      <c r="AM157" s="15" t="s">
        <v>1274</v>
      </c>
    </row>
    <row r="158" spans="1:39" x14ac:dyDescent="0.25">
      <c r="A158" s="2" t="s">
        <v>1354</v>
      </c>
      <c r="B158" s="14" t="s">
        <v>1355</v>
      </c>
      <c r="C158" s="14" t="s">
        <v>177</v>
      </c>
      <c r="D158" s="15" t="s">
        <v>1356</v>
      </c>
      <c r="AJ158" s="2"/>
      <c r="AK158" s="14"/>
      <c r="AL158" s="14"/>
      <c r="AM158" s="15" t="s">
        <v>1357</v>
      </c>
    </row>
    <row r="159" spans="1:39" x14ac:dyDescent="0.25">
      <c r="A159" s="2" t="s">
        <v>1358</v>
      </c>
      <c r="B159" s="14" t="s">
        <v>1359</v>
      </c>
      <c r="C159" s="14"/>
      <c r="D159" s="15" t="s">
        <v>1356</v>
      </c>
      <c r="AJ159" s="2"/>
      <c r="AK159" s="14"/>
      <c r="AL159" s="14"/>
      <c r="AM159" s="15"/>
    </row>
    <row r="160" spans="1:39" x14ac:dyDescent="0.25">
      <c r="A160" s="2" t="s">
        <v>1360</v>
      </c>
      <c r="B160" s="14" t="s">
        <v>1361</v>
      </c>
      <c r="C160" s="14"/>
      <c r="D160" s="15" t="s">
        <v>1356</v>
      </c>
      <c r="AJ160" s="2" t="s">
        <v>1362</v>
      </c>
      <c r="AK160" s="14" t="s">
        <v>248</v>
      </c>
      <c r="AL160" s="14" t="s">
        <v>292</v>
      </c>
      <c r="AM160" s="15" t="s">
        <v>1270</v>
      </c>
    </row>
    <row r="161" spans="1:39" x14ac:dyDescent="0.25">
      <c r="A161" s="2" t="s">
        <v>1363</v>
      </c>
      <c r="B161" s="14" t="s">
        <v>1364</v>
      </c>
      <c r="C161" s="14"/>
      <c r="D161" s="15" t="s">
        <v>1356</v>
      </c>
      <c r="AJ161" s="2"/>
      <c r="AK161" s="14"/>
      <c r="AL161" s="14"/>
      <c r="AM161" s="15" t="s">
        <v>1365</v>
      </c>
    </row>
    <row r="162" spans="1:39" x14ac:dyDescent="0.25">
      <c r="A162" s="2" t="s">
        <v>206</v>
      </c>
      <c r="B162" s="14" t="s">
        <v>1366</v>
      </c>
      <c r="C162" s="14" t="s">
        <v>292</v>
      </c>
      <c r="D162" s="15" t="s">
        <v>1367</v>
      </c>
      <c r="AJ162" s="2"/>
      <c r="AK162" s="14"/>
      <c r="AL162" s="14"/>
      <c r="AM162" s="15" t="s">
        <v>1368</v>
      </c>
    </row>
    <row r="163" spans="1:39" x14ac:dyDescent="0.25">
      <c r="A163" s="2" t="s">
        <v>209</v>
      </c>
      <c r="B163" s="14" t="s">
        <v>1369</v>
      </c>
      <c r="C163" s="14" t="s">
        <v>292</v>
      </c>
      <c r="D163" s="15" t="s">
        <v>994</v>
      </c>
      <c r="AJ163" s="2"/>
      <c r="AK163" s="14"/>
      <c r="AL163" s="14"/>
      <c r="AM163" s="15" t="s">
        <v>1370</v>
      </c>
    </row>
    <row r="164" spans="1:39" x14ac:dyDescent="0.25">
      <c r="A164" s="2" t="s">
        <v>214</v>
      </c>
      <c r="B164" s="14" t="s">
        <v>1371</v>
      </c>
      <c r="C164" s="14" t="s">
        <v>292</v>
      </c>
      <c r="D164" s="15" t="s">
        <v>1020</v>
      </c>
      <c r="AJ164" s="2"/>
      <c r="AK164" s="14"/>
      <c r="AL164" s="14"/>
      <c r="AM164" s="15" t="s">
        <v>1285</v>
      </c>
    </row>
    <row r="165" spans="1:39" x14ac:dyDescent="0.25">
      <c r="A165" s="2" t="s">
        <v>211</v>
      </c>
      <c r="B165" s="14" t="s">
        <v>1372</v>
      </c>
      <c r="C165" s="14" t="s">
        <v>292</v>
      </c>
      <c r="D165" s="15" t="s">
        <v>1373</v>
      </c>
      <c r="AJ165" s="2"/>
      <c r="AK165" s="14"/>
      <c r="AL165" s="14"/>
      <c r="AM165" s="15" t="s">
        <v>1374</v>
      </c>
    </row>
    <row r="166" spans="1:39" ht="15" customHeight="1" x14ac:dyDescent="0.25">
      <c r="A166" s="2" t="s">
        <v>213</v>
      </c>
      <c r="B166" s="14" t="s">
        <v>1375</v>
      </c>
      <c r="C166" s="14" t="s">
        <v>292</v>
      </c>
      <c r="D166" s="15" t="s">
        <v>1376</v>
      </c>
      <c r="AJ166" s="2"/>
      <c r="AK166" s="14"/>
      <c r="AL166" s="14"/>
      <c r="AM166" s="15"/>
    </row>
    <row r="167" spans="1:39" ht="15" customHeight="1" x14ac:dyDescent="0.25">
      <c r="A167" s="2" t="s">
        <v>1377</v>
      </c>
      <c r="B167" s="14" t="s">
        <v>1378</v>
      </c>
      <c r="C167" s="14" t="s">
        <v>820</v>
      </c>
      <c r="D167" s="15" t="s">
        <v>1379</v>
      </c>
      <c r="AJ167" s="2" t="s">
        <v>1380</v>
      </c>
      <c r="AK167" s="14" t="s">
        <v>1381</v>
      </c>
      <c r="AL167" s="14" t="s">
        <v>292</v>
      </c>
      <c r="AM167" s="15" t="s">
        <v>1382</v>
      </c>
    </row>
    <row r="168" spans="1:39" x14ac:dyDescent="0.25">
      <c r="A168" s="2" t="s">
        <v>1383</v>
      </c>
      <c r="B168" s="14" t="s">
        <v>1384</v>
      </c>
      <c r="C168" s="14" t="s">
        <v>820</v>
      </c>
      <c r="D168" s="15" t="s">
        <v>1385</v>
      </c>
      <c r="AJ168" s="2"/>
      <c r="AK168" s="14"/>
      <c r="AL168" s="14"/>
      <c r="AM168" s="15" t="s">
        <v>1386</v>
      </c>
    </row>
    <row r="169" spans="1:39" x14ac:dyDescent="0.25">
      <c r="A169" s="2" t="s">
        <v>175</v>
      </c>
      <c r="B169" s="14" t="s">
        <v>869</v>
      </c>
      <c r="C169" s="14" t="s">
        <v>177</v>
      </c>
      <c r="D169" s="15" t="s">
        <v>870</v>
      </c>
      <c r="AJ169" s="2"/>
      <c r="AK169" s="14"/>
      <c r="AL169" s="14"/>
      <c r="AM169" s="15" t="s">
        <v>1387</v>
      </c>
    </row>
    <row r="170" spans="1:39" x14ac:dyDescent="0.25">
      <c r="A170" s="2" t="s">
        <v>178</v>
      </c>
      <c r="B170" s="14" t="s">
        <v>879</v>
      </c>
      <c r="C170" s="14" t="s">
        <v>177</v>
      </c>
      <c r="D170" s="15" t="s">
        <v>880</v>
      </c>
      <c r="AJ170" s="2"/>
      <c r="AK170" s="14"/>
      <c r="AL170" s="14"/>
      <c r="AM170" s="15" t="s">
        <v>1388</v>
      </c>
    </row>
    <row r="171" spans="1:39" x14ac:dyDescent="0.25">
      <c r="A171" s="2" t="s">
        <v>181</v>
      </c>
      <c r="B171" s="14" t="s">
        <v>886</v>
      </c>
      <c r="C171" s="14" t="s">
        <v>177</v>
      </c>
      <c r="D171" s="15" t="s">
        <v>887</v>
      </c>
      <c r="AJ171" s="2"/>
      <c r="AK171" s="14"/>
      <c r="AL171" s="14"/>
      <c r="AM171" s="15" t="s">
        <v>1389</v>
      </c>
    </row>
    <row r="172" spans="1:39" x14ac:dyDescent="0.25">
      <c r="A172" s="2" t="s">
        <v>183</v>
      </c>
      <c r="B172" s="14" t="s">
        <v>893</v>
      </c>
      <c r="C172" s="14" t="s">
        <v>177</v>
      </c>
      <c r="D172" s="15" t="s">
        <v>894</v>
      </c>
      <c r="AJ172" s="2"/>
      <c r="AK172" s="14"/>
      <c r="AL172" s="14"/>
      <c r="AM172" s="15" t="s">
        <v>1390</v>
      </c>
    </row>
    <row r="173" spans="1:39" x14ac:dyDescent="0.25">
      <c r="A173" s="2" t="s">
        <v>185</v>
      </c>
      <c r="B173" s="14" t="s">
        <v>898</v>
      </c>
      <c r="C173" s="14" t="s">
        <v>177</v>
      </c>
      <c r="D173" s="15" t="s">
        <v>1055</v>
      </c>
      <c r="AJ173" s="2"/>
      <c r="AK173" s="14"/>
      <c r="AL173" s="14"/>
      <c r="AM173" s="15" t="s">
        <v>1391</v>
      </c>
    </row>
    <row r="174" spans="1:39" x14ac:dyDescent="0.25">
      <c r="A174" s="2" t="s">
        <v>187</v>
      </c>
      <c r="B174" s="14" t="s">
        <v>901</v>
      </c>
      <c r="C174" s="14" t="s">
        <v>395</v>
      </c>
      <c r="D174" s="15" t="s">
        <v>902</v>
      </c>
      <c r="AJ174" s="2"/>
      <c r="AK174" s="14"/>
      <c r="AL174" s="14"/>
      <c r="AM174" s="15" t="s">
        <v>1392</v>
      </c>
    </row>
    <row r="175" spans="1:39" x14ac:dyDescent="0.25">
      <c r="A175" s="2" t="s">
        <v>189</v>
      </c>
      <c r="B175" s="14" t="s">
        <v>909</v>
      </c>
      <c r="C175" s="14" t="s">
        <v>395</v>
      </c>
      <c r="D175" s="15" t="s">
        <v>910</v>
      </c>
      <c r="AJ175" s="2"/>
      <c r="AK175" s="14"/>
      <c r="AL175" s="14"/>
      <c r="AM175" s="15" t="s">
        <v>1393</v>
      </c>
    </row>
    <row r="176" spans="1:39" x14ac:dyDescent="0.25">
      <c r="A176" s="2" t="s">
        <v>190</v>
      </c>
      <c r="B176" s="14" t="s">
        <v>912</v>
      </c>
      <c r="C176" s="14" t="s">
        <v>395</v>
      </c>
      <c r="D176" s="15" t="s">
        <v>913</v>
      </c>
      <c r="AJ176" s="2"/>
      <c r="AK176" s="14"/>
      <c r="AL176" s="14"/>
      <c r="AM176" s="15" t="s">
        <v>1394</v>
      </c>
    </row>
    <row r="177" spans="1:39" x14ac:dyDescent="0.25">
      <c r="A177" s="2" t="s">
        <v>191</v>
      </c>
      <c r="B177" s="14" t="s">
        <v>915</v>
      </c>
      <c r="C177" s="14" t="s">
        <v>395</v>
      </c>
      <c r="D177" s="15" t="s">
        <v>916</v>
      </c>
      <c r="AJ177" s="2"/>
      <c r="AK177" s="14"/>
      <c r="AL177" s="14"/>
      <c r="AM177" s="15" t="s">
        <v>1395</v>
      </c>
    </row>
    <row r="178" spans="1:39" x14ac:dyDescent="0.25">
      <c r="A178" s="2" t="s">
        <v>192</v>
      </c>
      <c r="B178" s="14" t="s">
        <v>921</v>
      </c>
      <c r="C178" s="14" t="s">
        <v>395</v>
      </c>
      <c r="D178" s="15" t="s">
        <v>922</v>
      </c>
      <c r="AJ178" s="2"/>
      <c r="AK178" s="14"/>
      <c r="AL178" s="14"/>
      <c r="AM178" s="15" t="s">
        <v>1396</v>
      </c>
    </row>
    <row r="179" spans="1:39" ht="15" customHeight="1" x14ac:dyDescent="0.25">
      <c r="A179" s="2" t="s">
        <v>193</v>
      </c>
      <c r="B179" s="14" t="s">
        <v>926</v>
      </c>
      <c r="C179" s="14" t="s">
        <v>429</v>
      </c>
      <c r="D179" s="15" t="s">
        <v>927</v>
      </c>
      <c r="AJ179" s="2"/>
      <c r="AK179" s="14"/>
      <c r="AL179" s="14"/>
      <c r="AM179" s="15"/>
    </row>
    <row r="180" spans="1:39" ht="15" customHeight="1" x14ac:dyDescent="0.25">
      <c r="A180" s="2" t="s">
        <v>194</v>
      </c>
      <c r="B180" s="14" t="s">
        <v>933</v>
      </c>
      <c r="C180" s="14" t="s">
        <v>429</v>
      </c>
      <c r="D180" s="15" t="s">
        <v>934</v>
      </c>
      <c r="AJ180" s="2" t="s">
        <v>1397</v>
      </c>
      <c r="AK180" s="14" t="s">
        <v>1398</v>
      </c>
      <c r="AL180" s="14" t="s">
        <v>292</v>
      </c>
      <c r="AM180" s="15" t="s">
        <v>1399</v>
      </c>
    </row>
    <row r="181" spans="1:39" x14ac:dyDescent="0.25">
      <c r="A181" s="2" t="s">
        <v>195</v>
      </c>
      <c r="B181" s="14" t="s">
        <v>938</v>
      </c>
      <c r="C181" s="14" t="s">
        <v>429</v>
      </c>
      <c r="D181" s="15" t="s">
        <v>939</v>
      </c>
      <c r="AJ181" s="2"/>
      <c r="AK181" s="14"/>
      <c r="AL181" s="14"/>
      <c r="AM181" s="15" t="s">
        <v>1400</v>
      </c>
    </row>
    <row r="182" spans="1:39" x14ac:dyDescent="0.25">
      <c r="A182" s="2" t="s">
        <v>196</v>
      </c>
      <c r="B182" s="14" t="s">
        <v>944</v>
      </c>
      <c r="C182" s="14" t="s">
        <v>429</v>
      </c>
      <c r="D182" s="15" t="s">
        <v>945</v>
      </c>
      <c r="AJ182" s="2"/>
      <c r="AK182" s="14"/>
      <c r="AL182" s="14"/>
      <c r="AM182" s="15" t="s">
        <v>1401</v>
      </c>
    </row>
    <row r="183" spans="1:39" x14ac:dyDescent="0.25">
      <c r="A183" s="2" t="s">
        <v>197</v>
      </c>
      <c r="B183" s="14" t="s">
        <v>950</v>
      </c>
      <c r="C183" s="14" t="s">
        <v>429</v>
      </c>
      <c r="D183" s="15" t="s">
        <v>951</v>
      </c>
      <c r="AJ183" s="2"/>
      <c r="AK183" s="14"/>
      <c r="AL183" s="14"/>
      <c r="AM183" s="15" t="s">
        <v>1402</v>
      </c>
    </row>
    <row r="184" spans="1:39" ht="15" customHeight="1" x14ac:dyDescent="0.25">
      <c r="A184" s="2" t="s">
        <v>198</v>
      </c>
      <c r="B184" s="14" t="s">
        <v>953</v>
      </c>
      <c r="C184" s="14" t="s">
        <v>292</v>
      </c>
      <c r="D184" s="15" t="s">
        <v>1109</v>
      </c>
      <c r="AJ184" s="2"/>
      <c r="AK184" s="14"/>
      <c r="AL184" s="14"/>
      <c r="AM184" s="15"/>
    </row>
    <row r="185" spans="1:39" ht="15" customHeight="1" x14ac:dyDescent="0.25">
      <c r="A185" s="2" t="s">
        <v>199</v>
      </c>
      <c r="B185" s="14" t="s">
        <v>956</v>
      </c>
      <c r="C185" s="14" t="s">
        <v>292</v>
      </c>
      <c r="D185" s="15" t="s">
        <v>1116</v>
      </c>
      <c r="AJ185" s="2" t="s">
        <v>1403</v>
      </c>
      <c r="AK185" s="14" t="s">
        <v>1381</v>
      </c>
      <c r="AL185" s="14" t="s">
        <v>292</v>
      </c>
      <c r="AM185" s="15" t="s">
        <v>1404</v>
      </c>
    </row>
    <row r="186" spans="1:39" x14ac:dyDescent="0.25">
      <c r="A186" s="2" t="s">
        <v>200</v>
      </c>
      <c r="B186" s="14" t="s">
        <v>959</v>
      </c>
      <c r="C186" s="14" t="s">
        <v>292</v>
      </c>
      <c r="D186" s="15" t="s">
        <v>1124</v>
      </c>
      <c r="AJ186" s="2"/>
      <c r="AK186" s="14"/>
      <c r="AL186" s="14"/>
      <c r="AM186" s="15" t="s">
        <v>1405</v>
      </c>
    </row>
    <row r="187" spans="1:39" x14ac:dyDescent="0.25">
      <c r="A187" s="2" t="s">
        <v>201</v>
      </c>
      <c r="B187" s="14" t="s">
        <v>961</v>
      </c>
      <c r="C187" s="14" t="s">
        <v>292</v>
      </c>
      <c r="D187" s="15" t="s">
        <v>1131</v>
      </c>
      <c r="AJ187" s="2"/>
      <c r="AK187" s="14"/>
      <c r="AL187" s="14"/>
      <c r="AM187" s="15" t="s">
        <v>1406</v>
      </c>
    </row>
    <row r="188" spans="1:39" x14ac:dyDescent="0.25">
      <c r="A188" s="2" t="s">
        <v>202</v>
      </c>
      <c r="B188" s="14" t="s">
        <v>963</v>
      </c>
      <c r="C188" s="14" t="s">
        <v>292</v>
      </c>
      <c r="D188" s="15" t="s">
        <v>1138</v>
      </c>
      <c r="AJ188" s="2"/>
      <c r="AK188" s="14"/>
      <c r="AL188" s="14"/>
      <c r="AM188" s="15" t="s">
        <v>1407</v>
      </c>
    </row>
    <row r="189" spans="1:39" x14ac:dyDescent="0.25">
      <c r="A189" s="2" t="s">
        <v>203</v>
      </c>
      <c r="B189" s="14" t="s">
        <v>967</v>
      </c>
      <c r="C189" s="14" t="s">
        <v>177</v>
      </c>
      <c r="D189" s="15" t="s">
        <v>968</v>
      </c>
      <c r="AJ189" s="2"/>
      <c r="AK189" s="14"/>
      <c r="AL189" s="14"/>
      <c r="AM189" s="15" t="s">
        <v>1408</v>
      </c>
    </row>
    <row r="190" spans="1:39" x14ac:dyDescent="0.25">
      <c r="A190" s="2" t="s">
        <v>204</v>
      </c>
      <c r="B190" s="14" t="s">
        <v>974</v>
      </c>
      <c r="C190" s="14" t="s">
        <v>177</v>
      </c>
      <c r="D190" s="15" t="s">
        <v>975</v>
      </c>
      <c r="AJ190" s="2"/>
      <c r="AK190" s="14"/>
      <c r="AL190" s="14"/>
      <c r="AM190" s="15" t="s">
        <v>1409</v>
      </c>
    </row>
    <row r="191" spans="1:39" x14ac:dyDescent="0.25">
      <c r="A191" s="2" t="s">
        <v>205</v>
      </c>
      <c r="B191" s="14" t="s">
        <v>980</v>
      </c>
      <c r="C191" s="14" t="s">
        <v>177</v>
      </c>
      <c r="D191" s="15" t="s">
        <v>981</v>
      </c>
      <c r="AJ191" s="2"/>
      <c r="AK191" s="14"/>
      <c r="AL191" s="14"/>
      <c r="AM191" s="15" t="s">
        <v>1410</v>
      </c>
    </row>
    <row r="192" spans="1:39" x14ac:dyDescent="0.25">
      <c r="A192" s="2" t="s">
        <v>1411</v>
      </c>
      <c r="B192" s="14" t="s">
        <v>1412</v>
      </c>
      <c r="C192" s="14" t="s">
        <v>844</v>
      </c>
      <c r="D192" s="15" t="s">
        <v>1413</v>
      </c>
      <c r="AJ192" s="2"/>
      <c r="AK192" s="14"/>
      <c r="AL192" s="14"/>
      <c r="AM192" s="15" t="s">
        <v>1414</v>
      </c>
    </row>
    <row r="193" spans="1:39" x14ac:dyDescent="0.25">
      <c r="A193" s="2" t="s">
        <v>1415</v>
      </c>
      <c r="B193" s="14" t="s">
        <v>1416</v>
      </c>
      <c r="C193" s="14"/>
      <c r="D193" s="15" t="s">
        <v>1356</v>
      </c>
      <c r="AJ193" s="2"/>
      <c r="AK193" s="14"/>
      <c r="AL193" s="14"/>
      <c r="AM193" s="15" t="s">
        <v>1417</v>
      </c>
    </row>
    <row r="194" spans="1:39" x14ac:dyDescent="0.25">
      <c r="A194" s="2" t="s">
        <v>1418</v>
      </c>
      <c r="B194" s="14" t="s">
        <v>1419</v>
      </c>
      <c r="C194" s="14"/>
      <c r="D194" s="15" t="s">
        <v>1356</v>
      </c>
      <c r="AJ194" s="2"/>
      <c r="AK194" s="14"/>
      <c r="AL194" s="14"/>
      <c r="AM194" s="15" t="s">
        <v>1420</v>
      </c>
    </row>
    <row r="195" spans="1:39" x14ac:dyDescent="0.25">
      <c r="A195" s="2" t="s">
        <v>1421</v>
      </c>
      <c r="B195" s="14" t="s">
        <v>1422</v>
      </c>
      <c r="C195" s="14"/>
      <c r="D195" s="15" t="s">
        <v>1356</v>
      </c>
      <c r="AJ195" s="2"/>
      <c r="AK195" s="14"/>
      <c r="AL195" s="14"/>
      <c r="AM195" s="15" t="s">
        <v>1423</v>
      </c>
    </row>
    <row r="196" spans="1:39" x14ac:dyDescent="0.25">
      <c r="A196" s="2" t="s">
        <v>1424</v>
      </c>
      <c r="B196" s="14" t="s">
        <v>1425</v>
      </c>
      <c r="C196" s="14"/>
      <c r="D196" s="15" t="s">
        <v>1356</v>
      </c>
      <c r="AJ196" s="2"/>
      <c r="AK196" s="14"/>
      <c r="AL196" s="14"/>
      <c r="AM196" s="15" t="s">
        <v>1426</v>
      </c>
    </row>
    <row r="197" spans="1:39" x14ac:dyDescent="0.25">
      <c r="A197" s="2" t="s">
        <v>203</v>
      </c>
      <c r="B197" s="14" t="s">
        <v>967</v>
      </c>
      <c r="C197" s="14" t="s">
        <v>177</v>
      </c>
      <c r="D197" s="15" t="s">
        <v>1427</v>
      </c>
      <c r="AJ197" s="2"/>
      <c r="AK197" s="14"/>
      <c r="AL197" s="14"/>
      <c r="AM197" s="15" t="s">
        <v>1428</v>
      </c>
    </row>
    <row r="198" spans="1:39" x14ac:dyDescent="0.25">
      <c r="A198" s="2" t="s">
        <v>204</v>
      </c>
      <c r="B198" s="14" t="s">
        <v>974</v>
      </c>
      <c r="C198" s="14" t="s">
        <v>177</v>
      </c>
      <c r="D198" s="15" t="s">
        <v>1429</v>
      </c>
      <c r="AJ198" s="2"/>
      <c r="AK198" s="14"/>
      <c r="AL198" s="14"/>
      <c r="AM198" s="15" t="s">
        <v>1430</v>
      </c>
    </row>
    <row r="199" spans="1:39" x14ac:dyDescent="0.25">
      <c r="A199" s="2" t="s">
        <v>205</v>
      </c>
      <c r="B199" s="14" t="s">
        <v>980</v>
      </c>
      <c r="C199" s="14" t="s">
        <v>177</v>
      </c>
      <c r="D199" s="15" t="s">
        <v>1431</v>
      </c>
      <c r="AJ199" s="2"/>
      <c r="AK199" s="14"/>
      <c r="AL199" s="14"/>
      <c r="AM199" s="15" t="s">
        <v>1432</v>
      </c>
    </row>
    <row r="200" spans="1:39" x14ac:dyDescent="0.25">
      <c r="A200" s="2" t="s">
        <v>1411</v>
      </c>
      <c r="B200" s="14" t="s">
        <v>1412</v>
      </c>
      <c r="C200" s="14" t="s">
        <v>820</v>
      </c>
      <c r="D200" s="15" t="s">
        <v>1433</v>
      </c>
      <c r="AJ200" s="2"/>
      <c r="AK200" s="14"/>
      <c r="AL200" s="14"/>
      <c r="AM200" s="15" t="s">
        <v>1434</v>
      </c>
    </row>
    <row r="201" spans="1:39" x14ac:dyDescent="0.25">
      <c r="A201" s="2" t="s">
        <v>220</v>
      </c>
      <c r="B201" s="14" t="s">
        <v>1159</v>
      </c>
      <c r="C201" s="14" t="s">
        <v>820</v>
      </c>
      <c r="D201" s="15" t="s">
        <v>1160</v>
      </c>
      <c r="AJ201" s="2"/>
      <c r="AK201" s="14"/>
      <c r="AL201" s="14"/>
      <c r="AM201" s="15" t="s">
        <v>1435</v>
      </c>
    </row>
    <row r="202" spans="1:39" x14ac:dyDescent="0.25">
      <c r="A202" s="2" t="s">
        <v>1436</v>
      </c>
      <c r="B202" s="14" t="s">
        <v>1436</v>
      </c>
      <c r="C202" s="14" t="s">
        <v>1437</v>
      </c>
      <c r="D202" s="15" t="s">
        <v>1438</v>
      </c>
      <c r="AJ202" s="2"/>
      <c r="AK202" s="14"/>
      <c r="AL202" s="14"/>
      <c r="AM202" s="15" t="s">
        <v>1439</v>
      </c>
    </row>
    <row r="203" spans="1:39" x14ac:dyDescent="0.25">
      <c r="A203" s="2" t="s">
        <v>221</v>
      </c>
      <c r="B203" s="14" t="s">
        <v>1166</v>
      </c>
      <c r="C203" s="14" t="s">
        <v>820</v>
      </c>
      <c r="D203" s="15" t="s">
        <v>1167</v>
      </c>
      <c r="AJ203" s="2"/>
      <c r="AK203" s="14"/>
      <c r="AL203" s="14"/>
      <c r="AM203" s="15" t="s">
        <v>1440</v>
      </c>
    </row>
    <row r="204" spans="1:39" x14ac:dyDescent="0.25">
      <c r="A204" s="2" t="s">
        <v>222</v>
      </c>
      <c r="B204" s="14" t="s">
        <v>768</v>
      </c>
      <c r="C204" s="14" t="s">
        <v>769</v>
      </c>
      <c r="D204" s="15" t="s">
        <v>1441</v>
      </c>
      <c r="AJ204" s="2"/>
      <c r="AK204" s="14"/>
      <c r="AL204" s="14"/>
      <c r="AM204" s="15" t="s">
        <v>1442</v>
      </c>
    </row>
    <row r="205" spans="1:39" x14ac:dyDescent="0.25">
      <c r="A205" s="2" t="s">
        <v>1443</v>
      </c>
      <c r="B205" s="14" t="s">
        <v>1444</v>
      </c>
      <c r="C205" s="14" t="s">
        <v>292</v>
      </c>
      <c r="D205" s="15" t="s">
        <v>1445</v>
      </c>
      <c r="AJ205" s="2"/>
      <c r="AK205" s="14"/>
      <c r="AL205" s="14"/>
      <c r="AM205" s="15" t="s">
        <v>1446</v>
      </c>
    </row>
    <row r="206" spans="1:39" x14ac:dyDescent="0.25">
      <c r="A206" s="2" t="s">
        <v>1447</v>
      </c>
      <c r="B206" s="14" t="s">
        <v>1444</v>
      </c>
      <c r="C206" s="14" t="s">
        <v>769</v>
      </c>
      <c r="D206" s="15" t="s">
        <v>1448</v>
      </c>
      <c r="AJ206" s="2"/>
      <c r="AK206" s="14"/>
      <c r="AL206" s="14"/>
      <c r="AM206" s="15" t="s">
        <v>1449</v>
      </c>
    </row>
    <row r="207" spans="1:39" x14ac:dyDescent="0.25">
      <c r="A207" s="2" t="s">
        <v>1450</v>
      </c>
      <c r="B207" s="14" t="s">
        <v>1451</v>
      </c>
      <c r="C207" s="14" t="s">
        <v>943</v>
      </c>
      <c r="D207" s="15" t="s">
        <v>1452</v>
      </c>
      <c r="AJ207" s="2"/>
      <c r="AK207" s="14"/>
      <c r="AL207" s="14"/>
      <c r="AM207" s="15" t="s">
        <v>1453</v>
      </c>
    </row>
    <row r="208" spans="1:39" x14ac:dyDescent="0.25">
      <c r="A208" s="2" t="s">
        <v>1454</v>
      </c>
      <c r="B208" s="14" t="s">
        <v>1455</v>
      </c>
      <c r="C208" s="14" t="s">
        <v>292</v>
      </c>
      <c r="D208" s="15" t="s">
        <v>1456</v>
      </c>
      <c r="AJ208" s="2"/>
      <c r="AK208" s="14"/>
      <c r="AL208" s="14"/>
      <c r="AM208" s="15" t="s">
        <v>1457</v>
      </c>
    </row>
    <row r="209" spans="1:39" x14ac:dyDescent="0.25">
      <c r="A209" s="2" t="s">
        <v>1458</v>
      </c>
      <c r="B209" s="14" t="s">
        <v>1459</v>
      </c>
      <c r="C209" s="14" t="s">
        <v>1460</v>
      </c>
      <c r="D209" s="15" t="s">
        <v>1461</v>
      </c>
      <c r="AJ209" s="2"/>
      <c r="AK209" s="14"/>
      <c r="AL209" s="14"/>
      <c r="AM209" s="15"/>
    </row>
    <row r="210" spans="1:39" x14ac:dyDescent="0.25">
      <c r="A210" s="2" t="s">
        <v>1462</v>
      </c>
      <c r="B210" s="14" t="s">
        <v>1462</v>
      </c>
      <c r="C210" s="14" t="s">
        <v>844</v>
      </c>
      <c r="D210" s="15" t="s">
        <v>1463</v>
      </c>
      <c r="AJ210" s="2" t="s">
        <v>1464</v>
      </c>
      <c r="AK210" s="14" t="s">
        <v>1381</v>
      </c>
      <c r="AL210" s="14" t="s">
        <v>292</v>
      </c>
      <c r="AM210" s="15" t="s">
        <v>1465</v>
      </c>
    </row>
    <row r="211" spans="1:39" x14ac:dyDescent="0.25">
      <c r="A211" s="2" t="s">
        <v>1466</v>
      </c>
      <c r="B211" s="14" t="s">
        <v>1466</v>
      </c>
      <c r="C211" s="14" t="s">
        <v>844</v>
      </c>
      <c r="D211" s="15" t="s">
        <v>1467</v>
      </c>
      <c r="AJ211" s="2"/>
      <c r="AK211" s="14"/>
      <c r="AL211" s="14"/>
      <c r="AM211" s="15" t="s">
        <v>1468</v>
      </c>
    </row>
    <row r="212" spans="1:39" x14ac:dyDescent="0.25">
      <c r="A212" s="2" t="s">
        <v>1469</v>
      </c>
      <c r="B212" s="14" t="s">
        <v>1469</v>
      </c>
      <c r="C212" s="14" t="s">
        <v>292</v>
      </c>
      <c r="D212" s="15" t="s">
        <v>1470</v>
      </c>
      <c r="AJ212" s="2"/>
      <c r="AK212" s="14"/>
      <c r="AL212" s="14"/>
      <c r="AM212" s="15" t="s">
        <v>1471</v>
      </c>
    </row>
    <row r="213" spans="1:39" x14ac:dyDescent="0.25">
      <c r="A213" s="2" t="s">
        <v>1472</v>
      </c>
      <c r="B213" s="14" t="s">
        <v>1472</v>
      </c>
      <c r="C213" s="14" t="s">
        <v>292</v>
      </c>
      <c r="D213" s="15" t="s">
        <v>1473</v>
      </c>
      <c r="AJ213" s="2"/>
      <c r="AK213" s="14"/>
      <c r="AL213" s="14"/>
      <c r="AM213" s="15" t="s">
        <v>1474</v>
      </c>
    </row>
    <row r="214" spans="1:39" x14ac:dyDescent="0.25">
      <c r="A214" s="2" t="s">
        <v>1475</v>
      </c>
      <c r="B214" s="14" t="s">
        <v>1475</v>
      </c>
      <c r="C214" s="14" t="s">
        <v>292</v>
      </c>
      <c r="D214" s="15" t="s">
        <v>1476</v>
      </c>
      <c r="AJ214" s="2"/>
      <c r="AK214" s="14"/>
      <c r="AL214" s="14"/>
      <c r="AM214" s="15" t="s">
        <v>1477</v>
      </c>
    </row>
    <row r="215" spans="1:39" x14ac:dyDescent="0.25">
      <c r="A215" s="2" t="s">
        <v>1478</v>
      </c>
      <c r="B215" s="14" t="s">
        <v>1478</v>
      </c>
      <c r="C215" s="14" t="s">
        <v>292</v>
      </c>
      <c r="D215" s="15" t="s">
        <v>1479</v>
      </c>
      <c r="AJ215" s="2"/>
      <c r="AK215" s="14"/>
      <c r="AL215" s="14"/>
      <c r="AM215" s="15" t="s">
        <v>1480</v>
      </c>
    </row>
    <row r="216" spans="1:39" x14ac:dyDescent="0.25">
      <c r="A216" s="2" t="s">
        <v>1481</v>
      </c>
      <c r="B216" s="14" t="s">
        <v>1482</v>
      </c>
      <c r="C216" s="14" t="s">
        <v>292</v>
      </c>
      <c r="D216" s="15" t="s">
        <v>1483</v>
      </c>
      <c r="AJ216" s="2"/>
      <c r="AK216" s="14"/>
      <c r="AL216" s="14"/>
      <c r="AM216" s="15" t="s">
        <v>1484</v>
      </c>
    </row>
    <row r="217" spans="1:39" x14ac:dyDescent="0.25">
      <c r="A217" s="2" t="s">
        <v>1485</v>
      </c>
      <c r="B217" s="14" t="s">
        <v>1486</v>
      </c>
      <c r="C217" s="14" t="s">
        <v>292</v>
      </c>
      <c r="D217" s="15" t="s">
        <v>1487</v>
      </c>
      <c r="AJ217" s="2"/>
      <c r="AK217" s="14"/>
      <c r="AL217" s="14"/>
      <c r="AM217" s="15" t="s">
        <v>1488</v>
      </c>
    </row>
    <row r="218" spans="1:39" x14ac:dyDescent="0.25">
      <c r="A218" s="2" t="s">
        <v>1489</v>
      </c>
      <c r="B218" s="14" t="s">
        <v>1490</v>
      </c>
      <c r="C218" s="14" t="s">
        <v>292</v>
      </c>
      <c r="D218" s="15" t="s">
        <v>1491</v>
      </c>
      <c r="AJ218" s="2"/>
      <c r="AK218" s="14"/>
      <c r="AL218" s="14"/>
      <c r="AM218" s="15" t="s">
        <v>1492</v>
      </c>
    </row>
    <row r="219" spans="1:39" x14ac:dyDescent="0.25">
      <c r="A219" s="2" t="s">
        <v>1493</v>
      </c>
      <c r="B219" s="14" t="s">
        <v>1494</v>
      </c>
      <c r="C219" s="14" t="s">
        <v>292</v>
      </c>
      <c r="D219" s="15" t="s">
        <v>1495</v>
      </c>
      <c r="AJ219" s="2"/>
      <c r="AK219" s="14"/>
      <c r="AL219" s="14"/>
      <c r="AM219" s="15" t="s">
        <v>1496</v>
      </c>
    </row>
    <row r="220" spans="1:39" x14ac:dyDescent="0.25">
      <c r="A220" s="2" t="s">
        <v>1497</v>
      </c>
      <c r="B220" s="14" t="s">
        <v>1498</v>
      </c>
      <c r="C220" s="14" t="s">
        <v>292</v>
      </c>
      <c r="D220" s="15" t="s">
        <v>1499</v>
      </c>
      <c r="AJ220" s="2"/>
      <c r="AK220" s="14"/>
      <c r="AL220" s="14"/>
      <c r="AM220" s="15" t="s">
        <v>1500</v>
      </c>
    </row>
    <row r="221" spans="1:39" x14ac:dyDescent="0.25">
      <c r="A221" s="2" t="s">
        <v>1501</v>
      </c>
      <c r="B221" s="14" t="s">
        <v>1502</v>
      </c>
      <c r="C221" s="14" t="s">
        <v>292</v>
      </c>
      <c r="D221" s="15" t="s">
        <v>1503</v>
      </c>
      <c r="AJ221" s="2"/>
      <c r="AK221" s="14"/>
      <c r="AL221" s="14"/>
      <c r="AM221" s="15" t="s">
        <v>1504</v>
      </c>
    </row>
    <row r="222" spans="1:39" x14ac:dyDescent="0.25">
      <c r="A222" s="2" t="s">
        <v>1505</v>
      </c>
      <c r="B222" s="14" t="s">
        <v>1506</v>
      </c>
      <c r="C222" s="14" t="s">
        <v>292</v>
      </c>
      <c r="D222" s="15" t="s">
        <v>1507</v>
      </c>
      <c r="AJ222" s="2"/>
      <c r="AK222" s="14"/>
      <c r="AL222" s="14"/>
      <c r="AM222" s="15" t="s">
        <v>1508</v>
      </c>
    </row>
    <row r="223" spans="1:39" x14ac:dyDescent="0.25">
      <c r="A223" s="2" t="s">
        <v>1509</v>
      </c>
      <c r="B223" s="14" t="s">
        <v>1510</v>
      </c>
      <c r="C223" s="14" t="s">
        <v>292</v>
      </c>
      <c r="D223" s="15" t="s">
        <v>1511</v>
      </c>
      <c r="AJ223" s="2"/>
      <c r="AK223" s="14"/>
      <c r="AL223" s="14"/>
      <c r="AM223" s="15" t="s">
        <v>1512</v>
      </c>
    </row>
    <row r="224" spans="1:39" x14ac:dyDescent="0.25">
      <c r="A224" s="2" t="s">
        <v>1513</v>
      </c>
      <c r="B224" s="14" t="s">
        <v>1514</v>
      </c>
      <c r="C224" s="14" t="s">
        <v>292</v>
      </c>
      <c r="D224" s="15" t="s">
        <v>1515</v>
      </c>
      <c r="AJ224" s="2"/>
      <c r="AK224" s="14"/>
      <c r="AL224" s="14"/>
      <c r="AM224" s="15" t="s">
        <v>1516</v>
      </c>
    </row>
    <row r="225" spans="1:39" x14ac:dyDescent="0.25">
      <c r="A225" s="2" t="s">
        <v>1517</v>
      </c>
      <c r="B225" s="14" t="s">
        <v>1518</v>
      </c>
      <c r="C225" s="14" t="s">
        <v>292</v>
      </c>
      <c r="D225" s="15" t="s">
        <v>1519</v>
      </c>
      <c r="AJ225" s="2"/>
      <c r="AK225" s="14"/>
      <c r="AL225" s="14"/>
      <c r="AM225" s="15" t="s">
        <v>1520</v>
      </c>
    </row>
    <row r="226" spans="1:39" x14ac:dyDescent="0.25">
      <c r="A226" s="2" t="s">
        <v>1521</v>
      </c>
      <c r="B226" s="14" t="s">
        <v>1522</v>
      </c>
      <c r="C226" s="14" t="s">
        <v>292</v>
      </c>
      <c r="D226" s="15" t="s">
        <v>1523</v>
      </c>
      <c r="AJ226" s="2"/>
      <c r="AK226" s="14"/>
      <c r="AL226" s="14"/>
      <c r="AM226" s="15" t="s">
        <v>1524</v>
      </c>
    </row>
    <row r="227" spans="1:39" x14ac:dyDescent="0.25">
      <c r="A227" s="2" t="s">
        <v>1525</v>
      </c>
      <c r="B227" s="14" t="s">
        <v>1526</v>
      </c>
      <c r="C227" s="14" t="s">
        <v>292</v>
      </c>
      <c r="D227" s="15" t="s">
        <v>1527</v>
      </c>
      <c r="AJ227" s="2"/>
      <c r="AK227" s="14"/>
      <c r="AL227" s="14"/>
      <c r="AM227" s="15" t="s">
        <v>1528</v>
      </c>
    </row>
    <row r="228" spans="1:39" x14ac:dyDescent="0.25">
      <c r="A228" s="2" t="s">
        <v>1213</v>
      </c>
      <c r="B228" s="14" t="s">
        <v>1213</v>
      </c>
      <c r="C228" s="14" t="s">
        <v>844</v>
      </c>
      <c r="D228" s="15" t="s">
        <v>1529</v>
      </c>
      <c r="AJ228" s="2"/>
      <c r="AK228" s="14"/>
      <c r="AL228" s="14"/>
      <c r="AM228" s="15" t="s">
        <v>1530</v>
      </c>
    </row>
    <row r="229" spans="1:39" x14ac:dyDescent="0.25">
      <c r="A229" s="2" t="s">
        <v>1531</v>
      </c>
      <c r="B229" s="14" t="s">
        <v>1532</v>
      </c>
      <c r="C229" s="14" t="s">
        <v>844</v>
      </c>
      <c r="D229" s="15" t="s">
        <v>1533</v>
      </c>
      <c r="AJ229" s="2"/>
      <c r="AK229" s="14"/>
      <c r="AL229" s="14"/>
      <c r="AM229" s="15" t="s">
        <v>1534</v>
      </c>
    </row>
    <row r="230" spans="1:39" x14ac:dyDescent="0.25">
      <c r="A230" s="2" t="s">
        <v>1535</v>
      </c>
      <c r="B230" s="14" t="s">
        <v>1535</v>
      </c>
      <c r="C230" s="14" t="s">
        <v>292</v>
      </c>
      <c r="D230" s="15" t="s">
        <v>1536</v>
      </c>
      <c r="AJ230" s="2"/>
      <c r="AK230" s="14"/>
      <c r="AL230" s="14"/>
      <c r="AM230" s="15" t="s">
        <v>1537</v>
      </c>
    </row>
    <row r="231" spans="1:39" x14ac:dyDescent="0.25">
      <c r="A231" s="2" t="s">
        <v>1538</v>
      </c>
      <c r="B231" s="14" t="s">
        <v>1539</v>
      </c>
      <c r="C231" s="14" t="s">
        <v>769</v>
      </c>
      <c r="D231" s="15" t="s">
        <v>1540</v>
      </c>
      <c r="AJ231" s="2"/>
      <c r="AK231" s="14"/>
      <c r="AL231" s="14"/>
      <c r="AM231" s="15" t="s">
        <v>1541</v>
      </c>
    </row>
    <row r="232" spans="1:39" x14ac:dyDescent="0.25">
      <c r="A232" s="2" t="s">
        <v>207</v>
      </c>
      <c r="B232" s="14" t="s">
        <v>995</v>
      </c>
      <c r="C232" s="14" t="s">
        <v>292</v>
      </c>
      <c r="D232" s="15" t="s">
        <v>996</v>
      </c>
      <c r="AJ232" s="2"/>
      <c r="AK232" s="14"/>
      <c r="AL232" s="14"/>
      <c r="AM232" s="15" t="s">
        <v>1542</v>
      </c>
    </row>
    <row r="233" spans="1:39" x14ac:dyDescent="0.25">
      <c r="A233" s="2" t="s">
        <v>225</v>
      </c>
      <c r="B233" s="14" t="s">
        <v>1197</v>
      </c>
      <c r="C233" s="14" t="s">
        <v>292</v>
      </c>
      <c r="D233" s="15" t="s">
        <v>1198</v>
      </c>
      <c r="AJ233" s="2"/>
      <c r="AK233" s="14"/>
      <c r="AL233" s="14"/>
      <c r="AM233" s="15" t="s">
        <v>1543</v>
      </c>
    </row>
    <row r="234" spans="1:39" x14ac:dyDescent="0.25">
      <c r="A234" s="2" t="s">
        <v>210</v>
      </c>
      <c r="B234" s="14" t="s">
        <v>1004</v>
      </c>
      <c r="C234" s="14" t="s">
        <v>292</v>
      </c>
      <c r="D234" s="15" t="s">
        <v>1544</v>
      </c>
      <c r="AJ234" s="2"/>
      <c r="AK234" s="14"/>
      <c r="AL234" s="14"/>
      <c r="AM234" s="15" t="s">
        <v>1545</v>
      </c>
    </row>
    <row r="235" spans="1:39" x14ac:dyDescent="0.25">
      <c r="A235" s="2" t="s">
        <v>1546</v>
      </c>
      <c r="B235" s="14" t="s">
        <v>1547</v>
      </c>
      <c r="C235" s="14" t="s">
        <v>292</v>
      </c>
      <c r="D235" s="15" t="s">
        <v>1548</v>
      </c>
      <c r="AJ235" s="2"/>
      <c r="AK235" s="14"/>
      <c r="AL235" s="14"/>
      <c r="AM235" s="15" t="s">
        <v>1549</v>
      </c>
    </row>
    <row r="236" spans="1:39" ht="15.75" thickBot="1" x14ac:dyDescent="0.3">
      <c r="A236" s="16" t="s">
        <v>212</v>
      </c>
      <c r="B236" s="17" t="s">
        <v>1012</v>
      </c>
      <c r="C236" s="17" t="s">
        <v>292</v>
      </c>
      <c r="D236" s="18" t="s">
        <v>1104</v>
      </c>
      <c r="AJ236" s="2"/>
      <c r="AK236" s="14"/>
      <c r="AL236" s="14"/>
      <c r="AM236" s="15" t="s">
        <v>1550</v>
      </c>
    </row>
    <row r="237" spans="1:39" x14ac:dyDescent="0.25">
      <c r="AJ237" s="2"/>
      <c r="AK237" s="14"/>
      <c r="AL237" s="14"/>
      <c r="AM237" s="15" t="s">
        <v>1551</v>
      </c>
    </row>
    <row r="238" spans="1:39" x14ac:dyDescent="0.25">
      <c r="AJ238" s="2"/>
      <c r="AK238" s="14"/>
      <c r="AL238" s="14"/>
      <c r="AM238" s="15" t="s">
        <v>1552</v>
      </c>
    </row>
    <row r="239" spans="1:39" x14ac:dyDescent="0.25">
      <c r="AJ239" s="2"/>
      <c r="AK239" s="14"/>
      <c r="AL239" s="14"/>
      <c r="AM239" s="15" t="s">
        <v>1553</v>
      </c>
    </row>
    <row r="240" spans="1:39" x14ac:dyDescent="0.25">
      <c r="AJ240" s="2"/>
      <c r="AK240" s="14"/>
      <c r="AL240" s="14"/>
      <c r="AM240" s="15" t="s">
        <v>1554</v>
      </c>
    </row>
    <row r="241" spans="36:39" x14ac:dyDescent="0.25">
      <c r="AJ241" s="2"/>
      <c r="AK241" s="14"/>
      <c r="AL241" s="14"/>
      <c r="AM241" s="15" t="s">
        <v>1555</v>
      </c>
    </row>
    <row r="242" spans="36:39" x14ac:dyDescent="0.25">
      <c r="AJ242" s="2"/>
      <c r="AK242" s="14"/>
      <c r="AL242" s="14"/>
      <c r="AM242" s="15" t="s">
        <v>1556</v>
      </c>
    </row>
    <row r="243" spans="36:39" x14ac:dyDescent="0.25">
      <c r="AJ243" s="2"/>
      <c r="AK243" s="14"/>
      <c r="AL243" s="14"/>
      <c r="AM243" s="15" t="s">
        <v>1557</v>
      </c>
    </row>
    <row r="244" spans="36:39" x14ac:dyDescent="0.25">
      <c r="AJ244" s="2"/>
      <c r="AK244" s="14"/>
      <c r="AL244" s="14"/>
      <c r="AM244" s="15" t="s">
        <v>1558</v>
      </c>
    </row>
    <row r="245" spans="36:39" x14ac:dyDescent="0.25">
      <c r="AJ245" s="2"/>
      <c r="AK245" s="14"/>
      <c r="AL245" s="14"/>
      <c r="AM245" s="15" t="s">
        <v>1559</v>
      </c>
    </row>
    <row r="246" spans="36:39" x14ac:dyDescent="0.25">
      <c r="AJ246" s="2"/>
      <c r="AK246" s="14"/>
      <c r="AL246" s="14"/>
      <c r="AM246" s="15"/>
    </row>
    <row r="247" spans="36:39" x14ac:dyDescent="0.25">
      <c r="AJ247" s="2" t="s">
        <v>1560</v>
      </c>
      <c r="AK247" s="14" t="s">
        <v>1381</v>
      </c>
      <c r="AL247" s="14" t="s">
        <v>292</v>
      </c>
      <c r="AM247" s="15" t="s">
        <v>1561</v>
      </c>
    </row>
    <row r="248" spans="36:39" x14ac:dyDescent="0.25">
      <c r="AJ248" s="2"/>
      <c r="AK248" s="14"/>
      <c r="AL248" s="14"/>
      <c r="AM248" s="15" t="s">
        <v>1562</v>
      </c>
    </row>
    <row r="249" spans="36:39" x14ac:dyDescent="0.25">
      <c r="AJ249" s="2"/>
      <c r="AK249" s="14"/>
      <c r="AL249" s="14"/>
      <c r="AM249" s="15" t="s">
        <v>1563</v>
      </c>
    </row>
    <row r="250" spans="36:39" x14ac:dyDescent="0.25">
      <c r="AJ250" s="2"/>
      <c r="AK250" s="14"/>
      <c r="AL250" s="14"/>
      <c r="AM250" s="15" t="s">
        <v>1564</v>
      </c>
    </row>
    <row r="251" spans="36:39" x14ac:dyDescent="0.25">
      <c r="AJ251" s="2"/>
      <c r="AK251" s="14"/>
      <c r="AL251" s="14"/>
      <c r="AM251" s="15" t="s">
        <v>1565</v>
      </c>
    </row>
    <row r="252" spans="36:39" x14ac:dyDescent="0.25">
      <c r="AJ252" s="2"/>
      <c r="AK252" s="14"/>
      <c r="AL252" s="14"/>
      <c r="AM252" s="15" t="s">
        <v>1566</v>
      </c>
    </row>
    <row r="253" spans="36:39" x14ac:dyDescent="0.25">
      <c r="AJ253" s="2"/>
      <c r="AK253" s="14"/>
      <c r="AL253" s="14"/>
      <c r="AM253" s="15" t="s">
        <v>1567</v>
      </c>
    </row>
    <row r="254" spans="36:39" x14ac:dyDescent="0.25">
      <c r="AJ254" s="2"/>
      <c r="AK254" s="14"/>
      <c r="AL254" s="14"/>
      <c r="AM254" s="15" t="s">
        <v>1568</v>
      </c>
    </row>
    <row r="255" spans="36:39" x14ac:dyDescent="0.25">
      <c r="AJ255" s="2"/>
      <c r="AK255" s="14"/>
      <c r="AL255" s="14"/>
      <c r="AM255" s="15" t="s">
        <v>1569</v>
      </c>
    </row>
    <row r="256" spans="36:39" x14ac:dyDescent="0.25">
      <c r="AJ256" s="2"/>
      <c r="AK256" s="14"/>
      <c r="AL256" s="14"/>
      <c r="AM256" s="15" t="s">
        <v>1570</v>
      </c>
    </row>
    <row r="257" spans="36:39" x14ac:dyDescent="0.25">
      <c r="AJ257" s="2"/>
      <c r="AK257" s="14"/>
      <c r="AL257" s="14"/>
      <c r="AM257" s="15" t="s">
        <v>1571</v>
      </c>
    </row>
    <row r="258" spans="36:39" x14ac:dyDescent="0.25">
      <c r="AJ258" s="2"/>
      <c r="AK258" s="14"/>
      <c r="AL258" s="14"/>
      <c r="AM258" s="15" t="s">
        <v>1572</v>
      </c>
    </row>
    <row r="259" spans="36:39" x14ac:dyDescent="0.25">
      <c r="AJ259" s="2"/>
      <c r="AK259" s="14"/>
      <c r="AL259" s="14"/>
      <c r="AM259" s="15" t="s">
        <v>1573</v>
      </c>
    </row>
    <row r="260" spans="36:39" x14ac:dyDescent="0.25">
      <c r="AJ260" s="2"/>
      <c r="AK260" s="14"/>
      <c r="AL260" s="14"/>
      <c r="AM260" s="15" t="s">
        <v>1574</v>
      </c>
    </row>
    <row r="261" spans="36:39" x14ac:dyDescent="0.25">
      <c r="AJ261" s="2"/>
      <c r="AK261" s="14"/>
      <c r="AL261" s="14"/>
      <c r="AM261" s="15" t="s">
        <v>1575</v>
      </c>
    </row>
    <row r="262" spans="36:39" x14ac:dyDescent="0.25">
      <c r="AJ262" s="2"/>
      <c r="AK262" s="14"/>
      <c r="AL262" s="14"/>
      <c r="AM262" s="15" t="s">
        <v>1576</v>
      </c>
    </row>
    <row r="263" spans="36:39" x14ac:dyDescent="0.25">
      <c r="AJ263" s="2"/>
      <c r="AK263" s="14"/>
      <c r="AL263" s="14"/>
      <c r="AM263" s="15" t="s">
        <v>1577</v>
      </c>
    </row>
    <row r="264" spans="36:39" x14ac:dyDescent="0.25">
      <c r="AJ264" s="2"/>
      <c r="AK264" s="14"/>
      <c r="AL264" s="14"/>
      <c r="AM264" s="15" t="s">
        <v>1578</v>
      </c>
    </row>
    <row r="265" spans="36:39" x14ac:dyDescent="0.25">
      <c r="AJ265" s="2"/>
      <c r="AK265" s="14"/>
      <c r="AL265" s="14"/>
      <c r="AM265" s="15" t="s">
        <v>1579</v>
      </c>
    </row>
    <row r="266" spans="36:39" x14ac:dyDescent="0.25">
      <c r="AJ266" s="2"/>
      <c r="AK266" s="14"/>
      <c r="AL266" s="14"/>
      <c r="AM266" s="15" t="s">
        <v>1580</v>
      </c>
    </row>
    <row r="267" spans="36:39" x14ac:dyDescent="0.25">
      <c r="AJ267" s="2"/>
      <c r="AK267" s="14"/>
      <c r="AL267" s="14"/>
      <c r="AM267" s="15" t="s">
        <v>1581</v>
      </c>
    </row>
    <row r="268" spans="36:39" x14ac:dyDescent="0.25">
      <c r="AJ268" s="2"/>
      <c r="AK268" s="14"/>
      <c r="AL268" s="14"/>
      <c r="AM268" s="15" t="s">
        <v>1582</v>
      </c>
    </row>
    <row r="269" spans="36:39" x14ac:dyDescent="0.25">
      <c r="AJ269" s="2"/>
      <c r="AK269" s="14"/>
      <c r="AL269" s="14"/>
      <c r="AM269" s="15" t="s">
        <v>1583</v>
      </c>
    </row>
    <row r="270" spans="36:39" x14ac:dyDescent="0.25">
      <c r="AJ270" s="2"/>
      <c r="AK270" s="14"/>
      <c r="AL270" s="14"/>
      <c r="AM270" s="15" t="s">
        <v>1584</v>
      </c>
    </row>
    <row r="271" spans="36:39" x14ac:dyDescent="0.25">
      <c r="AJ271" s="2"/>
      <c r="AK271" s="14"/>
      <c r="AL271" s="14"/>
      <c r="AM271" s="15" t="s">
        <v>1585</v>
      </c>
    </row>
    <row r="272" spans="36:39" x14ac:dyDescent="0.25">
      <c r="AJ272" s="2"/>
      <c r="AK272" s="14"/>
      <c r="AL272" s="14"/>
      <c r="AM272" s="15" t="s">
        <v>1586</v>
      </c>
    </row>
    <row r="273" spans="36:39" x14ac:dyDescent="0.25">
      <c r="AJ273" s="2"/>
      <c r="AK273" s="14"/>
      <c r="AL273" s="14"/>
      <c r="AM273" s="15" t="s">
        <v>1587</v>
      </c>
    </row>
    <row r="274" spans="36:39" x14ac:dyDescent="0.25">
      <c r="AJ274" s="2"/>
      <c r="AK274" s="14"/>
      <c r="AL274" s="14"/>
      <c r="AM274" s="15" t="s">
        <v>1588</v>
      </c>
    </row>
    <row r="275" spans="36:39" x14ac:dyDescent="0.25">
      <c r="AJ275" s="2"/>
      <c r="AK275" s="14"/>
      <c r="AL275" s="14"/>
      <c r="AM275" s="15" t="s">
        <v>1589</v>
      </c>
    </row>
    <row r="276" spans="36:39" x14ac:dyDescent="0.25">
      <c r="AJ276" s="2"/>
      <c r="AK276" s="14"/>
      <c r="AL276" s="14"/>
      <c r="AM276" s="15" t="s">
        <v>1590</v>
      </c>
    </row>
    <row r="277" spans="36:39" x14ac:dyDescent="0.25">
      <c r="AJ277" s="2"/>
      <c r="AK277" s="14"/>
      <c r="AL277" s="14"/>
      <c r="AM277" s="15" t="s">
        <v>1591</v>
      </c>
    </row>
    <row r="278" spans="36:39" x14ac:dyDescent="0.25">
      <c r="AJ278" s="2"/>
      <c r="AK278" s="14"/>
      <c r="AL278" s="14"/>
      <c r="AM278" s="15" t="s">
        <v>1592</v>
      </c>
    </row>
    <row r="279" spans="36:39" x14ac:dyDescent="0.25">
      <c r="AJ279" s="2"/>
      <c r="AK279" s="14"/>
      <c r="AL279" s="14"/>
      <c r="AM279" s="15" t="s">
        <v>1593</v>
      </c>
    </row>
    <row r="280" spans="36:39" x14ac:dyDescent="0.25">
      <c r="AJ280" s="2"/>
      <c r="AK280" s="14"/>
      <c r="AL280" s="14"/>
      <c r="AM280" s="15" t="s">
        <v>1594</v>
      </c>
    </row>
    <row r="281" spans="36:39" x14ac:dyDescent="0.25">
      <c r="AJ281" s="2"/>
      <c r="AK281" s="14"/>
      <c r="AL281" s="14"/>
      <c r="AM281" s="15" t="s">
        <v>1595</v>
      </c>
    </row>
    <row r="282" spans="36:39" x14ac:dyDescent="0.25">
      <c r="AJ282" s="2"/>
      <c r="AK282" s="14"/>
      <c r="AL282" s="14"/>
      <c r="AM282" s="15" t="s">
        <v>1596</v>
      </c>
    </row>
    <row r="283" spans="36:39" x14ac:dyDescent="0.25">
      <c r="AJ283" s="2"/>
      <c r="AK283" s="14"/>
      <c r="AL283" s="14"/>
      <c r="AM283" s="15"/>
    </row>
    <row r="284" spans="36:39" x14ac:dyDescent="0.25">
      <c r="AJ284" s="2" t="s">
        <v>1597</v>
      </c>
      <c r="AK284" s="14" t="s">
        <v>1597</v>
      </c>
      <c r="AL284" s="14" t="s">
        <v>292</v>
      </c>
      <c r="AM284" s="15" t="s">
        <v>1598</v>
      </c>
    </row>
    <row r="285" spans="36:39" x14ac:dyDescent="0.25">
      <c r="AJ285" s="2"/>
      <c r="AK285" s="14"/>
      <c r="AL285" s="14"/>
      <c r="AM285" s="15" t="s">
        <v>1599</v>
      </c>
    </row>
    <row r="286" spans="36:39" x14ac:dyDescent="0.25">
      <c r="AJ286" s="2"/>
      <c r="AK286" s="14"/>
      <c r="AL286" s="14"/>
      <c r="AM286" s="15" t="s">
        <v>1600</v>
      </c>
    </row>
    <row r="287" spans="36:39" x14ac:dyDescent="0.25">
      <c r="AJ287" s="2"/>
      <c r="AK287" s="14"/>
      <c r="AL287" s="14"/>
      <c r="AM287" s="15" t="s">
        <v>1601</v>
      </c>
    </row>
    <row r="288" spans="36:39" x14ac:dyDescent="0.25">
      <c r="AJ288" s="2"/>
      <c r="AK288" s="14"/>
      <c r="AL288" s="14"/>
      <c r="AM288" s="15" t="s">
        <v>1602</v>
      </c>
    </row>
    <row r="289" spans="36:39" x14ac:dyDescent="0.25">
      <c r="AJ289" s="2"/>
      <c r="AK289" s="14"/>
      <c r="AL289" s="14"/>
      <c r="AM289" s="15" t="s">
        <v>1603</v>
      </c>
    </row>
    <row r="290" spans="36:39" ht="15" customHeight="1" x14ac:dyDescent="0.25">
      <c r="AJ290" s="2"/>
      <c r="AK290" s="14"/>
      <c r="AL290" s="14"/>
      <c r="AM290" s="15"/>
    </row>
    <row r="291" spans="36:39" x14ac:dyDescent="0.25">
      <c r="AJ291" s="2" t="s">
        <v>1604</v>
      </c>
      <c r="AK291" s="14" t="s">
        <v>1292</v>
      </c>
      <c r="AL291" s="14" t="s">
        <v>292</v>
      </c>
      <c r="AM291" s="15" t="b">
        <v>1</v>
      </c>
    </row>
    <row r="292" spans="36:39" x14ac:dyDescent="0.25">
      <c r="AJ292" s="2"/>
      <c r="AK292" s="14"/>
      <c r="AL292" s="14"/>
      <c r="AM292" s="15" t="s">
        <v>1605</v>
      </c>
    </row>
    <row r="293" spans="36:39" x14ac:dyDescent="0.25">
      <c r="AJ293" s="2"/>
      <c r="AK293" s="14"/>
      <c r="AL293" s="14"/>
      <c r="AM293" s="15" t="b">
        <v>0</v>
      </c>
    </row>
    <row r="294" spans="36:39" x14ac:dyDescent="0.25">
      <c r="AJ294" s="2"/>
      <c r="AK294" s="14"/>
      <c r="AL294" s="14"/>
      <c r="AM294" s="15" t="s">
        <v>1606</v>
      </c>
    </row>
    <row r="295" spans="36:39" x14ac:dyDescent="0.25">
      <c r="AJ295" s="2"/>
      <c r="AK295" s="14"/>
      <c r="AL295" s="14"/>
      <c r="AM295" s="15"/>
    </row>
    <row r="296" spans="36:39" x14ac:dyDescent="0.25">
      <c r="AJ296" s="2" t="s">
        <v>1607</v>
      </c>
      <c r="AK296" s="14" t="s">
        <v>1607</v>
      </c>
      <c r="AL296" s="14" t="s">
        <v>292</v>
      </c>
      <c r="AM296" s="15" t="s">
        <v>1608</v>
      </c>
    </row>
    <row r="297" spans="36:39" x14ac:dyDescent="0.25">
      <c r="AJ297" s="2" t="s">
        <v>1609</v>
      </c>
      <c r="AK297" s="14" t="s">
        <v>1609</v>
      </c>
      <c r="AL297" s="14" t="s">
        <v>292</v>
      </c>
      <c r="AM297" s="15" t="s">
        <v>1610</v>
      </c>
    </row>
    <row r="298" spans="36:39" ht="15" customHeight="1" x14ac:dyDescent="0.25">
      <c r="AJ298" s="2" t="s">
        <v>1611</v>
      </c>
      <c r="AK298" s="14" t="s">
        <v>1611</v>
      </c>
      <c r="AL298" s="14" t="s">
        <v>292</v>
      </c>
      <c r="AM298" s="15" t="s">
        <v>1612</v>
      </c>
    </row>
    <row r="299" spans="36:39" x14ac:dyDescent="0.25">
      <c r="AJ299" s="2" t="s">
        <v>1613</v>
      </c>
      <c r="AK299" s="14" t="s">
        <v>1614</v>
      </c>
      <c r="AL299" s="14" t="s">
        <v>292</v>
      </c>
      <c r="AM299" s="15" t="b">
        <v>1</v>
      </c>
    </row>
    <row r="300" spans="36:39" x14ac:dyDescent="0.25">
      <c r="AJ300" s="2"/>
      <c r="AK300" s="14"/>
      <c r="AL300" s="14"/>
      <c r="AM300" s="15" t="s">
        <v>1615</v>
      </c>
    </row>
    <row r="301" spans="36:39" x14ac:dyDescent="0.25">
      <c r="AJ301" s="2"/>
      <c r="AK301" s="14"/>
      <c r="AL301" s="14"/>
      <c r="AM301" s="15" t="b">
        <v>0</v>
      </c>
    </row>
    <row r="302" spans="36:39" x14ac:dyDescent="0.25">
      <c r="AJ302" s="2"/>
      <c r="AK302" s="14"/>
      <c r="AL302" s="14"/>
      <c r="AM302" s="15" t="s">
        <v>1616</v>
      </c>
    </row>
    <row r="303" spans="36:39" x14ac:dyDescent="0.25">
      <c r="AJ303" s="2"/>
      <c r="AK303" s="14"/>
      <c r="AL303" s="14"/>
      <c r="AM303" s="15"/>
    </row>
    <row r="304" spans="36:39" x14ac:dyDescent="0.25">
      <c r="AJ304" s="2" t="s">
        <v>1617</v>
      </c>
      <c r="AK304" s="14" t="s">
        <v>1617</v>
      </c>
      <c r="AL304" s="14" t="s">
        <v>620</v>
      </c>
      <c r="AM304" s="15" t="s">
        <v>1618</v>
      </c>
    </row>
    <row r="305" spans="36:39" x14ac:dyDescent="0.25">
      <c r="AJ305" s="2" t="s">
        <v>1619</v>
      </c>
      <c r="AK305" s="14" t="s">
        <v>1620</v>
      </c>
      <c r="AL305" s="14" t="s">
        <v>620</v>
      </c>
      <c r="AM305" s="15" t="s">
        <v>1621</v>
      </c>
    </row>
    <row r="306" spans="36:39" x14ac:dyDescent="0.25">
      <c r="AJ306" s="2" t="s">
        <v>1622</v>
      </c>
      <c r="AK306" s="14" t="s">
        <v>1622</v>
      </c>
      <c r="AL306" s="14" t="s">
        <v>1068</v>
      </c>
      <c r="AM306" s="15" t="s">
        <v>1623</v>
      </c>
    </row>
    <row r="307" spans="36:39" x14ac:dyDescent="0.25">
      <c r="AJ307" s="2" t="s">
        <v>1624</v>
      </c>
      <c r="AK307" s="14" t="s">
        <v>1624</v>
      </c>
      <c r="AL307" s="14" t="s">
        <v>1068</v>
      </c>
      <c r="AM307" s="15" t="s">
        <v>1625</v>
      </c>
    </row>
    <row r="308" spans="36:39" x14ac:dyDescent="0.25">
      <c r="AJ308" s="2" t="s">
        <v>1626</v>
      </c>
      <c r="AK308" s="14" t="s">
        <v>1626</v>
      </c>
      <c r="AL308" s="14" t="s">
        <v>1045</v>
      </c>
      <c r="AM308" s="15" t="s">
        <v>1627</v>
      </c>
    </row>
    <row r="309" spans="36:39" ht="15" customHeight="1" x14ac:dyDescent="0.25">
      <c r="AJ309" s="2" t="s">
        <v>1628</v>
      </c>
      <c r="AK309" s="14" t="s">
        <v>1629</v>
      </c>
      <c r="AL309" s="14" t="s">
        <v>1630</v>
      </c>
      <c r="AM309" s="15" t="s">
        <v>1631</v>
      </c>
    </row>
    <row r="310" spans="36:39" x14ac:dyDescent="0.25">
      <c r="AJ310" s="2" t="s">
        <v>1632</v>
      </c>
      <c r="AK310" s="14" t="s">
        <v>1633</v>
      </c>
      <c r="AL310" s="14" t="s">
        <v>292</v>
      </c>
      <c r="AM310" s="15" t="b">
        <v>1</v>
      </c>
    </row>
    <row r="311" spans="36:39" x14ac:dyDescent="0.25">
      <c r="AJ311" s="2"/>
      <c r="AK311" s="14"/>
      <c r="AL311" s="14"/>
      <c r="AM311" s="15" t="s">
        <v>1634</v>
      </c>
    </row>
    <row r="312" spans="36:39" x14ac:dyDescent="0.25">
      <c r="AJ312" s="2"/>
      <c r="AK312" s="14"/>
      <c r="AL312" s="14"/>
      <c r="AM312" s="15" t="b">
        <v>0</v>
      </c>
    </row>
    <row r="313" spans="36:39" x14ac:dyDescent="0.25">
      <c r="AJ313" s="2"/>
      <c r="AK313" s="14"/>
      <c r="AL313" s="14"/>
      <c r="AM313" s="15" t="s">
        <v>1635</v>
      </c>
    </row>
    <row r="314" spans="36:39" x14ac:dyDescent="0.25">
      <c r="AJ314" s="2"/>
      <c r="AK314" s="14"/>
      <c r="AL314" s="14"/>
      <c r="AM314" s="15"/>
    </row>
    <row r="315" spans="36:39" x14ac:dyDescent="0.25">
      <c r="AJ315" s="2" t="s">
        <v>1636</v>
      </c>
      <c r="AK315" s="14" t="s">
        <v>1636</v>
      </c>
      <c r="AL315" s="14" t="s">
        <v>620</v>
      </c>
      <c r="AM315" s="15" t="s">
        <v>1637</v>
      </c>
    </row>
    <row r="316" spans="36:39" x14ac:dyDescent="0.25">
      <c r="AJ316" s="2" t="s">
        <v>1638</v>
      </c>
      <c r="AK316" s="14" t="s">
        <v>1639</v>
      </c>
      <c r="AL316" s="14" t="s">
        <v>620</v>
      </c>
      <c r="AM316" s="15" t="s">
        <v>1640</v>
      </c>
    </row>
    <row r="317" spans="36:39" x14ac:dyDescent="0.25">
      <c r="AJ317" s="2" t="s">
        <v>1641</v>
      </c>
      <c r="AK317" s="14" t="s">
        <v>1642</v>
      </c>
      <c r="AL317" s="14" t="s">
        <v>620</v>
      </c>
      <c r="AM317" s="15" t="s">
        <v>1643</v>
      </c>
    </row>
    <row r="318" spans="36:39" x14ac:dyDescent="0.25">
      <c r="AJ318" s="2" t="s">
        <v>1644</v>
      </c>
      <c r="AK318" s="14" t="s">
        <v>1645</v>
      </c>
      <c r="AL318" s="14" t="s">
        <v>620</v>
      </c>
      <c r="AM318" s="15" t="s">
        <v>1646</v>
      </c>
    </row>
    <row r="319" spans="36:39" x14ac:dyDescent="0.25">
      <c r="AJ319" s="2" t="s">
        <v>1647</v>
      </c>
      <c r="AK319" s="14" t="s">
        <v>1647</v>
      </c>
      <c r="AL319" s="14" t="s">
        <v>292</v>
      </c>
      <c r="AM319" s="15" t="s">
        <v>605</v>
      </c>
    </row>
    <row r="320" spans="36:39" x14ac:dyDescent="0.25">
      <c r="AJ320" s="2" t="s">
        <v>1648</v>
      </c>
      <c r="AK320" s="14" t="s">
        <v>1649</v>
      </c>
      <c r="AL320" s="14" t="s">
        <v>292</v>
      </c>
      <c r="AM320" s="15" t="s">
        <v>1650</v>
      </c>
    </row>
    <row r="321" spans="36:39" x14ac:dyDescent="0.25">
      <c r="AJ321" s="2" t="s">
        <v>1651</v>
      </c>
      <c r="AK321" s="14" t="s">
        <v>1652</v>
      </c>
      <c r="AL321" s="14" t="s">
        <v>620</v>
      </c>
      <c r="AM321" s="15" t="s">
        <v>1653</v>
      </c>
    </row>
    <row r="322" spans="36:39" x14ac:dyDescent="0.25">
      <c r="AJ322" s="2" t="s">
        <v>1654</v>
      </c>
      <c r="AK322" s="14" t="s">
        <v>1654</v>
      </c>
      <c r="AL322" s="14" t="s">
        <v>292</v>
      </c>
      <c r="AM322" s="15" t="s">
        <v>1655</v>
      </c>
    </row>
    <row r="323" spans="36:39" x14ac:dyDescent="0.25">
      <c r="AJ323" s="2" t="s">
        <v>549</v>
      </c>
      <c r="AK323" s="14" t="s">
        <v>549</v>
      </c>
      <c r="AL323" s="14" t="s">
        <v>292</v>
      </c>
      <c r="AM323" s="15" t="s">
        <v>1656</v>
      </c>
    </row>
    <row r="324" spans="36:39" x14ac:dyDescent="0.25">
      <c r="AJ324" s="2" t="s">
        <v>1657</v>
      </c>
      <c r="AK324" s="14" t="s">
        <v>1657</v>
      </c>
      <c r="AL324" s="14" t="s">
        <v>292</v>
      </c>
      <c r="AM324" s="15" t="s">
        <v>1658</v>
      </c>
    </row>
    <row r="325" spans="36:39" x14ac:dyDescent="0.25">
      <c r="AJ325" s="2" t="s">
        <v>1659</v>
      </c>
      <c r="AK325" s="14" t="s">
        <v>1659</v>
      </c>
      <c r="AL325" s="14" t="s">
        <v>292</v>
      </c>
      <c r="AM325" s="15" t="s">
        <v>1660</v>
      </c>
    </row>
    <row r="326" spans="36:39" x14ac:dyDescent="0.25">
      <c r="AJ326" s="2" t="s">
        <v>1661</v>
      </c>
      <c r="AK326" s="14" t="s">
        <v>1661</v>
      </c>
      <c r="AL326" s="14" t="s">
        <v>292</v>
      </c>
      <c r="AM326" s="15" t="s">
        <v>1662</v>
      </c>
    </row>
    <row r="327" spans="36:39" x14ac:dyDescent="0.25">
      <c r="AJ327" s="2" t="s">
        <v>1663</v>
      </c>
      <c r="AK327" s="14" t="s">
        <v>1663</v>
      </c>
      <c r="AL327" s="14" t="s">
        <v>292</v>
      </c>
      <c r="AM327" s="15" t="s">
        <v>1664</v>
      </c>
    </row>
    <row r="328" spans="36:39" x14ac:dyDescent="0.25">
      <c r="AJ328" s="2" t="s">
        <v>1665</v>
      </c>
      <c r="AK328" s="14" t="s">
        <v>1665</v>
      </c>
      <c r="AL328" s="14" t="s">
        <v>292</v>
      </c>
      <c r="AM328" s="15" t="s">
        <v>1666</v>
      </c>
    </row>
    <row r="329" spans="36:39" x14ac:dyDescent="0.25">
      <c r="AJ329" s="2" t="s">
        <v>1667</v>
      </c>
      <c r="AK329" s="14" t="s">
        <v>1667</v>
      </c>
      <c r="AL329" s="14" t="s">
        <v>292</v>
      </c>
      <c r="AM329" s="15" t="s">
        <v>379</v>
      </c>
    </row>
    <row r="330" spans="36:39" x14ac:dyDescent="0.25">
      <c r="AJ330" s="2"/>
      <c r="AK330" s="14"/>
      <c r="AL330" s="14"/>
      <c r="AM330" s="15" t="s">
        <v>1668</v>
      </c>
    </row>
    <row r="331" spans="36:39" x14ac:dyDescent="0.25">
      <c r="AJ331" s="2"/>
      <c r="AK331" s="14"/>
      <c r="AL331" s="14"/>
      <c r="AM331" s="15" t="s">
        <v>1669</v>
      </c>
    </row>
    <row r="332" spans="36:39" x14ac:dyDescent="0.25">
      <c r="AJ332" s="2"/>
      <c r="AK332" s="14"/>
      <c r="AL332" s="14"/>
      <c r="AM332" s="15" t="s">
        <v>1670</v>
      </c>
    </row>
    <row r="333" spans="36:39" x14ac:dyDescent="0.25">
      <c r="AJ333" s="2"/>
      <c r="AK333" s="14"/>
      <c r="AL333" s="14"/>
      <c r="AM333" s="15"/>
    </row>
    <row r="334" spans="36:39" x14ac:dyDescent="0.25">
      <c r="AJ334" s="2" t="s">
        <v>1671</v>
      </c>
      <c r="AK334" s="14" t="s">
        <v>1671</v>
      </c>
      <c r="AL334" s="14" t="s">
        <v>620</v>
      </c>
      <c r="AM334" s="15" t="s">
        <v>1672</v>
      </c>
    </row>
    <row r="335" spans="36:39" x14ac:dyDescent="0.25">
      <c r="AJ335" s="2" t="s">
        <v>1673</v>
      </c>
      <c r="AK335" s="14" t="s">
        <v>1674</v>
      </c>
      <c r="AL335" s="14" t="s">
        <v>292</v>
      </c>
      <c r="AM335" s="15" t="s">
        <v>1675</v>
      </c>
    </row>
    <row r="336" spans="36:39" x14ac:dyDescent="0.25">
      <c r="AJ336" s="2" t="s">
        <v>1676</v>
      </c>
      <c r="AK336" s="14" t="s">
        <v>1677</v>
      </c>
      <c r="AL336" s="14" t="s">
        <v>292</v>
      </c>
      <c r="AM336" s="15" t="s">
        <v>1678</v>
      </c>
    </row>
    <row r="337" spans="36:39" x14ac:dyDescent="0.25">
      <c r="AJ337" s="2" t="s">
        <v>1679</v>
      </c>
      <c r="AK337" s="14" t="s">
        <v>1680</v>
      </c>
      <c r="AL337" s="14" t="s">
        <v>292</v>
      </c>
      <c r="AM337" s="15" t="s">
        <v>1681</v>
      </c>
    </row>
    <row r="338" spans="36:39" x14ac:dyDescent="0.25">
      <c r="AJ338" s="2" t="s">
        <v>1682</v>
      </c>
      <c r="AK338" s="14" t="s">
        <v>1683</v>
      </c>
      <c r="AL338" s="14" t="s">
        <v>292</v>
      </c>
      <c r="AM338" s="15" t="s">
        <v>1684</v>
      </c>
    </row>
    <row r="339" spans="36:39" x14ac:dyDescent="0.25">
      <c r="AJ339" s="2" t="s">
        <v>1685</v>
      </c>
      <c r="AK339" s="14" t="s">
        <v>1686</v>
      </c>
      <c r="AL339" s="14" t="s">
        <v>292</v>
      </c>
      <c r="AM339" s="15" t="s">
        <v>1687</v>
      </c>
    </row>
    <row r="340" spans="36:39" ht="15" customHeight="1" x14ac:dyDescent="0.25">
      <c r="AJ340" s="2" t="s">
        <v>1688</v>
      </c>
      <c r="AK340" s="14" t="s">
        <v>1689</v>
      </c>
      <c r="AL340" s="14" t="s">
        <v>292</v>
      </c>
      <c r="AM340" s="15" t="s">
        <v>1690</v>
      </c>
    </row>
    <row r="341" spans="36:39" x14ac:dyDescent="0.25">
      <c r="AJ341" s="2" t="s">
        <v>1691</v>
      </c>
      <c r="AK341" s="14" t="s">
        <v>1614</v>
      </c>
      <c r="AL341" s="14" t="s">
        <v>292</v>
      </c>
      <c r="AM341" s="15" t="b">
        <v>1</v>
      </c>
    </row>
    <row r="342" spans="36:39" x14ac:dyDescent="0.25">
      <c r="AJ342" s="2"/>
      <c r="AK342" s="14"/>
      <c r="AL342" s="14"/>
      <c r="AM342" s="15" t="s">
        <v>1692</v>
      </c>
    </row>
    <row r="343" spans="36:39" x14ac:dyDescent="0.25">
      <c r="AJ343" s="2"/>
      <c r="AK343" s="14"/>
      <c r="AL343" s="14"/>
      <c r="AM343" s="15" t="b">
        <v>0</v>
      </c>
    </row>
    <row r="344" spans="36:39" x14ac:dyDescent="0.25">
      <c r="AJ344" s="2"/>
      <c r="AK344" s="14"/>
      <c r="AL344" s="14"/>
      <c r="AM344" s="15" t="s">
        <v>1693</v>
      </c>
    </row>
    <row r="345" spans="36:39" ht="15" customHeight="1" x14ac:dyDescent="0.25">
      <c r="AJ345" s="2"/>
      <c r="AK345" s="14"/>
      <c r="AL345" s="14"/>
      <c r="AM345" s="15"/>
    </row>
    <row r="346" spans="36:39" x14ac:dyDescent="0.25">
      <c r="AJ346" s="2" t="s">
        <v>1694</v>
      </c>
      <c r="AK346" s="14" t="s">
        <v>1614</v>
      </c>
      <c r="AL346" s="14" t="s">
        <v>292</v>
      </c>
      <c r="AM346" s="15" t="b">
        <v>1</v>
      </c>
    </row>
    <row r="347" spans="36:39" x14ac:dyDescent="0.25">
      <c r="AJ347" s="2"/>
      <c r="AK347" s="14"/>
      <c r="AL347" s="14"/>
      <c r="AM347" s="15" t="s">
        <v>1695</v>
      </c>
    </row>
    <row r="348" spans="36:39" x14ac:dyDescent="0.25">
      <c r="AJ348" s="2"/>
      <c r="AK348" s="14"/>
      <c r="AL348" s="14"/>
      <c r="AM348" s="15" t="b">
        <v>0</v>
      </c>
    </row>
    <row r="349" spans="36:39" x14ac:dyDescent="0.25">
      <c r="AJ349" s="2"/>
      <c r="AK349" s="14"/>
      <c r="AL349" s="14"/>
      <c r="AM349" s="15" t="s">
        <v>1696</v>
      </c>
    </row>
    <row r="350" spans="36:39" ht="15" customHeight="1" x14ac:dyDescent="0.25">
      <c r="AJ350" s="2"/>
      <c r="AK350" s="14"/>
      <c r="AL350" s="14"/>
      <c r="AM350" s="15"/>
    </row>
    <row r="351" spans="36:39" x14ac:dyDescent="0.25">
      <c r="AJ351" s="2" t="s">
        <v>1697</v>
      </c>
      <c r="AK351" s="14" t="s">
        <v>1614</v>
      </c>
      <c r="AL351" s="14" t="s">
        <v>292</v>
      </c>
      <c r="AM351" s="15" t="b">
        <v>1</v>
      </c>
    </row>
    <row r="352" spans="36:39" x14ac:dyDescent="0.25">
      <c r="AJ352" s="2"/>
      <c r="AK352" s="14"/>
      <c r="AL352" s="14"/>
      <c r="AM352" s="15" t="s">
        <v>1698</v>
      </c>
    </row>
    <row r="353" spans="36:39" x14ac:dyDescent="0.25">
      <c r="AJ353" s="2"/>
      <c r="AK353" s="14"/>
      <c r="AL353" s="14"/>
      <c r="AM353" s="15" t="b">
        <v>0</v>
      </c>
    </row>
    <row r="354" spans="36:39" x14ac:dyDescent="0.25">
      <c r="AJ354" s="2"/>
      <c r="AK354" s="14"/>
      <c r="AL354" s="14"/>
      <c r="AM354" s="15" t="s">
        <v>1699</v>
      </c>
    </row>
    <row r="355" spans="36:39" x14ac:dyDescent="0.25">
      <c r="AJ355" s="2"/>
      <c r="AK355" s="14"/>
      <c r="AL355" s="14"/>
      <c r="AM355" s="15"/>
    </row>
    <row r="356" spans="36:39" x14ac:dyDescent="0.25">
      <c r="AJ356" s="2" t="s">
        <v>1700</v>
      </c>
      <c r="AK356" s="14" t="s">
        <v>1701</v>
      </c>
      <c r="AL356" s="14" t="s">
        <v>620</v>
      </c>
      <c r="AM356" s="15" t="s">
        <v>1702</v>
      </c>
    </row>
    <row r="357" spans="36:39" x14ac:dyDescent="0.25">
      <c r="AJ357" s="2" t="s">
        <v>1703</v>
      </c>
      <c r="AK357" s="14" t="s">
        <v>1704</v>
      </c>
      <c r="AL357" s="14" t="s">
        <v>620</v>
      </c>
      <c r="AM357" s="15" t="s">
        <v>1705</v>
      </c>
    </row>
    <row r="358" spans="36:39" x14ac:dyDescent="0.25">
      <c r="AJ358" s="2" t="s">
        <v>1706</v>
      </c>
      <c r="AK358" s="14" t="s">
        <v>1707</v>
      </c>
      <c r="AL358" s="14" t="s">
        <v>292</v>
      </c>
      <c r="AM358" s="15" t="s">
        <v>1708</v>
      </c>
    </row>
    <row r="359" spans="36:39" x14ac:dyDescent="0.25">
      <c r="AJ359" s="2" t="s">
        <v>1709</v>
      </c>
      <c r="AK359" s="14" t="s">
        <v>1710</v>
      </c>
      <c r="AL359" s="14" t="s">
        <v>620</v>
      </c>
      <c r="AM359" s="15" t="s">
        <v>1711</v>
      </c>
    </row>
    <row r="360" spans="36:39" x14ac:dyDescent="0.25">
      <c r="AJ360" s="2" t="s">
        <v>1712</v>
      </c>
      <c r="AK360" s="14" t="s">
        <v>1713</v>
      </c>
      <c r="AL360" s="14" t="s">
        <v>292</v>
      </c>
      <c r="AM360" s="15" t="s">
        <v>1714</v>
      </c>
    </row>
    <row r="361" spans="36:39" ht="15" customHeight="1" x14ac:dyDescent="0.25">
      <c r="AJ361" s="2" t="s">
        <v>1715</v>
      </c>
      <c r="AK361" s="14" t="s">
        <v>1715</v>
      </c>
      <c r="AL361" s="14" t="s">
        <v>620</v>
      </c>
      <c r="AM361" s="15" t="s">
        <v>1716</v>
      </c>
    </row>
    <row r="362" spans="36:39" x14ac:dyDescent="0.25">
      <c r="AJ362" s="2" t="s">
        <v>1717</v>
      </c>
      <c r="AK362" s="14" t="s">
        <v>1718</v>
      </c>
      <c r="AL362" s="14" t="s">
        <v>292</v>
      </c>
      <c r="AM362" s="15" t="s">
        <v>1719</v>
      </c>
    </row>
    <row r="363" spans="36:39" x14ac:dyDescent="0.25">
      <c r="AJ363" s="2"/>
      <c r="AK363" s="14"/>
      <c r="AL363" s="14"/>
      <c r="AM363" s="15" t="s">
        <v>1720</v>
      </c>
    </row>
    <row r="364" spans="36:39" x14ac:dyDescent="0.25">
      <c r="AJ364" s="2"/>
      <c r="AK364" s="14"/>
      <c r="AL364" s="14"/>
      <c r="AM364" s="15" t="s">
        <v>1721</v>
      </c>
    </row>
    <row r="365" spans="36:39" x14ac:dyDescent="0.25">
      <c r="AJ365" s="2"/>
      <c r="AK365" s="14"/>
      <c r="AL365" s="14"/>
      <c r="AM365" s="15" t="s">
        <v>1722</v>
      </c>
    </row>
    <row r="366" spans="36:39" x14ac:dyDescent="0.25">
      <c r="AJ366" s="2"/>
      <c r="AK366" s="14"/>
      <c r="AL366" s="14"/>
      <c r="AM366" s="15" t="s">
        <v>1723</v>
      </c>
    </row>
    <row r="367" spans="36:39" x14ac:dyDescent="0.25">
      <c r="AJ367" s="2"/>
      <c r="AK367" s="14"/>
      <c r="AL367" s="14"/>
      <c r="AM367" s="15" t="s">
        <v>1724</v>
      </c>
    </row>
    <row r="368" spans="36:39" x14ac:dyDescent="0.25">
      <c r="AJ368" s="2"/>
      <c r="AK368" s="14"/>
      <c r="AL368" s="14"/>
      <c r="AM368" s="15"/>
    </row>
    <row r="369" spans="36:39" x14ac:dyDescent="0.25">
      <c r="AJ369" s="2" t="s">
        <v>1725</v>
      </c>
      <c r="AK369" s="14" t="s">
        <v>1725</v>
      </c>
      <c r="AL369" s="14" t="s">
        <v>292</v>
      </c>
      <c r="AM369" s="15" t="s">
        <v>1726</v>
      </c>
    </row>
    <row r="370" spans="36:39" x14ac:dyDescent="0.25">
      <c r="AJ370" s="2" t="s">
        <v>1727</v>
      </c>
      <c r="AK370" s="14" t="s">
        <v>1015</v>
      </c>
      <c r="AL370" s="14" t="s">
        <v>620</v>
      </c>
      <c r="AM370" s="15" t="s">
        <v>1728</v>
      </c>
    </row>
    <row r="371" spans="36:39" x14ac:dyDescent="0.25">
      <c r="AJ371" s="2" t="s">
        <v>1729</v>
      </c>
      <c r="AK371" s="14" t="s">
        <v>1022</v>
      </c>
      <c r="AL371" s="14" t="s">
        <v>536</v>
      </c>
      <c r="AM371" s="15" t="s">
        <v>1730</v>
      </c>
    </row>
    <row r="372" spans="36:39" x14ac:dyDescent="0.25">
      <c r="AJ372" s="2" t="s">
        <v>1731</v>
      </c>
      <c r="AK372" s="14" t="s">
        <v>1029</v>
      </c>
      <c r="AL372" s="14" t="s">
        <v>536</v>
      </c>
      <c r="AM372" s="15" t="s">
        <v>1732</v>
      </c>
    </row>
    <row r="373" spans="36:39" x14ac:dyDescent="0.25">
      <c r="AJ373" s="2" t="s">
        <v>1733</v>
      </c>
      <c r="AK373" s="14" t="s">
        <v>1734</v>
      </c>
      <c r="AL373" s="14" t="s">
        <v>536</v>
      </c>
      <c r="AM373" s="15" t="s">
        <v>1735</v>
      </c>
    </row>
    <row r="374" spans="36:39" x14ac:dyDescent="0.25">
      <c r="AJ374" s="2" t="s">
        <v>1736</v>
      </c>
      <c r="AK374" s="14" t="s">
        <v>1737</v>
      </c>
      <c r="AL374" s="14" t="s">
        <v>536</v>
      </c>
      <c r="AM374" s="15" t="s">
        <v>1738</v>
      </c>
    </row>
    <row r="375" spans="36:39" x14ac:dyDescent="0.25">
      <c r="AJ375" s="2" t="s">
        <v>1739</v>
      </c>
      <c r="AK375" s="14" t="s">
        <v>1086</v>
      </c>
      <c r="AL375" s="14" t="s">
        <v>620</v>
      </c>
      <c r="AM375" s="15" t="s">
        <v>1740</v>
      </c>
    </row>
    <row r="376" spans="36:39" x14ac:dyDescent="0.25">
      <c r="AJ376" s="2" t="s">
        <v>1741</v>
      </c>
      <c r="AK376" s="14" t="s">
        <v>1015</v>
      </c>
      <c r="AL376" s="14" t="s">
        <v>620</v>
      </c>
      <c r="AM376" s="15" t="s">
        <v>1742</v>
      </c>
    </row>
    <row r="377" spans="36:39" x14ac:dyDescent="0.25">
      <c r="AJ377" s="2" t="s">
        <v>1743</v>
      </c>
      <c r="AK377" s="14" t="s">
        <v>1022</v>
      </c>
      <c r="AL377" s="14" t="s">
        <v>536</v>
      </c>
      <c r="AM377" s="15" t="s">
        <v>1744</v>
      </c>
    </row>
    <row r="378" spans="36:39" x14ac:dyDescent="0.25">
      <c r="AJ378" s="2" t="s">
        <v>1745</v>
      </c>
      <c r="AK378" s="14" t="s">
        <v>1029</v>
      </c>
      <c r="AL378" s="14" t="s">
        <v>536</v>
      </c>
      <c r="AM378" s="15" t="s">
        <v>1746</v>
      </c>
    </row>
    <row r="379" spans="36:39" x14ac:dyDescent="0.25">
      <c r="AJ379" s="2" t="s">
        <v>1747</v>
      </c>
      <c r="AK379" s="14" t="s">
        <v>1734</v>
      </c>
      <c r="AL379" s="14" t="s">
        <v>536</v>
      </c>
      <c r="AM379" s="15" t="s">
        <v>1748</v>
      </c>
    </row>
    <row r="380" spans="36:39" x14ac:dyDescent="0.25">
      <c r="AJ380" s="2" t="s">
        <v>1749</v>
      </c>
      <c r="AK380" s="14" t="s">
        <v>1737</v>
      </c>
      <c r="AL380" s="14" t="s">
        <v>536</v>
      </c>
      <c r="AM380" s="15" t="s">
        <v>1750</v>
      </c>
    </row>
    <row r="381" spans="36:39" x14ac:dyDescent="0.25">
      <c r="AJ381" s="2" t="s">
        <v>1751</v>
      </c>
      <c r="AK381" s="14" t="s">
        <v>1086</v>
      </c>
      <c r="AL381" s="14" t="s">
        <v>620</v>
      </c>
      <c r="AM381" s="15" t="s">
        <v>1752</v>
      </c>
    </row>
    <row r="382" spans="36:39" x14ac:dyDescent="0.25">
      <c r="AJ382" s="2" t="s">
        <v>1753</v>
      </c>
      <c r="AK382" s="14" t="s">
        <v>1015</v>
      </c>
      <c r="AL382" s="14" t="s">
        <v>620</v>
      </c>
      <c r="AM382" s="15" t="s">
        <v>1754</v>
      </c>
    </row>
    <row r="383" spans="36:39" x14ac:dyDescent="0.25">
      <c r="AJ383" s="2" t="s">
        <v>1755</v>
      </c>
      <c r="AK383" s="14" t="s">
        <v>1022</v>
      </c>
      <c r="AL383" s="14" t="s">
        <v>536</v>
      </c>
      <c r="AM383" s="15" t="s">
        <v>1756</v>
      </c>
    </row>
    <row r="384" spans="36:39" x14ac:dyDescent="0.25">
      <c r="AJ384" s="2" t="s">
        <v>1757</v>
      </c>
      <c r="AK384" s="14" t="s">
        <v>1029</v>
      </c>
      <c r="AL384" s="14" t="s">
        <v>536</v>
      </c>
      <c r="AM384" s="15" t="s">
        <v>1758</v>
      </c>
    </row>
    <row r="385" spans="36:39" x14ac:dyDescent="0.25">
      <c r="AJ385" s="2" t="s">
        <v>1759</v>
      </c>
      <c r="AK385" s="14" t="s">
        <v>1734</v>
      </c>
      <c r="AL385" s="14" t="s">
        <v>536</v>
      </c>
      <c r="AM385" s="15" t="s">
        <v>1760</v>
      </c>
    </row>
    <row r="386" spans="36:39" x14ac:dyDescent="0.25">
      <c r="AJ386" s="2" t="s">
        <v>1761</v>
      </c>
      <c r="AK386" s="14" t="s">
        <v>1737</v>
      </c>
      <c r="AL386" s="14" t="s">
        <v>536</v>
      </c>
      <c r="AM386" s="15" t="s">
        <v>1762</v>
      </c>
    </row>
    <row r="387" spans="36:39" x14ac:dyDescent="0.25">
      <c r="AJ387" s="2" t="s">
        <v>1763</v>
      </c>
      <c r="AK387" s="14" t="s">
        <v>1086</v>
      </c>
      <c r="AL387" s="14" t="s">
        <v>620</v>
      </c>
      <c r="AM387" s="15" t="s">
        <v>1764</v>
      </c>
    </row>
    <row r="388" spans="36:39" x14ac:dyDescent="0.25">
      <c r="AJ388" s="2" t="s">
        <v>1765</v>
      </c>
      <c r="AK388" s="14" t="s">
        <v>1766</v>
      </c>
      <c r="AL388" s="14" t="s">
        <v>292</v>
      </c>
      <c r="AM388" s="15" t="s">
        <v>1767</v>
      </c>
    </row>
    <row r="389" spans="36:39" x14ac:dyDescent="0.25">
      <c r="AJ389" s="2" t="s">
        <v>1768</v>
      </c>
      <c r="AK389" s="14" t="s">
        <v>1769</v>
      </c>
      <c r="AL389" s="14" t="s">
        <v>292</v>
      </c>
      <c r="AM389" s="15" t="s">
        <v>1770</v>
      </c>
    </row>
    <row r="390" spans="36:39" x14ac:dyDescent="0.25">
      <c r="AJ390" s="2" t="s">
        <v>1771</v>
      </c>
      <c r="AK390" s="14" t="s">
        <v>1772</v>
      </c>
      <c r="AL390" s="14" t="s">
        <v>292</v>
      </c>
      <c r="AM390" s="15" t="s">
        <v>1773</v>
      </c>
    </row>
    <row r="391" spans="36:39" x14ac:dyDescent="0.25">
      <c r="AJ391" s="2" t="s">
        <v>1774</v>
      </c>
      <c r="AK391" s="14" t="s">
        <v>1775</v>
      </c>
      <c r="AL391" s="14" t="s">
        <v>292</v>
      </c>
      <c r="AM391" s="15" t="s">
        <v>1776</v>
      </c>
    </row>
    <row r="392" spans="36:39" x14ac:dyDescent="0.25">
      <c r="AJ392" s="2" t="s">
        <v>1777</v>
      </c>
      <c r="AK392" s="14" t="s">
        <v>1778</v>
      </c>
      <c r="AL392" s="14" t="s">
        <v>413</v>
      </c>
      <c r="AM392" s="15" t="s">
        <v>1779</v>
      </c>
    </row>
    <row r="393" spans="36:39" x14ac:dyDescent="0.25">
      <c r="AJ393" s="2" t="s">
        <v>1780</v>
      </c>
      <c r="AK393" s="14" t="s">
        <v>1781</v>
      </c>
      <c r="AL393" s="14" t="s">
        <v>1045</v>
      </c>
      <c r="AM393" s="15" t="s">
        <v>1782</v>
      </c>
    </row>
    <row r="394" spans="36:39" x14ac:dyDescent="0.25">
      <c r="AJ394" s="2" t="s">
        <v>1783</v>
      </c>
      <c r="AK394" s="14" t="s">
        <v>1784</v>
      </c>
      <c r="AL394" s="14" t="s">
        <v>1045</v>
      </c>
      <c r="AM394" s="15" t="s">
        <v>1785</v>
      </c>
    </row>
    <row r="395" spans="36:39" x14ac:dyDescent="0.25">
      <c r="AJ395" s="2" t="s">
        <v>1786</v>
      </c>
      <c r="AK395" s="14" t="s">
        <v>1787</v>
      </c>
      <c r="AL395" s="14" t="s">
        <v>292</v>
      </c>
      <c r="AM395" s="15" t="s">
        <v>1788</v>
      </c>
    </row>
    <row r="396" spans="36:39" x14ac:dyDescent="0.25">
      <c r="AJ396" s="2" t="s">
        <v>1789</v>
      </c>
      <c r="AK396" s="14" t="s">
        <v>1790</v>
      </c>
      <c r="AL396" s="14" t="s">
        <v>292</v>
      </c>
      <c r="AM396" s="15" t="s">
        <v>1791</v>
      </c>
    </row>
    <row r="397" spans="36:39" x14ac:dyDescent="0.25">
      <c r="AJ397" s="2" t="s">
        <v>1792</v>
      </c>
      <c r="AK397" s="14" t="s">
        <v>1793</v>
      </c>
      <c r="AL397" s="14" t="s">
        <v>292</v>
      </c>
      <c r="AM397" s="15" t="s">
        <v>1794</v>
      </c>
    </row>
    <row r="398" spans="36:39" x14ac:dyDescent="0.25">
      <c r="AJ398" s="2" t="s">
        <v>1795</v>
      </c>
      <c r="AK398" s="14" t="s">
        <v>1796</v>
      </c>
      <c r="AL398" s="14" t="s">
        <v>769</v>
      </c>
      <c r="AM398" s="15" t="s">
        <v>1797</v>
      </c>
    </row>
    <row r="399" spans="36:39" x14ac:dyDescent="0.25">
      <c r="AJ399" s="2" t="s">
        <v>1798</v>
      </c>
      <c r="AK399" s="14" t="s">
        <v>1799</v>
      </c>
      <c r="AL399" s="14" t="s">
        <v>769</v>
      </c>
      <c r="AM399" s="15" t="s">
        <v>1800</v>
      </c>
    </row>
    <row r="400" spans="36:39" x14ac:dyDescent="0.25">
      <c r="AJ400" s="2" t="s">
        <v>1801</v>
      </c>
      <c r="AK400" s="14" t="s">
        <v>1802</v>
      </c>
      <c r="AL400" s="14" t="s">
        <v>769</v>
      </c>
      <c r="AM400" s="15" t="s">
        <v>1803</v>
      </c>
    </row>
    <row r="401" spans="36:39" x14ac:dyDescent="0.25">
      <c r="AJ401" s="2" t="s">
        <v>1804</v>
      </c>
      <c r="AK401" s="14" t="s">
        <v>1805</v>
      </c>
      <c r="AL401" s="14" t="s">
        <v>292</v>
      </c>
      <c r="AM401" s="15" t="s">
        <v>1806</v>
      </c>
    </row>
    <row r="402" spans="36:39" x14ac:dyDescent="0.25">
      <c r="AJ402" s="2" t="s">
        <v>1807</v>
      </c>
      <c r="AK402" s="14" t="s">
        <v>1808</v>
      </c>
      <c r="AL402" s="14" t="s">
        <v>620</v>
      </c>
      <c r="AM402" s="15" t="s">
        <v>1809</v>
      </c>
    </row>
    <row r="403" spans="36:39" x14ac:dyDescent="0.25">
      <c r="AJ403" s="2" t="s">
        <v>1810</v>
      </c>
      <c r="AK403" s="14" t="s">
        <v>1811</v>
      </c>
      <c r="AL403" s="14" t="s">
        <v>292</v>
      </c>
      <c r="AM403" s="15" t="s">
        <v>1812</v>
      </c>
    </row>
    <row r="404" spans="36:39" x14ac:dyDescent="0.25">
      <c r="AJ404" s="2" t="s">
        <v>1813</v>
      </c>
      <c r="AK404" s="14" t="s">
        <v>1814</v>
      </c>
      <c r="AL404" s="14" t="s">
        <v>292</v>
      </c>
      <c r="AM404" s="15" t="s">
        <v>1815</v>
      </c>
    </row>
    <row r="405" spans="36:39" x14ac:dyDescent="0.25">
      <c r="AJ405" s="2" t="s">
        <v>1816</v>
      </c>
      <c r="AK405" s="14" t="s">
        <v>1817</v>
      </c>
      <c r="AL405" s="14" t="s">
        <v>292</v>
      </c>
      <c r="AM405" s="15" t="s">
        <v>1818</v>
      </c>
    </row>
    <row r="406" spans="36:39" x14ac:dyDescent="0.25">
      <c r="AJ406" s="2" t="s">
        <v>1819</v>
      </c>
      <c r="AK406" s="14" t="s">
        <v>1820</v>
      </c>
      <c r="AL406" s="14" t="s">
        <v>536</v>
      </c>
      <c r="AM406" s="15" t="s">
        <v>1821</v>
      </c>
    </row>
    <row r="407" spans="36:39" x14ac:dyDescent="0.25">
      <c r="AJ407" s="2" t="s">
        <v>1822</v>
      </c>
      <c r="AK407" s="14" t="s">
        <v>1823</v>
      </c>
      <c r="AL407" s="14" t="s">
        <v>620</v>
      </c>
      <c r="AM407" s="15" t="s">
        <v>1824</v>
      </c>
    </row>
    <row r="408" spans="36:39" x14ac:dyDescent="0.25">
      <c r="AJ408" s="2" t="s">
        <v>1825</v>
      </c>
      <c r="AK408" s="14" t="s">
        <v>1826</v>
      </c>
      <c r="AL408" s="14" t="s">
        <v>620</v>
      </c>
      <c r="AM408" s="15" t="s">
        <v>1827</v>
      </c>
    </row>
    <row r="409" spans="36:39" x14ac:dyDescent="0.25">
      <c r="AJ409" s="2" t="s">
        <v>1828</v>
      </c>
      <c r="AK409" s="14" t="s">
        <v>1829</v>
      </c>
      <c r="AL409" s="14" t="s">
        <v>620</v>
      </c>
      <c r="AM409" s="15" t="s">
        <v>1830</v>
      </c>
    </row>
    <row r="410" spans="36:39" x14ac:dyDescent="0.25">
      <c r="AJ410" s="2" t="s">
        <v>1831</v>
      </c>
      <c r="AK410" s="14" t="s">
        <v>1832</v>
      </c>
      <c r="AL410" s="14" t="s">
        <v>292</v>
      </c>
      <c r="AM410" s="15" t="s">
        <v>1833</v>
      </c>
    </row>
    <row r="411" spans="36:39" x14ac:dyDescent="0.25">
      <c r="AJ411" s="2" t="s">
        <v>1834</v>
      </c>
      <c r="AK411" s="14" t="s">
        <v>1835</v>
      </c>
      <c r="AL411" s="14" t="s">
        <v>292</v>
      </c>
      <c r="AM411" s="15" t="s">
        <v>1836</v>
      </c>
    </row>
    <row r="412" spans="36:39" x14ac:dyDescent="0.25">
      <c r="AJ412" s="2" t="s">
        <v>1837</v>
      </c>
      <c r="AK412" s="14" t="s">
        <v>1838</v>
      </c>
      <c r="AL412" s="14" t="s">
        <v>292</v>
      </c>
      <c r="AM412" s="15" t="s">
        <v>1839</v>
      </c>
    </row>
    <row r="413" spans="36:39" x14ac:dyDescent="0.25">
      <c r="AJ413" s="2" t="s">
        <v>1840</v>
      </c>
      <c r="AK413" s="14" t="s">
        <v>1841</v>
      </c>
      <c r="AL413" s="14" t="s">
        <v>292</v>
      </c>
      <c r="AM413" s="15" t="s">
        <v>1842</v>
      </c>
    </row>
    <row r="414" spans="36:39" ht="15.75" thickBot="1" x14ac:dyDescent="0.3">
      <c r="AJ414" s="16" t="s">
        <v>1843</v>
      </c>
      <c r="AK414" s="17" t="s">
        <v>1844</v>
      </c>
      <c r="AL414" s="17" t="s">
        <v>1845</v>
      </c>
      <c r="AM414" s="18" t="s">
        <v>1846</v>
      </c>
    </row>
  </sheetData>
  <mergeCells count="15">
    <mergeCell ref="BI1:BL1"/>
    <mergeCell ref="BN1:BQ1"/>
    <mergeCell ref="A66:A71"/>
    <mergeCell ref="AE1:AH1"/>
    <mergeCell ref="AJ1:AM1"/>
    <mergeCell ref="AO1:AR1"/>
    <mergeCell ref="AT1:AW1"/>
    <mergeCell ref="AY1:BB1"/>
    <mergeCell ref="BD1:BG1"/>
    <mergeCell ref="A1:D1"/>
    <mergeCell ref="F1:I1"/>
    <mergeCell ref="K1:N1"/>
    <mergeCell ref="P1:S1"/>
    <mergeCell ref="U1:X1"/>
    <mergeCell ref="Z1:AC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66"/>
  <sheetViews>
    <sheetView tabSelected="1" workbookViewId="0">
      <selection activeCell="C21" sqref="C21"/>
    </sheetView>
  </sheetViews>
  <sheetFormatPr defaultRowHeight="15" x14ac:dyDescent="0.25"/>
  <cols>
    <col min="1" max="1" width="22.85546875" bestFit="1" customWidth="1"/>
    <col min="2" max="2" width="23" customWidth="1"/>
    <col min="3" max="3" width="13.7109375" customWidth="1"/>
    <col min="4" max="4" width="6.7109375" customWidth="1"/>
    <col min="5" max="5" width="20" customWidth="1"/>
    <col min="6" max="6" width="40.140625" bestFit="1" customWidth="1"/>
    <col min="7" max="7" width="11.28515625" bestFit="1" customWidth="1"/>
    <col min="8" max="8" width="16.28515625" customWidth="1"/>
    <col min="9" max="9" width="5.7109375" customWidth="1"/>
    <col min="10" max="10" width="4.140625" bestFit="1" customWidth="1"/>
    <col min="11" max="11" width="41.42578125" bestFit="1" customWidth="1"/>
    <col min="12" max="12" width="41.140625" bestFit="1" customWidth="1"/>
    <col min="13" max="13" width="19.42578125" bestFit="1" customWidth="1"/>
    <col min="14" max="14" width="21.5703125" bestFit="1" customWidth="1"/>
    <col min="15" max="18" width="21.5703125" customWidth="1"/>
    <col min="19" max="19" width="36.7109375" bestFit="1" customWidth="1"/>
    <col min="21" max="21" width="6.28515625" customWidth="1"/>
    <col min="22" max="22" width="36.7109375" bestFit="1" customWidth="1"/>
    <col min="23" max="23" width="19.42578125" bestFit="1" customWidth="1"/>
    <col min="24" max="24" width="29.28515625" bestFit="1" customWidth="1"/>
    <col min="25" max="25" width="18.42578125" bestFit="1" customWidth="1"/>
    <col min="26" max="26" width="18" bestFit="1" customWidth="1"/>
    <col min="27" max="27" width="18.28515625" bestFit="1" customWidth="1"/>
    <col min="28" max="28" width="12.28515625" customWidth="1"/>
  </cols>
  <sheetData>
    <row r="1" spans="1:31" ht="17.25" customHeight="1" thickBot="1" x14ac:dyDescent="0.3">
      <c r="A1" s="35" t="s">
        <v>228</v>
      </c>
      <c r="B1" s="36"/>
      <c r="E1" s="37" t="s">
        <v>0</v>
      </c>
      <c r="F1" s="38"/>
      <c r="G1" s="38"/>
      <c r="H1" s="39"/>
      <c r="I1" s="10"/>
      <c r="J1" s="40" t="s">
        <v>1913</v>
      </c>
      <c r="K1" s="41"/>
      <c r="L1" s="41"/>
      <c r="M1" s="41"/>
      <c r="N1" s="41"/>
      <c r="O1" s="41"/>
      <c r="P1" s="41"/>
      <c r="Q1" s="41"/>
      <c r="R1" s="41"/>
      <c r="S1" s="42"/>
      <c r="U1" s="43" t="s">
        <v>1914</v>
      </c>
      <c r="V1" s="44"/>
      <c r="W1" s="44"/>
      <c r="X1" s="44"/>
      <c r="Y1" s="44"/>
      <c r="Z1" s="44"/>
      <c r="AA1" s="44"/>
      <c r="AB1" s="44"/>
      <c r="AC1" s="44"/>
      <c r="AD1" s="44"/>
      <c r="AE1" s="44"/>
    </row>
    <row r="2" spans="1:31" ht="15.75" thickBot="1" x14ac:dyDescent="0.3">
      <c r="A2" s="5" t="s">
        <v>229</v>
      </c>
      <c r="B2" s="5" t="s">
        <v>230</v>
      </c>
      <c r="E2" t="s">
        <v>2</v>
      </c>
      <c r="F2" s="1" t="s">
        <v>1</v>
      </c>
      <c r="G2" s="1" t="s">
        <v>226</v>
      </c>
      <c r="H2" t="s">
        <v>267</v>
      </c>
      <c r="J2" t="s">
        <v>227</v>
      </c>
      <c r="K2" t="s">
        <v>248</v>
      </c>
      <c r="L2" t="s">
        <v>247</v>
      </c>
      <c r="M2" t="s">
        <v>3</v>
      </c>
      <c r="N2" t="s">
        <v>1934</v>
      </c>
      <c r="O2" t="s">
        <v>1935</v>
      </c>
      <c r="P2" t="s">
        <v>1936</v>
      </c>
      <c r="Q2" t="s">
        <v>1937</v>
      </c>
      <c r="R2" t="s">
        <v>1938</v>
      </c>
      <c r="S2" t="s">
        <v>1920</v>
      </c>
      <c r="U2" t="s">
        <v>227</v>
      </c>
      <c r="V2" t="s">
        <v>291</v>
      </c>
      <c r="W2" t="s">
        <v>3</v>
      </c>
      <c r="X2" s="22" t="s">
        <v>1915</v>
      </c>
      <c r="Y2" s="23" t="s">
        <v>1916</v>
      </c>
      <c r="Z2" s="23" t="s">
        <v>1917</v>
      </c>
      <c r="AA2" s="23" t="s">
        <v>1918</v>
      </c>
      <c r="AB2" s="23" t="s">
        <v>1919</v>
      </c>
      <c r="AC2" s="23" t="s">
        <v>1922</v>
      </c>
      <c r="AD2" s="23" t="s">
        <v>1923</v>
      </c>
      <c r="AE2" s="24" t="s">
        <v>1924</v>
      </c>
    </row>
    <row r="3" spans="1:31" x14ac:dyDescent="0.25">
      <c r="A3" s="6" t="s">
        <v>249</v>
      </c>
      <c r="B3" s="7" t="s">
        <v>250</v>
      </c>
      <c r="C3" t="s">
        <v>237</v>
      </c>
      <c r="E3" t="s">
        <v>1928</v>
      </c>
      <c r="F3" t="str">
        <f>IFERROR(MID(tbl_PlaxisFiles[[#This Row],[Path]],FIND(CHAR(1),SUBSTITUTE(tbl_PlaxisFiles[[#This Row],[Path]],"\",CHAR(1),LEN(tbl_PlaxisFiles[[#This Row],[Path]])-LEN(SUBSTITUTE(tbl_PlaxisFiles[[#This Row],[Path]],"\",""))))+1,FIND(CHAR(1),SUBSTITUTE(tbl_PlaxisFiles[[#This Row],[Path]],".",CHAR(1),LEN(tbl_PlaxisFiles[[#This Row],[Path]])-LEN(SUBSTITUTE(tbl_PlaxisFiles[[#This Row],[Path]],".",""))))-FIND(CHAR(1),SUBSTITUTE(tbl_PlaxisFiles[[#This Row],[Path]],"\",CHAR(1),LEN(tbl_PlaxisFiles[[#This Row],[Path]])-LEN(SUBSTITUTE(tbl_PlaxisFiles[[#This Row],[Path]],"\",""))))-1),"")</f>
        <v>CR113_N_Case1,4_SLS_0.7EI_Hyd_a03BP1.0m</v>
      </c>
      <c r="H3" t="str">
        <f>IF(COUNTIF(_xlfn.ANCHORARRAY(_system!$N$2),tbl_PlaxisFiles[[#This Row],[Model Name]])&gt;0,"Loaded","Not Loaded")</f>
        <v>Loaded</v>
      </c>
      <c r="J3" cm="1">
        <f t="array" ref="J3">ROW()-ROW(tbl_Extraction[#Headers])</f>
        <v>1</v>
      </c>
      <c r="K3" t="s">
        <v>1851</v>
      </c>
      <c r="L3" t="s">
        <v>1882</v>
      </c>
      <c r="M3" t="s">
        <v>243</v>
      </c>
      <c r="N3" t="s">
        <v>1900</v>
      </c>
      <c r="S3" t="s">
        <v>1921</v>
      </c>
      <c r="U3" cm="1">
        <f t="array" ref="U3">ROW()-ROW(tbl_Profiles[#Headers])</f>
        <v>1</v>
      </c>
      <c r="V3" t="s">
        <v>1921</v>
      </c>
      <c r="W3" t="s">
        <v>243</v>
      </c>
      <c r="X3" s="11" t="s">
        <v>106</v>
      </c>
      <c r="Y3" s="12"/>
      <c r="Z3" s="12"/>
      <c r="AA3" s="12"/>
      <c r="AB3" s="12"/>
      <c r="AC3" s="12"/>
      <c r="AD3" s="12"/>
      <c r="AE3" s="13"/>
    </row>
    <row r="4" spans="1:31" x14ac:dyDescent="0.25">
      <c r="A4" s="6" t="s">
        <v>236</v>
      </c>
      <c r="B4" s="7" t="s">
        <v>231</v>
      </c>
      <c r="C4" t="s">
        <v>237</v>
      </c>
      <c r="E4" t="s">
        <v>1929</v>
      </c>
      <c r="F4" t="str">
        <f>IFERROR(MID(tbl_PlaxisFiles[[#This Row],[Path]],FIND(CHAR(1),SUBSTITUTE(tbl_PlaxisFiles[[#This Row],[Path]],"\",CHAR(1),LEN(tbl_PlaxisFiles[[#This Row],[Path]])-LEN(SUBSTITUTE(tbl_PlaxisFiles[[#This Row],[Path]],"\",""))))+1,FIND(CHAR(1),SUBSTITUTE(tbl_PlaxisFiles[[#This Row],[Path]],".",CHAR(1),LEN(tbl_PlaxisFiles[[#This Row],[Path]])-LEN(SUBSTITUTE(tbl_PlaxisFiles[[#This Row],[Path]],".",""))))-FIND(CHAR(1),SUBSTITUTE(tbl_PlaxisFiles[[#This Row],[Path]],"\",CHAR(1),LEN(tbl_PlaxisFiles[[#This Row],[Path]])-LEN(SUBSTITUTE(tbl_PlaxisFiles[[#This Row],[Path]],"\",""))))-1),"")</f>
        <v>CR113_N_Case2_ULS1_1.0EI_Hyd_a03BP1.0m</v>
      </c>
      <c r="H4" t="str">
        <f>IF(COUNTIF(_xlfn.ANCHORARRAY(_system!$N$2),tbl_PlaxisFiles[[#This Row],[Model Name]])&gt;0,"Loaded","Not Loaded")</f>
        <v>Loaded</v>
      </c>
      <c r="J4" cm="1">
        <f t="array" ref="J4">ROW()-ROW(tbl_Extraction[#Headers])</f>
        <v>2</v>
      </c>
      <c r="K4" t="s">
        <v>1851</v>
      </c>
      <c r="L4" t="s">
        <v>1882</v>
      </c>
      <c r="M4" t="s">
        <v>243</v>
      </c>
      <c r="N4" t="s">
        <v>256</v>
      </c>
      <c r="S4" t="s">
        <v>1921</v>
      </c>
      <c r="U4" cm="1">
        <f t="array" ref="U4">ROW()-ROW(tbl_Profiles[#Headers])</f>
        <v>2</v>
      </c>
      <c r="V4" t="s">
        <v>1946</v>
      </c>
      <c r="W4" t="s">
        <v>238</v>
      </c>
      <c r="X4" s="2" t="s">
        <v>5</v>
      </c>
      <c r="Y4" s="14"/>
      <c r="Z4" s="14"/>
      <c r="AA4" s="14"/>
      <c r="AB4" s="14"/>
      <c r="AC4" s="14"/>
      <c r="AD4" s="14"/>
      <c r="AE4" s="15"/>
    </row>
    <row r="5" spans="1:31" x14ac:dyDescent="0.25">
      <c r="A5" s="6" t="s">
        <v>232</v>
      </c>
      <c r="B5" s="7" t="s">
        <v>1925</v>
      </c>
      <c r="C5" t="s">
        <v>237</v>
      </c>
      <c r="E5" t="s">
        <v>1930</v>
      </c>
      <c r="F5" t="str">
        <f>IFERROR(MID(tbl_PlaxisFiles[[#This Row],[Path]],FIND(CHAR(1),SUBSTITUTE(tbl_PlaxisFiles[[#This Row],[Path]],"\",CHAR(1),LEN(tbl_PlaxisFiles[[#This Row],[Path]])-LEN(SUBSTITUTE(tbl_PlaxisFiles[[#This Row],[Path]],"\",""))))+1,FIND(CHAR(1),SUBSTITUTE(tbl_PlaxisFiles[[#This Row],[Path]],".",CHAR(1),LEN(tbl_PlaxisFiles[[#This Row],[Path]])-LEN(SUBSTITUTE(tbl_PlaxisFiles[[#This Row],[Path]],".",""))))-FIND(CHAR(1),SUBSTITUTE(tbl_PlaxisFiles[[#This Row],[Path]],"\",CHAR(1),LEN(tbl_PlaxisFiles[[#This Row],[Path]])-LEN(SUBSTITUTE(tbl_PlaxisFiles[[#This Row],[Path]],"\",""))))-1),"")</f>
        <v>CR113_N_Case3_ULS2_1.0EI_Hyd_a03BP1.0m</v>
      </c>
      <c r="H5" t="str">
        <f>IF(COUNTIF(_xlfn.ANCHORARRAY(_system!$N$2),tbl_PlaxisFiles[[#This Row],[Model Name]])&gt;0,"Loaded","Not Loaded")</f>
        <v>Loaded</v>
      </c>
      <c r="J5" cm="1">
        <f t="array" ref="J5">ROW()-ROW(tbl_Extraction[#Headers])</f>
        <v>3</v>
      </c>
      <c r="K5" t="s">
        <v>1851</v>
      </c>
      <c r="L5" t="s">
        <v>1882</v>
      </c>
      <c r="M5" t="s">
        <v>243</v>
      </c>
      <c r="N5" t="s">
        <v>257</v>
      </c>
      <c r="S5" t="s">
        <v>1921</v>
      </c>
      <c r="U5" cm="1">
        <f t="array" ref="U5">ROW()-ROW(tbl_Profiles[#Headers])</f>
        <v>3</v>
      </c>
      <c r="V5" t="s">
        <v>1939</v>
      </c>
      <c r="W5" t="s">
        <v>241</v>
      </c>
      <c r="X5" s="2" t="s">
        <v>70</v>
      </c>
      <c r="Y5" s="14" t="s">
        <v>73</v>
      </c>
      <c r="Z5" s="14"/>
      <c r="AA5" s="14"/>
      <c r="AB5" s="14"/>
      <c r="AC5" s="14"/>
      <c r="AD5" s="14"/>
      <c r="AE5" s="15"/>
    </row>
    <row r="6" spans="1:31" x14ac:dyDescent="0.25">
      <c r="A6" s="8" t="s">
        <v>233</v>
      </c>
      <c r="B6" s="7" t="s">
        <v>234</v>
      </c>
      <c r="E6" t="s">
        <v>1931</v>
      </c>
      <c r="F6" t="str">
        <f>IFERROR(MID(tbl_PlaxisFiles[[#This Row],[Path]],FIND(CHAR(1),SUBSTITUTE(tbl_PlaxisFiles[[#This Row],[Path]],"\",CHAR(1),LEN(tbl_PlaxisFiles[[#This Row],[Path]])-LEN(SUBSTITUTE(tbl_PlaxisFiles[[#This Row],[Path]],"\",""))))+1,FIND(CHAR(1),SUBSTITUTE(tbl_PlaxisFiles[[#This Row],[Path]],".",CHAR(1),LEN(tbl_PlaxisFiles[[#This Row],[Path]])-LEN(SUBSTITUTE(tbl_PlaxisFiles[[#This Row],[Path]],".",""))))-FIND(CHAR(1),SUBSTITUTE(tbl_PlaxisFiles[[#This Row],[Path]],"\",CHAR(1),LEN(tbl_PlaxisFiles[[#This Row],[Path]])-LEN(SUBSTITUTE(tbl_PlaxisFiles[[#This Row],[Path]],"\",""))))-1),"")</f>
        <v>CR113_N_Case5,8_SLS_0.7EI_SpG_a03BP1.0m</v>
      </c>
      <c r="H6" t="str">
        <f>IF(COUNTIF(_xlfn.ANCHORARRAY(_system!$N$2),tbl_PlaxisFiles[[#This Row],[Model Name]])&gt;0,"Loaded","Not Loaded")</f>
        <v>Loaded</v>
      </c>
      <c r="J6" cm="1">
        <f t="array" ref="J6">ROW()-ROW(tbl_Extraction[#Headers])</f>
        <v>4</v>
      </c>
      <c r="K6" t="s">
        <v>1851</v>
      </c>
      <c r="L6" t="s">
        <v>1859</v>
      </c>
      <c r="M6" t="s">
        <v>238</v>
      </c>
      <c r="N6" t="s">
        <v>1847</v>
      </c>
      <c r="O6" t="s">
        <v>244</v>
      </c>
      <c r="P6" t="s">
        <v>245</v>
      </c>
      <c r="S6" t="s">
        <v>1946</v>
      </c>
      <c r="U6" cm="1">
        <f t="array" ref="U6">ROW()-ROW(tbl_Profiles[#Headers])</f>
        <v>4</v>
      </c>
      <c r="V6" t="s">
        <v>1940</v>
      </c>
      <c r="W6" t="s">
        <v>240</v>
      </c>
      <c r="X6" s="2" t="s">
        <v>70</v>
      </c>
      <c r="Y6" s="14" t="s">
        <v>73</v>
      </c>
      <c r="Z6" s="14"/>
      <c r="AA6" s="14"/>
      <c r="AB6" s="14"/>
      <c r="AC6" s="14"/>
      <c r="AD6" s="14"/>
      <c r="AE6" s="15"/>
    </row>
    <row r="7" spans="1:31" x14ac:dyDescent="0.25">
      <c r="A7" s="8" t="s">
        <v>252</v>
      </c>
      <c r="B7" s="7">
        <v>10000</v>
      </c>
      <c r="E7" t="s">
        <v>1932</v>
      </c>
      <c r="F7" t="str">
        <f>IFERROR(MID(tbl_PlaxisFiles[[#This Row],[Path]],FIND(CHAR(1),SUBSTITUTE(tbl_PlaxisFiles[[#This Row],[Path]],"\",CHAR(1),LEN(tbl_PlaxisFiles[[#This Row],[Path]])-LEN(SUBSTITUTE(tbl_PlaxisFiles[[#This Row],[Path]],"\",""))))+1,FIND(CHAR(1),SUBSTITUTE(tbl_PlaxisFiles[[#This Row],[Path]],".",CHAR(1),LEN(tbl_PlaxisFiles[[#This Row],[Path]])-LEN(SUBSTITUTE(tbl_PlaxisFiles[[#This Row],[Path]],".",""))))-FIND(CHAR(1),SUBSTITUTE(tbl_PlaxisFiles[[#This Row],[Path]],"\",CHAR(1),LEN(tbl_PlaxisFiles[[#This Row],[Path]])-LEN(SUBSTITUTE(tbl_PlaxisFiles[[#This Row],[Path]],"\",""))))-1),"")</f>
        <v>CR113_N_Case6,7_ULS1_1.0EI_SpG_a03BP1.0m</v>
      </c>
      <c r="H7" t="str">
        <f>IF(COUNTIF(_xlfn.ANCHORARRAY(_system!$N$2),tbl_PlaxisFiles[[#This Row],[Model Name]])&gt;0,"Loaded","Not Loaded")</f>
        <v>Loaded</v>
      </c>
      <c r="J7" cm="1">
        <f t="array" ref="J7">ROW()-ROW(tbl_Extraction[#Headers])</f>
        <v>5</v>
      </c>
      <c r="K7" t="s">
        <v>1851</v>
      </c>
      <c r="L7" t="s">
        <v>1861</v>
      </c>
      <c r="M7" t="s">
        <v>238</v>
      </c>
      <c r="N7" t="s">
        <v>1847</v>
      </c>
      <c r="O7" t="s">
        <v>244</v>
      </c>
      <c r="P7" t="s">
        <v>245</v>
      </c>
      <c r="S7" t="s">
        <v>1946</v>
      </c>
      <c r="U7" cm="1">
        <f t="array" ref="U7">ROW()-ROW(tbl_Profiles[#Headers])</f>
        <v>5</v>
      </c>
      <c r="V7" t="s">
        <v>1941</v>
      </c>
      <c r="W7" t="s">
        <v>238</v>
      </c>
      <c r="X7" s="2" t="s">
        <v>95</v>
      </c>
      <c r="Y7" s="14" t="s">
        <v>99</v>
      </c>
      <c r="Z7" s="14" t="s">
        <v>103</v>
      </c>
      <c r="AA7" s="14" t="s">
        <v>107</v>
      </c>
      <c r="AB7" s="14"/>
      <c r="AC7" s="14"/>
      <c r="AD7" s="14"/>
      <c r="AE7" s="15"/>
    </row>
    <row r="8" spans="1:31" x14ac:dyDescent="0.25">
      <c r="A8" s="8" t="s">
        <v>253</v>
      </c>
      <c r="B8" s="7">
        <v>10001</v>
      </c>
      <c r="C8" t="s">
        <v>237</v>
      </c>
      <c r="E8" t="s">
        <v>1933</v>
      </c>
      <c r="F8" t="str">
        <f>IFERROR(MID(tbl_PlaxisFiles[[#This Row],[Path]],FIND(CHAR(1),SUBSTITUTE(tbl_PlaxisFiles[[#This Row],[Path]],"\",CHAR(1),LEN(tbl_PlaxisFiles[[#This Row],[Path]])-LEN(SUBSTITUTE(tbl_PlaxisFiles[[#This Row],[Path]],"\",""))))+1,FIND(CHAR(1),SUBSTITUTE(tbl_PlaxisFiles[[#This Row],[Path]],".",CHAR(1),LEN(tbl_PlaxisFiles[[#This Row],[Path]])-LEN(SUBSTITUTE(tbl_PlaxisFiles[[#This Row],[Path]],".",""))))-FIND(CHAR(1),SUBSTITUTE(tbl_PlaxisFiles[[#This Row],[Path]],"\",CHAR(1),LEN(tbl_PlaxisFiles[[#This Row],[Path]])-LEN(SUBSTITUTE(tbl_PlaxisFiles[[#This Row],[Path]],"\",""))))-1),"")</f>
        <v>CR113_N_CaseA_SLS_0.7EI_SpD_a03BP1.0m</v>
      </c>
      <c r="H8" t="str">
        <f>IF(COUNTIF(_xlfn.ANCHORARRAY(_system!$N$2),tbl_PlaxisFiles[[#This Row],[Model Name]])&gt;0,"Loaded","Not Loaded")</f>
        <v>Loaded</v>
      </c>
      <c r="J8" cm="1">
        <f t="array" ref="J8">ROW()-ROW(tbl_Extraction[#Headers])</f>
        <v>6</v>
      </c>
      <c r="K8" t="s">
        <v>1851</v>
      </c>
      <c r="L8" t="s">
        <v>1863</v>
      </c>
      <c r="M8" t="s">
        <v>238</v>
      </c>
      <c r="N8" t="s">
        <v>1847</v>
      </c>
      <c r="O8" t="s">
        <v>244</v>
      </c>
      <c r="P8" t="s">
        <v>245</v>
      </c>
      <c r="S8" t="s">
        <v>1946</v>
      </c>
      <c r="U8" cm="1">
        <f t="array" ref="U8">ROW()-ROW(tbl_Profiles[#Headers])</f>
        <v>6</v>
      </c>
      <c r="V8" t="s">
        <v>1942</v>
      </c>
      <c r="W8" t="s">
        <v>241</v>
      </c>
      <c r="X8" s="2" t="s">
        <v>70</v>
      </c>
      <c r="Y8" s="14" t="s">
        <v>73</v>
      </c>
      <c r="Z8" s="14"/>
      <c r="AA8" s="14"/>
      <c r="AB8" s="14"/>
      <c r="AC8" s="14"/>
      <c r="AD8" s="14"/>
      <c r="AE8" s="15"/>
    </row>
    <row r="9" spans="1:31" x14ac:dyDescent="0.25">
      <c r="A9" s="8" t="s">
        <v>251</v>
      </c>
      <c r="B9" s="7" t="s">
        <v>235</v>
      </c>
      <c r="C9" t="s">
        <v>237</v>
      </c>
      <c r="J9" cm="1">
        <f t="array" ref="J9">ROW()-ROW(tbl_Extraction[#Headers])</f>
        <v>7</v>
      </c>
      <c r="K9" t="s">
        <v>1851</v>
      </c>
      <c r="L9" t="s">
        <v>1865</v>
      </c>
      <c r="M9" t="s">
        <v>238</v>
      </c>
      <c r="N9" t="s">
        <v>1847</v>
      </c>
      <c r="O9" t="s">
        <v>244</v>
      </c>
      <c r="P9" t="s">
        <v>245</v>
      </c>
      <c r="S9" t="s">
        <v>1946</v>
      </c>
      <c r="U9" cm="1">
        <f t="array" ref="U9">ROW()-ROW(tbl_Profiles[#Headers])</f>
        <v>7</v>
      </c>
      <c r="V9" t="s">
        <v>1943</v>
      </c>
      <c r="W9" t="s">
        <v>240</v>
      </c>
      <c r="X9" s="2" t="s">
        <v>70</v>
      </c>
      <c r="Y9" s="14" t="s">
        <v>73</v>
      </c>
      <c r="Z9" s="14"/>
      <c r="AA9" s="14"/>
      <c r="AB9" s="14"/>
      <c r="AC9" s="14"/>
      <c r="AD9" s="14"/>
      <c r="AE9" s="15"/>
    </row>
    <row r="10" spans="1:31" x14ac:dyDescent="0.25">
      <c r="A10" s="8" t="s">
        <v>1850</v>
      </c>
      <c r="B10" s="7" t="s">
        <v>1912</v>
      </c>
      <c r="C10" t="s">
        <v>237</v>
      </c>
      <c r="J10" cm="1">
        <f t="array" ref="J10">ROW()-ROW(tbl_Extraction[#Headers])</f>
        <v>8</v>
      </c>
      <c r="K10" t="s">
        <v>1851</v>
      </c>
      <c r="L10" t="s">
        <v>1867</v>
      </c>
      <c r="M10" t="s">
        <v>238</v>
      </c>
      <c r="N10" t="s">
        <v>1847</v>
      </c>
      <c r="O10" t="s">
        <v>244</v>
      </c>
      <c r="P10" t="s">
        <v>245</v>
      </c>
      <c r="S10" t="s">
        <v>1946</v>
      </c>
      <c r="U10" cm="1">
        <f t="array" ref="U10">ROW()-ROW(tbl_Profiles[#Headers])</f>
        <v>8</v>
      </c>
      <c r="V10" t="s">
        <v>1944</v>
      </c>
      <c r="W10" t="s">
        <v>238</v>
      </c>
      <c r="X10" s="2" t="s">
        <v>95</v>
      </c>
      <c r="Y10" s="14" t="s">
        <v>99</v>
      </c>
      <c r="Z10" s="14" t="s">
        <v>103</v>
      </c>
      <c r="AA10" s="14" t="s">
        <v>107</v>
      </c>
      <c r="AB10" s="14"/>
      <c r="AC10" s="14"/>
      <c r="AD10" s="14"/>
      <c r="AE10" s="15"/>
    </row>
    <row r="11" spans="1:31" x14ac:dyDescent="0.25">
      <c r="A11" s="8" t="s">
        <v>269</v>
      </c>
      <c r="B11" s="7" t="s">
        <v>1926</v>
      </c>
      <c r="C11" t="s">
        <v>237</v>
      </c>
      <c r="J11" cm="1">
        <f t="array" ref="J11">ROW()-ROW(tbl_Extraction[#Headers])</f>
        <v>9</v>
      </c>
      <c r="K11" t="s">
        <v>1851</v>
      </c>
      <c r="L11" t="s">
        <v>1869</v>
      </c>
      <c r="M11" t="s">
        <v>238</v>
      </c>
      <c r="N11" t="s">
        <v>1847</v>
      </c>
      <c r="O11" t="s">
        <v>244</v>
      </c>
      <c r="P11" t="s">
        <v>245</v>
      </c>
      <c r="S11" t="s">
        <v>1946</v>
      </c>
      <c r="U11" cm="1">
        <f t="array" ref="U11">ROW()-ROW(tbl_Profiles[#Headers])</f>
        <v>9</v>
      </c>
      <c r="V11" t="s">
        <v>1945</v>
      </c>
      <c r="W11" t="s">
        <v>241</v>
      </c>
      <c r="X11" s="2" t="s">
        <v>10</v>
      </c>
      <c r="Y11" s="14"/>
      <c r="Z11" s="14"/>
      <c r="AA11" s="14"/>
      <c r="AB11" s="14"/>
      <c r="AC11" s="14"/>
      <c r="AD11" s="14"/>
      <c r="AE11" s="15"/>
    </row>
    <row r="12" spans="1:31" x14ac:dyDescent="0.25">
      <c r="A12" s="8" t="s">
        <v>268</v>
      </c>
      <c r="B12" s="7" t="s">
        <v>1927</v>
      </c>
      <c r="C12" t="s">
        <v>237</v>
      </c>
      <c r="J12" cm="1">
        <f t="array" ref="J12">ROW()-ROW(tbl_Extraction[#Headers])</f>
        <v>10</v>
      </c>
      <c r="K12" t="s">
        <v>1851</v>
      </c>
      <c r="L12" t="s">
        <v>1871</v>
      </c>
      <c r="M12" t="s">
        <v>238</v>
      </c>
      <c r="N12" t="s">
        <v>1847</v>
      </c>
      <c r="O12" t="s">
        <v>244</v>
      </c>
      <c r="P12" t="s">
        <v>245</v>
      </c>
      <c r="S12" t="s">
        <v>1946</v>
      </c>
      <c r="U12" cm="1">
        <f t="array" ref="U12">ROW()-ROW(tbl_Profiles[#Headers])</f>
        <v>10</v>
      </c>
      <c r="V12" t="s">
        <v>1947</v>
      </c>
      <c r="W12" t="s">
        <v>240</v>
      </c>
      <c r="X12" s="2" t="s">
        <v>10</v>
      </c>
      <c r="Y12" s="14"/>
      <c r="Z12" s="14"/>
      <c r="AA12" s="14"/>
      <c r="AB12" s="14"/>
      <c r="AC12" s="14"/>
      <c r="AD12" s="14"/>
      <c r="AE12" s="15"/>
    </row>
    <row r="13" spans="1:31" ht="15.75" thickBot="1" x14ac:dyDescent="0.3">
      <c r="A13" s="9" t="s">
        <v>270</v>
      </c>
      <c r="B13" s="4"/>
      <c r="C13" t="s">
        <v>237</v>
      </c>
      <c r="J13" cm="1">
        <f t="array" ref="J13">ROW()-ROW(tbl_Extraction[#Headers])</f>
        <v>11</v>
      </c>
      <c r="K13" t="s">
        <v>1851</v>
      </c>
      <c r="L13" t="s">
        <v>1873</v>
      </c>
      <c r="M13" t="s">
        <v>238</v>
      </c>
      <c r="N13" t="s">
        <v>1847</v>
      </c>
      <c r="O13" t="s">
        <v>244</v>
      </c>
      <c r="P13" t="s">
        <v>245</v>
      </c>
      <c r="S13" t="s">
        <v>1946</v>
      </c>
      <c r="U13" cm="1">
        <f t="array" ref="U13">ROW()-ROW(tbl_Profiles[#Headers])</f>
        <v>11</v>
      </c>
      <c r="V13" t="s">
        <v>1948</v>
      </c>
      <c r="W13" t="s">
        <v>238</v>
      </c>
      <c r="X13" s="2" t="s">
        <v>95</v>
      </c>
      <c r="Y13" s="14" t="s">
        <v>99</v>
      </c>
      <c r="Z13" s="14" t="s">
        <v>103</v>
      </c>
      <c r="AA13" s="14" t="s">
        <v>107</v>
      </c>
      <c r="AB13" s="14"/>
      <c r="AC13" s="14"/>
      <c r="AD13" s="14"/>
      <c r="AE13" s="15"/>
    </row>
    <row r="14" spans="1:31" x14ac:dyDescent="0.25">
      <c r="J14" cm="1">
        <f t="array" ref="J14">ROW()-ROW(tbl_Extraction[#Headers])</f>
        <v>12</v>
      </c>
      <c r="K14" t="s">
        <v>1851</v>
      </c>
      <c r="L14" t="s">
        <v>1875</v>
      </c>
      <c r="M14" t="s">
        <v>238</v>
      </c>
      <c r="N14" t="s">
        <v>1847</v>
      </c>
      <c r="O14" t="s">
        <v>244</v>
      </c>
      <c r="P14" t="s">
        <v>245</v>
      </c>
      <c r="S14" t="s">
        <v>1946</v>
      </c>
      <c r="U14" cm="1">
        <f t="array" ref="U14">ROW()-ROW(tbl_Profiles[#Headers])</f>
        <v>12</v>
      </c>
      <c r="V14" t="s">
        <v>1949</v>
      </c>
      <c r="W14" t="s">
        <v>238</v>
      </c>
      <c r="X14" s="2" t="s">
        <v>5</v>
      </c>
      <c r="Y14" s="14"/>
      <c r="Z14" s="14"/>
      <c r="AA14" s="14"/>
      <c r="AB14" s="14"/>
      <c r="AC14" s="14"/>
      <c r="AD14" s="14"/>
      <c r="AE14" s="15"/>
    </row>
    <row r="15" spans="1:31" x14ac:dyDescent="0.25">
      <c r="J15" cm="1">
        <f t="array" ref="J15">ROW()-ROW(tbl_Extraction[#Headers])</f>
        <v>13</v>
      </c>
      <c r="K15" t="s">
        <v>1851</v>
      </c>
      <c r="L15" t="s">
        <v>1877</v>
      </c>
      <c r="M15" t="s">
        <v>238</v>
      </c>
      <c r="N15" t="s">
        <v>1847</v>
      </c>
      <c r="O15" t="s">
        <v>244</v>
      </c>
      <c r="P15" t="s">
        <v>245</v>
      </c>
      <c r="S15" t="s">
        <v>1946</v>
      </c>
      <c r="U15" cm="1">
        <f t="array" ref="U15">ROW()-ROW(tbl_Profiles[#Headers])</f>
        <v>13</v>
      </c>
      <c r="V15" t="s">
        <v>1950</v>
      </c>
      <c r="W15" t="s">
        <v>241</v>
      </c>
      <c r="X15" s="2" t="s">
        <v>70</v>
      </c>
      <c r="Y15" s="14" t="s">
        <v>73</v>
      </c>
      <c r="Z15" s="14"/>
      <c r="AA15" s="14"/>
      <c r="AB15" s="14"/>
      <c r="AC15" s="14"/>
      <c r="AD15" s="14"/>
      <c r="AE15" s="15"/>
    </row>
    <row r="16" spans="1:31" x14ac:dyDescent="0.25">
      <c r="J16" cm="1">
        <f t="array" ref="J16">ROW()-ROW(tbl_Extraction[#Headers])</f>
        <v>14</v>
      </c>
      <c r="K16" t="s">
        <v>1851</v>
      </c>
      <c r="L16" t="s">
        <v>1879</v>
      </c>
      <c r="M16" t="s">
        <v>238</v>
      </c>
      <c r="N16" t="s">
        <v>1847</v>
      </c>
      <c r="O16" t="s">
        <v>244</v>
      </c>
      <c r="P16" t="s">
        <v>245</v>
      </c>
      <c r="S16" t="s">
        <v>1946</v>
      </c>
      <c r="U16" cm="1">
        <f t="array" ref="U16">ROW()-ROW(tbl_Profiles[#Headers])</f>
        <v>14</v>
      </c>
      <c r="V16" t="s">
        <v>1951</v>
      </c>
      <c r="W16" t="s">
        <v>240</v>
      </c>
      <c r="X16" s="2" t="s">
        <v>70</v>
      </c>
      <c r="Y16" s="14" t="s">
        <v>73</v>
      </c>
      <c r="Z16" s="14"/>
      <c r="AA16" s="14"/>
      <c r="AB16" s="14"/>
      <c r="AC16" s="14"/>
      <c r="AD16" s="14"/>
      <c r="AE16" s="15"/>
    </row>
    <row r="17" spans="10:31" x14ac:dyDescent="0.25">
      <c r="J17" cm="1">
        <f t="array" ref="J17">ROW()-ROW(tbl_Extraction[#Headers])</f>
        <v>15</v>
      </c>
      <c r="K17" t="s">
        <v>1851</v>
      </c>
      <c r="L17" t="s">
        <v>1880</v>
      </c>
      <c r="M17" t="s">
        <v>238</v>
      </c>
      <c r="N17" t="s">
        <v>1847</v>
      </c>
      <c r="O17" t="s">
        <v>244</v>
      </c>
      <c r="P17" t="s">
        <v>245</v>
      </c>
      <c r="S17" t="s">
        <v>1946</v>
      </c>
      <c r="U17" cm="1">
        <f t="array" ref="U17">ROW()-ROW(tbl_Profiles[#Headers])</f>
        <v>15</v>
      </c>
      <c r="V17" t="s">
        <v>1952</v>
      </c>
      <c r="W17" t="s">
        <v>238</v>
      </c>
      <c r="X17" s="2" t="s">
        <v>95</v>
      </c>
      <c r="Y17" s="14" t="s">
        <v>99</v>
      </c>
      <c r="Z17" s="14" t="s">
        <v>103</v>
      </c>
      <c r="AA17" s="14" t="s">
        <v>107</v>
      </c>
      <c r="AB17" s="14"/>
      <c r="AC17" s="14"/>
      <c r="AD17" s="14"/>
      <c r="AE17" s="15"/>
    </row>
    <row r="18" spans="10:31" x14ac:dyDescent="0.25">
      <c r="J18" cm="1">
        <f t="array" ref="J18">ROW()-ROW(tbl_Extraction[#Headers])</f>
        <v>16</v>
      </c>
      <c r="K18" t="s">
        <v>1851</v>
      </c>
      <c r="L18" t="s">
        <v>1883</v>
      </c>
      <c r="M18" t="s">
        <v>240</v>
      </c>
      <c r="N18" t="s">
        <v>1892</v>
      </c>
      <c r="O18" t="s">
        <v>1893</v>
      </c>
      <c r="P18" t="s">
        <v>266</v>
      </c>
      <c r="Q18" t="s">
        <v>1894</v>
      </c>
      <c r="S18" t="s">
        <v>1947</v>
      </c>
      <c r="U18" cm="1">
        <f t="array" ref="U18">ROW()-ROW(tbl_Profiles[#Headers])</f>
        <v>16</v>
      </c>
      <c r="V18" t="s">
        <v>1953</v>
      </c>
      <c r="W18" t="s">
        <v>241</v>
      </c>
      <c r="X18" s="2" t="s">
        <v>70</v>
      </c>
      <c r="Y18" s="14" t="s">
        <v>73</v>
      </c>
      <c r="Z18" s="14"/>
      <c r="AA18" s="14"/>
      <c r="AB18" s="14"/>
      <c r="AC18" s="14"/>
      <c r="AD18" s="14"/>
      <c r="AE18" s="15"/>
    </row>
    <row r="19" spans="10:31" x14ac:dyDescent="0.25">
      <c r="J19" cm="1">
        <f t="array" ref="J19">ROW()-ROW(tbl_Extraction[#Headers])</f>
        <v>17</v>
      </c>
      <c r="K19" t="s">
        <v>1851</v>
      </c>
      <c r="L19" t="s">
        <v>1884</v>
      </c>
      <c r="M19" t="s">
        <v>240</v>
      </c>
      <c r="N19" t="s">
        <v>1892</v>
      </c>
      <c r="O19" t="s">
        <v>1893</v>
      </c>
      <c r="P19" t="s">
        <v>266</v>
      </c>
      <c r="Q19" t="s">
        <v>1894</v>
      </c>
      <c r="S19" t="s">
        <v>1947</v>
      </c>
      <c r="U19" cm="1">
        <f t="array" ref="U19">ROW()-ROW(tbl_Profiles[#Headers])</f>
        <v>17</v>
      </c>
      <c r="V19" t="s">
        <v>1954</v>
      </c>
      <c r="W19" t="s">
        <v>240</v>
      </c>
      <c r="X19" s="2" t="s">
        <v>70</v>
      </c>
      <c r="Y19" s="14" t="s">
        <v>73</v>
      </c>
      <c r="Z19" s="14"/>
      <c r="AA19" s="14"/>
      <c r="AB19" s="14"/>
      <c r="AC19" s="14"/>
      <c r="AD19" s="14"/>
      <c r="AE19" s="15"/>
    </row>
    <row r="20" spans="10:31" x14ac:dyDescent="0.25">
      <c r="J20" cm="1">
        <f t="array" ref="J20">ROW()-ROW(tbl_Extraction[#Headers])</f>
        <v>18</v>
      </c>
      <c r="K20" t="s">
        <v>1851</v>
      </c>
      <c r="L20" t="s">
        <v>1885</v>
      </c>
      <c r="M20" t="s">
        <v>240</v>
      </c>
      <c r="N20" t="s">
        <v>1892</v>
      </c>
      <c r="O20" t="s">
        <v>1893</v>
      </c>
      <c r="P20" t="s">
        <v>266</v>
      </c>
      <c r="Q20" t="s">
        <v>1894</v>
      </c>
      <c r="S20" t="s">
        <v>1947</v>
      </c>
      <c r="U20" cm="1">
        <f t="array" ref="U20">ROW()-ROW(tbl_Profiles[#Headers])</f>
        <v>18</v>
      </c>
      <c r="V20" t="s">
        <v>1955</v>
      </c>
      <c r="W20" t="s">
        <v>238</v>
      </c>
      <c r="X20" s="2" t="s">
        <v>95</v>
      </c>
      <c r="Y20" s="14" t="s">
        <v>99</v>
      </c>
      <c r="Z20" s="14" t="s">
        <v>103</v>
      </c>
      <c r="AA20" s="14" t="s">
        <v>107</v>
      </c>
      <c r="AB20" s="14"/>
      <c r="AC20" s="14"/>
      <c r="AD20" s="14"/>
      <c r="AE20" s="15"/>
    </row>
    <row r="21" spans="10:31" x14ac:dyDescent="0.25">
      <c r="J21" cm="1">
        <f t="array" ref="J21">ROW()-ROW(tbl_Extraction[#Headers])</f>
        <v>19</v>
      </c>
      <c r="K21" t="s">
        <v>1851</v>
      </c>
      <c r="L21" t="s">
        <v>1886</v>
      </c>
      <c r="M21" t="s">
        <v>240</v>
      </c>
      <c r="N21" t="s">
        <v>1892</v>
      </c>
      <c r="O21" t="s">
        <v>1893</v>
      </c>
      <c r="P21" t="s">
        <v>266</v>
      </c>
      <c r="Q21" t="s">
        <v>1894</v>
      </c>
      <c r="S21" t="s">
        <v>1947</v>
      </c>
      <c r="U21" cm="1">
        <f t="array" ref="U21">ROW()-ROW(tbl_Profiles[#Headers])</f>
        <v>19</v>
      </c>
      <c r="V21" t="s">
        <v>1956</v>
      </c>
      <c r="W21" t="s">
        <v>241</v>
      </c>
      <c r="X21" s="2" t="s">
        <v>10</v>
      </c>
      <c r="Y21" s="14"/>
      <c r="Z21" s="14"/>
      <c r="AA21" s="14"/>
      <c r="AB21" s="14"/>
      <c r="AC21" s="14"/>
      <c r="AD21" s="14"/>
      <c r="AE21" s="15"/>
    </row>
    <row r="22" spans="10:31" x14ac:dyDescent="0.25">
      <c r="J22" cm="1">
        <f t="array" ref="J22">ROW()-ROW(tbl_Extraction[#Headers])</f>
        <v>20</v>
      </c>
      <c r="K22" t="s">
        <v>1851</v>
      </c>
      <c r="L22" t="s">
        <v>1889</v>
      </c>
      <c r="M22" t="s">
        <v>240</v>
      </c>
      <c r="N22" t="s">
        <v>1892</v>
      </c>
      <c r="O22" t="s">
        <v>1893</v>
      </c>
      <c r="P22" t="s">
        <v>266</v>
      </c>
      <c r="Q22" t="s">
        <v>1894</v>
      </c>
      <c r="S22" t="s">
        <v>1947</v>
      </c>
      <c r="U22" cm="1">
        <f t="array" ref="U22">ROW()-ROW(tbl_Profiles[#Headers])</f>
        <v>20</v>
      </c>
      <c r="V22" t="s">
        <v>1957</v>
      </c>
      <c r="W22" t="s">
        <v>240</v>
      </c>
      <c r="X22" s="2" t="s">
        <v>10</v>
      </c>
      <c r="Y22" s="14"/>
      <c r="Z22" s="14"/>
      <c r="AA22" s="14"/>
      <c r="AB22" s="14"/>
      <c r="AC22" s="14"/>
      <c r="AD22" s="14"/>
      <c r="AE22" s="15"/>
    </row>
    <row r="23" spans="10:31" ht="15.75" thickBot="1" x14ac:dyDescent="0.3">
      <c r="J23" cm="1">
        <f t="array" ref="J23">ROW()-ROW(tbl_Extraction[#Headers])</f>
        <v>21</v>
      </c>
      <c r="K23" t="s">
        <v>1851</v>
      </c>
      <c r="L23" t="s">
        <v>1883</v>
      </c>
      <c r="M23" t="s">
        <v>238</v>
      </c>
      <c r="N23" t="s">
        <v>1847</v>
      </c>
      <c r="O23" t="s">
        <v>244</v>
      </c>
      <c r="P23" t="s">
        <v>245</v>
      </c>
      <c r="S23" t="s">
        <v>1948</v>
      </c>
      <c r="U23" cm="1">
        <f t="array" ref="U23">ROW()-ROW(tbl_Profiles[#Headers])</f>
        <v>21</v>
      </c>
      <c r="V23" t="s">
        <v>1958</v>
      </c>
      <c r="W23" t="s">
        <v>238</v>
      </c>
      <c r="X23" s="16" t="s">
        <v>95</v>
      </c>
      <c r="Y23" s="17" t="s">
        <v>99</v>
      </c>
      <c r="Z23" s="17" t="s">
        <v>103</v>
      </c>
      <c r="AA23" s="17" t="s">
        <v>107</v>
      </c>
      <c r="AB23" s="17"/>
      <c r="AC23" s="17"/>
      <c r="AD23" s="17"/>
      <c r="AE23" s="18"/>
    </row>
    <row r="24" spans="10:31" x14ac:dyDescent="0.25">
      <c r="J24" cm="1">
        <f t="array" ref="J24">ROW()-ROW(tbl_Extraction[#Headers])</f>
        <v>22</v>
      </c>
      <c r="K24" t="s">
        <v>1851</v>
      </c>
      <c r="L24" t="s">
        <v>1884</v>
      </c>
      <c r="M24" t="s">
        <v>238</v>
      </c>
      <c r="N24" t="s">
        <v>1847</v>
      </c>
      <c r="O24" t="s">
        <v>244</v>
      </c>
      <c r="P24" t="s">
        <v>245</v>
      </c>
      <c r="S24" t="s">
        <v>1948</v>
      </c>
    </row>
    <row r="25" spans="10:31" x14ac:dyDescent="0.25">
      <c r="J25" cm="1">
        <f t="array" ref="J25">ROW()-ROW(tbl_Extraction[#Headers])</f>
        <v>23</v>
      </c>
      <c r="K25" t="s">
        <v>1851</v>
      </c>
      <c r="L25" t="s">
        <v>1885</v>
      </c>
      <c r="M25" t="s">
        <v>238</v>
      </c>
      <c r="N25" t="s">
        <v>1847</v>
      </c>
      <c r="O25" t="s">
        <v>244</v>
      </c>
      <c r="P25" t="s">
        <v>245</v>
      </c>
      <c r="S25" t="s">
        <v>1948</v>
      </c>
    </row>
    <row r="26" spans="10:31" x14ac:dyDescent="0.25">
      <c r="J26" cm="1">
        <f t="array" ref="J26">ROW()-ROW(tbl_Extraction[#Headers])</f>
        <v>24</v>
      </c>
      <c r="K26" t="s">
        <v>1851</v>
      </c>
      <c r="L26" t="s">
        <v>1886</v>
      </c>
      <c r="M26" t="s">
        <v>238</v>
      </c>
      <c r="N26" t="s">
        <v>1847</v>
      </c>
      <c r="O26" t="s">
        <v>244</v>
      </c>
      <c r="P26" t="s">
        <v>245</v>
      </c>
      <c r="S26" t="s">
        <v>1948</v>
      </c>
    </row>
    <row r="27" spans="10:31" x14ac:dyDescent="0.25">
      <c r="J27" cm="1">
        <f t="array" ref="J27">ROW()-ROW(tbl_Extraction[#Headers])</f>
        <v>25</v>
      </c>
      <c r="K27" t="s">
        <v>1851</v>
      </c>
      <c r="L27" t="s">
        <v>1889</v>
      </c>
      <c r="M27" t="s">
        <v>238</v>
      </c>
      <c r="N27" t="s">
        <v>1847</v>
      </c>
      <c r="O27" t="s">
        <v>244</v>
      </c>
      <c r="P27" t="s">
        <v>245</v>
      </c>
      <c r="S27" t="s">
        <v>1948</v>
      </c>
    </row>
    <row r="28" spans="10:31" x14ac:dyDescent="0.25">
      <c r="J28" cm="1">
        <f t="array" ref="J28">ROW()-ROW(tbl_Extraction[#Headers])</f>
        <v>26</v>
      </c>
      <c r="K28" t="s">
        <v>1902</v>
      </c>
      <c r="L28" t="s">
        <v>1880</v>
      </c>
      <c r="M28" t="s">
        <v>238</v>
      </c>
      <c r="N28" t="s">
        <v>1847</v>
      </c>
      <c r="O28" t="s">
        <v>244</v>
      </c>
      <c r="P28" t="s">
        <v>245</v>
      </c>
      <c r="S28" t="s">
        <v>1941</v>
      </c>
    </row>
    <row r="29" spans="10:31" x14ac:dyDescent="0.25">
      <c r="J29" cm="1">
        <f t="array" ref="J29">ROW()-ROW(tbl_Extraction[#Headers])</f>
        <v>27</v>
      </c>
      <c r="K29" t="s">
        <v>1902</v>
      </c>
      <c r="L29" t="s">
        <v>1878</v>
      </c>
      <c r="M29" t="s">
        <v>240</v>
      </c>
      <c r="N29" t="s">
        <v>1892</v>
      </c>
      <c r="S29" t="s">
        <v>1940</v>
      </c>
    </row>
    <row r="30" spans="10:31" x14ac:dyDescent="0.25">
      <c r="J30" cm="1">
        <f t="array" ref="J30">ROW()-ROW(tbl_Extraction[#Headers])</f>
        <v>28</v>
      </c>
      <c r="K30" t="s">
        <v>1902</v>
      </c>
      <c r="L30" t="s">
        <v>1876</v>
      </c>
      <c r="M30" t="s">
        <v>240</v>
      </c>
      <c r="N30" t="s">
        <v>1893</v>
      </c>
      <c r="S30" t="s">
        <v>1940</v>
      </c>
    </row>
    <row r="31" spans="10:31" x14ac:dyDescent="0.25">
      <c r="J31" cm="1">
        <f t="array" ref="J31">ROW()-ROW(tbl_Extraction[#Headers])</f>
        <v>29</v>
      </c>
      <c r="K31" t="s">
        <v>1902</v>
      </c>
      <c r="L31" t="s">
        <v>1872</v>
      </c>
      <c r="M31" t="s">
        <v>240</v>
      </c>
      <c r="N31" t="s">
        <v>266</v>
      </c>
      <c r="S31" t="s">
        <v>1940</v>
      </c>
    </row>
    <row r="32" spans="10:31" x14ac:dyDescent="0.25">
      <c r="J32" cm="1">
        <f t="array" ref="J32">ROW()-ROW(tbl_Extraction[#Headers])</f>
        <v>30</v>
      </c>
      <c r="K32" t="s">
        <v>1904</v>
      </c>
      <c r="L32" t="s">
        <v>1880</v>
      </c>
      <c r="M32" t="s">
        <v>238</v>
      </c>
      <c r="N32" t="s">
        <v>1847</v>
      </c>
      <c r="O32" t="s">
        <v>244</v>
      </c>
      <c r="P32" t="s">
        <v>245</v>
      </c>
      <c r="S32" t="s">
        <v>1944</v>
      </c>
    </row>
    <row r="33" spans="10:19" x14ac:dyDescent="0.25">
      <c r="J33" cm="1">
        <f t="array" ref="J33">ROW()-ROW(tbl_Extraction[#Headers])</f>
        <v>31</v>
      </c>
      <c r="K33" t="s">
        <v>1904</v>
      </c>
      <c r="L33" t="s">
        <v>1878</v>
      </c>
      <c r="M33" t="s">
        <v>240</v>
      </c>
      <c r="N33" t="s">
        <v>1892</v>
      </c>
      <c r="S33" t="s">
        <v>1943</v>
      </c>
    </row>
    <row r="34" spans="10:19" x14ac:dyDescent="0.25">
      <c r="J34" cm="1">
        <f t="array" ref="J34">ROW()-ROW(tbl_Extraction[#Headers])</f>
        <v>32</v>
      </c>
      <c r="K34" t="s">
        <v>1904</v>
      </c>
      <c r="L34" t="s">
        <v>1876</v>
      </c>
      <c r="M34" t="s">
        <v>240</v>
      </c>
      <c r="N34" t="s">
        <v>1893</v>
      </c>
      <c r="S34" t="s">
        <v>1943</v>
      </c>
    </row>
    <row r="35" spans="10:19" x14ac:dyDescent="0.25">
      <c r="J35" cm="1">
        <f t="array" ref="J35">ROW()-ROW(tbl_Extraction[#Headers])</f>
        <v>33</v>
      </c>
      <c r="K35" t="s">
        <v>1904</v>
      </c>
      <c r="L35" t="s">
        <v>1872</v>
      </c>
      <c r="M35" t="s">
        <v>240</v>
      </c>
      <c r="N35" t="s">
        <v>266</v>
      </c>
      <c r="S35" t="s">
        <v>1943</v>
      </c>
    </row>
    <row r="36" spans="10:19" x14ac:dyDescent="0.25">
      <c r="J36" cm="1">
        <f t="array" ref="J36">ROW()-ROW(tbl_Extraction[#Headers])</f>
        <v>34</v>
      </c>
      <c r="K36" t="s">
        <v>1905</v>
      </c>
      <c r="L36" t="s">
        <v>1859</v>
      </c>
      <c r="M36" t="s">
        <v>238</v>
      </c>
      <c r="N36" t="s">
        <v>1847</v>
      </c>
      <c r="O36" t="s">
        <v>244</v>
      </c>
      <c r="P36" t="s">
        <v>245</v>
      </c>
      <c r="S36" t="s">
        <v>1949</v>
      </c>
    </row>
    <row r="37" spans="10:19" x14ac:dyDescent="0.25">
      <c r="J37" cm="1">
        <f t="array" ref="J37">ROW()-ROW(tbl_Extraction[#Headers])</f>
        <v>35</v>
      </c>
      <c r="K37" t="s">
        <v>1905</v>
      </c>
      <c r="L37" t="s">
        <v>1861</v>
      </c>
      <c r="M37" t="s">
        <v>238</v>
      </c>
      <c r="N37" t="s">
        <v>1847</v>
      </c>
      <c r="O37" t="s">
        <v>244</v>
      </c>
      <c r="P37" t="s">
        <v>245</v>
      </c>
      <c r="S37" t="s">
        <v>1949</v>
      </c>
    </row>
    <row r="38" spans="10:19" x14ac:dyDescent="0.25">
      <c r="J38" cm="1">
        <f t="array" ref="J38">ROW()-ROW(tbl_Extraction[#Headers])</f>
        <v>36</v>
      </c>
      <c r="K38" t="s">
        <v>1905</v>
      </c>
      <c r="L38" t="s">
        <v>1863</v>
      </c>
      <c r="M38" t="s">
        <v>238</v>
      </c>
      <c r="N38" t="s">
        <v>1847</v>
      </c>
      <c r="O38" t="s">
        <v>244</v>
      </c>
      <c r="P38" t="s">
        <v>245</v>
      </c>
      <c r="S38" t="s">
        <v>1949</v>
      </c>
    </row>
    <row r="39" spans="10:19" x14ac:dyDescent="0.25">
      <c r="J39" cm="1">
        <f t="array" ref="J39">ROW()-ROW(tbl_Extraction[#Headers])</f>
        <v>37</v>
      </c>
      <c r="K39" t="s">
        <v>1905</v>
      </c>
      <c r="L39" t="s">
        <v>1865</v>
      </c>
      <c r="M39" t="s">
        <v>238</v>
      </c>
      <c r="N39" t="s">
        <v>1847</v>
      </c>
      <c r="O39" t="s">
        <v>244</v>
      </c>
      <c r="P39" t="s">
        <v>245</v>
      </c>
      <c r="S39" t="s">
        <v>1949</v>
      </c>
    </row>
    <row r="40" spans="10:19" x14ac:dyDescent="0.25">
      <c r="J40" cm="1">
        <f t="array" ref="J40">ROW()-ROW(tbl_Extraction[#Headers])</f>
        <v>38</v>
      </c>
      <c r="K40" t="s">
        <v>1905</v>
      </c>
      <c r="L40" t="s">
        <v>1867</v>
      </c>
      <c r="M40" t="s">
        <v>238</v>
      </c>
      <c r="N40" t="s">
        <v>1847</v>
      </c>
      <c r="O40" t="s">
        <v>244</v>
      </c>
      <c r="P40" t="s">
        <v>245</v>
      </c>
      <c r="S40" t="s">
        <v>1949</v>
      </c>
    </row>
    <row r="41" spans="10:19" x14ac:dyDescent="0.25">
      <c r="J41" cm="1">
        <f t="array" ref="J41">ROW()-ROW(tbl_Extraction[#Headers])</f>
        <v>39</v>
      </c>
      <c r="K41" t="s">
        <v>1905</v>
      </c>
      <c r="L41" t="s">
        <v>1869</v>
      </c>
      <c r="M41" t="s">
        <v>238</v>
      </c>
      <c r="N41" t="s">
        <v>1847</v>
      </c>
      <c r="O41" t="s">
        <v>244</v>
      </c>
      <c r="P41" t="s">
        <v>245</v>
      </c>
      <c r="S41" t="s">
        <v>1949</v>
      </c>
    </row>
    <row r="42" spans="10:19" x14ac:dyDescent="0.25">
      <c r="J42" cm="1">
        <f t="array" ref="J42">ROW()-ROW(tbl_Extraction[#Headers])</f>
        <v>40</v>
      </c>
      <c r="K42" t="s">
        <v>1905</v>
      </c>
      <c r="L42" t="s">
        <v>1871</v>
      </c>
      <c r="M42" t="s">
        <v>238</v>
      </c>
      <c r="N42" t="s">
        <v>1847</v>
      </c>
      <c r="O42" t="s">
        <v>244</v>
      </c>
      <c r="P42" t="s">
        <v>245</v>
      </c>
      <c r="S42" t="s">
        <v>1949</v>
      </c>
    </row>
    <row r="43" spans="10:19" x14ac:dyDescent="0.25">
      <c r="J43" cm="1">
        <f t="array" ref="J43">ROW()-ROW(tbl_Extraction[#Headers])</f>
        <v>41</v>
      </c>
      <c r="K43" t="s">
        <v>1905</v>
      </c>
      <c r="L43" t="s">
        <v>1873</v>
      </c>
      <c r="M43" t="s">
        <v>238</v>
      </c>
      <c r="N43" t="s">
        <v>1847</v>
      </c>
      <c r="O43" t="s">
        <v>244</v>
      </c>
      <c r="P43" t="s">
        <v>245</v>
      </c>
      <c r="S43" t="s">
        <v>1949</v>
      </c>
    </row>
    <row r="44" spans="10:19" x14ac:dyDescent="0.25">
      <c r="J44" cm="1">
        <f t="array" ref="J44">ROW()-ROW(tbl_Extraction[#Headers])</f>
        <v>42</v>
      </c>
      <c r="K44" t="s">
        <v>1905</v>
      </c>
      <c r="L44" t="s">
        <v>1875</v>
      </c>
      <c r="M44" t="s">
        <v>238</v>
      </c>
      <c r="N44" t="s">
        <v>1847</v>
      </c>
      <c r="O44" t="s">
        <v>244</v>
      </c>
      <c r="P44" t="s">
        <v>245</v>
      </c>
      <c r="S44" t="s">
        <v>1949</v>
      </c>
    </row>
    <row r="45" spans="10:19" x14ac:dyDescent="0.25">
      <c r="J45" cm="1">
        <f t="array" ref="J45">ROW()-ROW(tbl_Extraction[#Headers])</f>
        <v>43</v>
      </c>
      <c r="K45" t="s">
        <v>1905</v>
      </c>
      <c r="L45" t="s">
        <v>1877</v>
      </c>
      <c r="M45" t="s">
        <v>238</v>
      </c>
      <c r="N45" t="s">
        <v>1847</v>
      </c>
      <c r="O45" t="s">
        <v>244</v>
      </c>
      <c r="P45" t="s">
        <v>245</v>
      </c>
      <c r="S45" t="s">
        <v>1949</v>
      </c>
    </row>
    <row r="46" spans="10:19" x14ac:dyDescent="0.25">
      <c r="J46" cm="1">
        <f t="array" ref="J46">ROW()-ROW(tbl_Extraction[#Headers])</f>
        <v>44</v>
      </c>
      <c r="K46" t="s">
        <v>1905</v>
      </c>
      <c r="L46" t="s">
        <v>1879</v>
      </c>
      <c r="M46" t="s">
        <v>238</v>
      </c>
      <c r="N46" t="s">
        <v>1847</v>
      </c>
      <c r="O46" t="s">
        <v>244</v>
      </c>
      <c r="P46" t="s">
        <v>245</v>
      </c>
      <c r="S46" t="s">
        <v>1949</v>
      </c>
    </row>
    <row r="47" spans="10:19" x14ac:dyDescent="0.25">
      <c r="J47" cm="1">
        <f t="array" ref="J47">ROW()-ROW(tbl_Extraction[#Headers])</f>
        <v>45</v>
      </c>
      <c r="K47" t="s">
        <v>1905</v>
      </c>
      <c r="L47" t="s">
        <v>1880</v>
      </c>
      <c r="M47" t="s">
        <v>238</v>
      </c>
      <c r="N47" t="s">
        <v>1847</v>
      </c>
      <c r="O47" t="s">
        <v>244</v>
      </c>
      <c r="P47" t="s">
        <v>245</v>
      </c>
      <c r="S47" t="s">
        <v>1949</v>
      </c>
    </row>
    <row r="48" spans="10:19" x14ac:dyDescent="0.25">
      <c r="J48" cm="1">
        <f t="array" ref="J48">ROW()-ROW(tbl_Extraction[#Headers])</f>
        <v>46</v>
      </c>
      <c r="K48" t="s">
        <v>1905</v>
      </c>
      <c r="L48" t="s">
        <v>1883</v>
      </c>
      <c r="M48" t="s">
        <v>240</v>
      </c>
      <c r="N48" t="s">
        <v>1892</v>
      </c>
      <c r="O48" t="s">
        <v>1893</v>
      </c>
      <c r="P48" t="s">
        <v>266</v>
      </c>
      <c r="Q48" t="s">
        <v>1894</v>
      </c>
      <c r="S48" t="s">
        <v>1957</v>
      </c>
    </row>
    <row r="49" spans="10:19" x14ac:dyDescent="0.25">
      <c r="J49" cm="1">
        <f t="array" ref="J49">ROW()-ROW(tbl_Extraction[#Headers])</f>
        <v>47</v>
      </c>
      <c r="K49" t="s">
        <v>1905</v>
      </c>
      <c r="L49" t="s">
        <v>1884</v>
      </c>
      <c r="M49" t="s">
        <v>240</v>
      </c>
      <c r="N49" t="s">
        <v>1892</v>
      </c>
      <c r="O49" t="s">
        <v>1893</v>
      </c>
      <c r="P49" t="s">
        <v>266</v>
      </c>
      <c r="Q49" t="s">
        <v>1894</v>
      </c>
      <c r="S49" t="s">
        <v>1957</v>
      </c>
    </row>
    <row r="50" spans="10:19" x14ac:dyDescent="0.25">
      <c r="J50" cm="1">
        <f t="array" ref="J50">ROW()-ROW(tbl_Extraction[#Headers])</f>
        <v>48</v>
      </c>
      <c r="K50" t="s">
        <v>1905</v>
      </c>
      <c r="L50" t="s">
        <v>1885</v>
      </c>
      <c r="M50" t="s">
        <v>240</v>
      </c>
      <c r="N50" t="s">
        <v>1892</v>
      </c>
      <c r="O50" t="s">
        <v>1893</v>
      </c>
      <c r="P50" t="s">
        <v>266</v>
      </c>
      <c r="Q50" t="s">
        <v>1894</v>
      </c>
      <c r="S50" t="s">
        <v>1957</v>
      </c>
    </row>
    <row r="51" spans="10:19" x14ac:dyDescent="0.25">
      <c r="J51" cm="1">
        <f t="array" ref="J51">ROW()-ROW(tbl_Extraction[#Headers])</f>
        <v>49</v>
      </c>
      <c r="K51" t="s">
        <v>1905</v>
      </c>
      <c r="L51" t="s">
        <v>1886</v>
      </c>
      <c r="M51" t="s">
        <v>240</v>
      </c>
      <c r="N51" t="s">
        <v>1892</v>
      </c>
      <c r="O51" t="s">
        <v>1893</v>
      </c>
      <c r="P51" t="s">
        <v>266</v>
      </c>
      <c r="Q51" t="s">
        <v>1894</v>
      </c>
      <c r="S51" t="s">
        <v>1957</v>
      </c>
    </row>
    <row r="52" spans="10:19" x14ac:dyDescent="0.25">
      <c r="J52" cm="1">
        <f t="array" ref="J52">ROW()-ROW(tbl_Extraction[#Headers])</f>
        <v>50</v>
      </c>
      <c r="K52" t="s">
        <v>1905</v>
      </c>
      <c r="L52" t="s">
        <v>1889</v>
      </c>
      <c r="M52" t="s">
        <v>240</v>
      </c>
      <c r="N52" t="s">
        <v>1892</v>
      </c>
      <c r="O52" t="s">
        <v>1893</v>
      </c>
      <c r="P52" t="s">
        <v>266</v>
      </c>
      <c r="Q52" t="s">
        <v>1894</v>
      </c>
      <c r="S52" t="s">
        <v>1957</v>
      </c>
    </row>
    <row r="53" spans="10:19" x14ac:dyDescent="0.25">
      <c r="J53" cm="1">
        <f t="array" ref="J53">ROW()-ROW(tbl_Extraction[#Headers])</f>
        <v>51</v>
      </c>
      <c r="K53" t="s">
        <v>1905</v>
      </c>
      <c r="L53" t="s">
        <v>1883</v>
      </c>
      <c r="M53" t="s">
        <v>238</v>
      </c>
      <c r="N53" t="s">
        <v>1847</v>
      </c>
      <c r="O53" t="s">
        <v>244</v>
      </c>
      <c r="P53" t="s">
        <v>245</v>
      </c>
      <c r="S53" t="s">
        <v>1958</v>
      </c>
    </row>
    <row r="54" spans="10:19" x14ac:dyDescent="0.25">
      <c r="J54" cm="1">
        <f t="array" ref="J54">ROW()-ROW(tbl_Extraction[#Headers])</f>
        <v>52</v>
      </c>
      <c r="K54" t="s">
        <v>1905</v>
      </c>
      <c r="L54" t="s">
        <v>1884</v>
      </c>
      <c r="M54" t="s">
        <v>238</v>
      </c>
      <c r="N54" t="s">
        <v>1847</v>
      </c>
      <c r="O54" t="s">
        <v>244</v>
      </c>
      <c r="P54" t="s">
        <v>245</v>
      </c>
      <c r="S54" t="s">
        <v>1958</v>
      </c>
    </row>
    <row r="55" spans="10:19" x14ac:dyDescent="0.25">
      <c r="J55" cm="1">
        <f t="array" ref="J55">ROW()-ROW(tbl_Extraction[#Headers])</f>
        <v>53</v>
      </c>
      <c r="K55" t="s">
        <v>1905</v>
      </c>
      <c r="L55" t="s">
        <v>1885</v>
      </c>
      <c r="M55" t="s">
        <v>238</v>
      </c>
      <c r="N55" t="s">
        <v>1847</v>
      </c>
      <c r="O55" t="s">
        <v>244</v>
      </c>
      <c r="P55" t="s">
        <v>245</v>
      </c>
      <c r="S55" t="s">
        <v>1958</v>
      </c>
    </row>
    <row r="56" spans="10:19" x14ac:dyDescent="0.25">
      <c r="J56" cm="1">
        <f t="array" ref="J56">ROW()-ROW(tbl_Extraction[#Headers])</f>
        <v>54</v>
      </c>
      <c r="K56" t="s">
        <v>1905</v>
      </c>
      <c r="L56" t="s">
        <v>1886</v>
      </c>
      <c r="M56" t="s">
        <v>238</v>
      </c>
      <c r="N56" t="s">
        <v>1847</v>
      </c>
      <c r="O56" t="s">
        <v>244</v>
      </c>
      <c r="P56" t="s">
        <v>245</v>
      </c>
      <c r="S56" t="s">
        <v>1958</v>
      </c>
    </row>
    <row r="57" spans="10:19" x14ac:dyDescent="0.25">
      <c r="J57" cm="1">
        <f t="array" ref="J57">ROW()-ROW(tbl_Extraction[#Headers])</f>
        <v>55</v>
      </c>
      <c r="K57" t="s">
        <v>1905</v>
      </c>
      <c r="L57" t="s">
        <v>1889</v>
      </c>
      <c r="M57" t="s">
        <v>238</v>
      </c>
      <c r="N57" t="s">
        <v>1847</v>
      </c>
      <c r="O57" t="s">
        <v>244</v>
      </c>
      <c r="P57" t="s">
        <v>245</v>
      </c>
      <c r="S57" t="s">
        <v>1958</v>
      </c>
    </row>
    <row r="58" spans="10:19" x14ac:dyDescent="0.25">
      <c r="J58" cm="1">
        <f t="array" ref="J58">ROW()-ROW(tbl_Extraction[#Headers])</f>
        <v>56</v>
      </c>
      <c r="K58" t="s">
        <v>1906</v>
      </c>
      <c r="L58" t="s">
        <v>1880</v>
      </c>
      <c r="M58" t="s">
        <v>238</v>
      </c>
      <c r="N58" t="s">
        <v>1847</v>
      </c>
      <c r="O58" t="s">
        <v>244</v>
      </c>
      <c r="P58" t="s">
        <v>245</v>
      </c>
      <c r="S58" t="s">
        <v>1952</v>
      </c>
    </row>
    <row r="59" spans="10:19" x14ac:dyDescent="0.25">
      <c r="J59" cm="1">
        <f t="array" ref="J59">ROW()-ROW(tbl_Extraction[#Headers])</f>
        <v>57</v>
      </c>
      <c r="K59" t="s">
        <v>1906</v>
      </c>
      <c r="L59" t="s">
        <v>1878</v>
      </c>
      <c r="M59" t="s">
        <v>240</v>
      </c>
      <c r="N59" t="s">
        <v>1892</v>
      </c>
      <c r="S59" t="s">
        <v>1951</v>
      </c>
    </row>
    <row r="60" spans="10:19" x14ac:dyDescent="0.25">
      <c r="J60" cm="1">
        <f t="array" ref="J60">ROW()-ROW(tbl_Extraction[#Headers])</f>
        <v>58</v>
      </c>
      <c r="K60" t="s">
        <v>1906</v>
      </c>
      <c r="L60" t="s">
        <v>1876</v>
      </c>
      <c r="M60" t="s">
        <v>240</v>
      </c>
      <c r="N60" t="s">
        <v>1893</v>
      </c>
      <c r="S60" t="s">
        <v>1951</v>
      </c>
    </row>
    <row r="61" spans="10:19" x14ac:dyDescent="0.25">
      <c r="J61" cm="1">
        <f t="array" ref="J61">ROW()-ROW(tbl_Extraction[#Headers])</f>
        <v>59</v>
      </c>
      <c r="K61" t="s">
        <v>1906</v>
      </c>
      <c r="L61" t="s">
        <v>1872</v>
      </c>
      <c r="M61" t="s">
        <v>240</v>
      </c>
      <c r="N61" t="s">
        <v>266</v>
      </c>
      <c r="S61" t="s">
        <v>1951</v>
      </c>
    </row>
    <row r="62" spans="10:19" x14ac:dyDescent="0.25">
      <c r="J62" cm="1">
        <f t="array" ref="J62">ROW()-ROW(tbl_Extraction[#Headers])</f>
        <v>60</v>
      </c>
      <c r="K62" t="s">
        <v>1906</v>
      </c>
      <c r="L62" t="s">
        <v>1907</v>
      </c>
      <c r="M62" t="s">
        <v>238</v>
      </c>
      <c r="N62" t="s">
        <v>1847</v>
      </c>
      <c r="O62" t="s">
        <v>244</v>
      </c>
      <c r="P62" t="s">
        <v>245</v>
      </c>
      <c r="S62" t="s">
        <v>1955</v>
      </c>
    </row>
    <row r="63" spans="10:19" x14ac:dyDescent="0.25">
      <c r="J63" cm="1">
        <f t="array" ref="J63">ROW()-ROW(tbl_Extraction[#Headers])</f>
        <v>61</v>
      </c>
      <c r="K63" t="s">
        <v>1906</v>
      </c>
      <c r="L63" t="s">
        <v>1908</v>
      </c>
      <c r="M63" t="s">
        <v>238</v>
      </c>
      <c r="N63" t="s">
        <v>1847</v>
      </c>
      <c r="O63" t="s">
        <v>244</v>
      </c>
      <c r="P63" t="s">
        <v>245</v>
      </c>
      <c r="S63" t="s">
        <v>1955</v>
      </c>
    </row>
    <row r="64" spans="10:19" x14ac:dyDescent="0.25">
      <c r="J64" cm="1">
        <f t="array" ref="J64">ROW()-ROW(tbl_Extraction[#Headers])</f>
        <v>62</v>
      </c>
      <c r="K64" t="s">
        <v>1906</v>
      </c>
      <c r="L64" t="s">
        <v>1878</v>
      </c>
      <c r="M64" t="s">
        <v>240</v>
      </c>
      <c r="N64" t="s">
        <v>1892</v>
      </c>
      <c r="S64" t="s">
        <v>1954</v>
      </c>
    </row>
    <row r="65" spans="10:19" x14ac:dyDescent="0.25">
      <c r="J65" cm="1">
        <f t="array" ref="J65">ROW()-ROW(tbl_Extraction[#Headers])</f>
        <v>63</v>
      </c>
      <c r="K65" t="s">
        <v>1906</v>
      </c>
      <c r="L65" t="s">
        <v>1876</v>
      </c>
      <c r="M65" t="s">
        <v>240</v>
      </c>
      <c r="N65" t="s">
        <v>1893</v>
      </c>
      <c r="S65" t="s">
        <v>1954</v>
      </c>
    </row>
    <row r="66" spans="10:19" x14ac:dyDescent="0.25">
      <c r="J66" cm="1">
        <f t="array" ref="J66">ROW()-ROW(tbl_Extraction[#Headers])</f>
        <v>64</v>
      </c>
      <c r="K66" t="s">
        <v>1906</v>
      </c>
      <c r="L66" t="s">
        <v>1908</v>
      </c>
      <c r="M66" t="s">
        <v>240</v>
      </c>
      <c r="N66" t="s">
        <v>266</v>
      </c>
      <c r="S66" t="s">
        <v>1954</v>
      </c>
    </row>
  </sheetData>
  <mergeCells count="4">
    <mergeCell ref="A1:B1"/>
    <mergeCell ref="E1:H1"/>
    <mergeCell ref="J1:S1"/>
    <mergeCell ref="U1:AE1"/>
  </mergeCells>
  <phoneticPr fontId="6" type="noConversion"/>
  <conditionalFormatting sqref="V3:V23">
    <cfRule type="duplicateValues" dxfId="17" priority="2"/>
  </conditionalFormatting>
  <dataValidations count="8">
    <dataValidation type="list" allowBlank="1" showInputMessage="1" showErrorMessage="1" sqref="W3:W23 M3:M66" xr:uid="{05E7423D-62C6-4A4B-9438-79B77FA68CA0}">
      <formula1>"Plate, EmbeddedBeamRow, NodeToNodeAnchor, FixedEndAnchor, Geogrid, Interface"</formula1>
    </dataValidation>
    <dataValidation type="list" allowBlank="1" showInputMessage="1" showErrorMessage="1" sqref="G3:G8" xr:uid="{63D652EA-1EE0-43EC-972E-95392CDD6539}">
      <formula1>"Load Model, Extract Data"</formula1>
    </dataValidation>
    <dataValidation type="custom" allowBlank="1" showErrorMessage="1" promptTitle="Warning" prompt="This name has been used before, please input a unique name" sqref="V3:V23" xr:uid="{5E2FAA00-33C5-4CE3-8FB4-9D3CEF2C7C38}">
      <formula1>(COUNTIFS(INDIRECT("tbl_Profiles[Name]"),V3)=1)</formula1>
    </dataValidation>
    <dataValidation type="list" allowBlank="1" showInputMessage="1" showErrorMessage="1" sqref="X3:AB23" xr:uid="{ED00CE30-E8A0-467B-A2AD-E823EB130976}">
      <formula1>INDIRECT("ResultTypes_" &amp; $W3)</formula1>
    </dataValidation>
    <dataValidation type="list" allowBlank="1" showInputMessage="1" showErrorMessage="1" sqref="L3:L66" xr:uid="{9897031C-34D4-47EF-ACC3-E09422F16167}">
      <formula1>INDIRECT("_systemPhase!F" &amp; $J3 &amp; "#")</formula1>
    </dataValidation>
    <dataValidation type="list" allowBlank="1" showInputMessage="1" showErrorMessage="1" sqref="K3:K66" xr:uid="{57EFACF5-EDA7-4690-98B6-0B85EE882931}">
      <formula1>Models</formula1>
    </dataValidation>
    <dataValidation type="list" allowBlank="1" showInputMessage="1" showErrorMessage="1" sqref="S3:S66" xr:uid="{3B2DC65E-BEB7-41DA-B803-14A27695BBC7}">
      <formula1>INDIRECT("profile_" &amp; $M3)</formula1>
    </dataValidation>
    <dataValidation type="list" allowBlank="1" showInputMessage="1" showErrorMessage="1" sqref="N3:R66" xr:uid="{B5390758-6C92-47A5-B822-BCCD19A3B87F}">
      <formula1>INDIRECT("_system" &amp; $M3 &amp; "!F" &amp; $J3 &amp; "#")</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1" r:id="rId4" name="Button 9">
              <controlPr defaultSize="0" print="0" autoFill="0" autoPict="0" macro="[0]!SetPythonFolder">
                <anchor moveWithCells="1" sizeWithCells="1">
                  <from>
                    <xdr:col>2</xdr:col>
                    <xdr:colOff>9525</xdr:colOff>
                    <xdr:row>3</xdr:row>
                    <xdr:rowOff>9525</xdr:rowOff>
                  </from>
                  <to>
                    <xdr:col>2</xdr:col>
                    <xdr:colOff>904875</xdr:colOff>
                    <xdr:row>4</xdr:row>
                    <xdr:rowOff>9525</xdr:rowOff>
                  </to>
                </anchor>
              </controlPr>
            </control>
          </mc:Choice>
        </mc:AlternateContent>
        <mc:AlternateContent xmlns:mc="http://schemas.openxmlformats.org/markup-compatibility/2006">
          <mc:Choice Requires="x14">
            <control shapeId="3083" r:id="rId5" name="Button 11">
              <controlPr defaultSize="0" print="0" autoFill="0" autoPict="0" macro="[0]!SetShovelBackend">
                <anchor moveWithCells="1" sizeWithCells="1">
                  <from>
                    <xdr:col>2</xdr:col>
                    <xdr:colOff>9525</xdr:colOff>
                    <xdr:row>4</xdr:row>
                    <xdr:rowOff>19050</xdr:rowOff>
                  </from>
                  <to>
                    <xdr:col>2</xdr:col>
                    <xdr:colOff>904875</xdr:colOff>
                    <xdr:row>5</xdr:row>
                    <xdr:rowOff>19050</xdr:rowOff>
                  </to>
                </anchor>
              </controlPr>
            </control>
          </mc:Choice>
        </mc:AlternateContent>
        <mc:AlternateContent xmlns:mc="http://schemas.openxmlformats.org/markup-compatibility/2006">
          <mc:Choice Requires="x14">
            <control shapeId="3092" r:id="rId6" name="Button 20">
              <controlPr defaultSize="0" print="0" autoFill="0" autoPict="0" macro="[0]!GetPlaxisFiles">
                <anchor moveWithCells="1" sizeWithCells="1">
                  <from>
                    <xdr:col>5</xdr:col>
                    <xdr:colOff>2085975</xdr:colOff>
                    <xdr:row>0</xdr:row>
                    <xdr:rowOff>9525</xdr:rowOff>
                  </from>
                  <to>
                    <xdr:col>7</xdr:col>
                    <xdr:colOff>9525</xdr:colOff>
                    <xdr:row>0</xdr:row>
                    <xdr:rowOff>209550</xdr:rowOff>
                  </to>
                </anchor>
              </controlPr>
            </control>
          </mc:Choice>
        </mc:AlternateContent>
        <mc:AlternateContent xmlns:mc="http://schemas.openxmlformats.org/markup-compatibility/2006">
          <mc:Choice Requires="x14">
            <control shapeId="3109" r:id="rId7" name="Button 37">
              <controlPr defaultSize="0" print="0" autoFill="0" autoPict="0" macro="[0]!SetPlaxisFolder">
                <anchor moveWithCells="1" sizeWithCells="1">
                  <from>
                    <xdr:col>2</xdr:col>
                    <xdr:colOff>9525</xdr:colOff>
                    <xdr:row>2</xdr:row>
                    <xdr:rowOff>0</xdr:rowOff>
                  </from>
                  <to>
                    <xdr:col>2</xdr:col>
                    <xdr:colOff>904875</xdr:colOff>
                    <xdr:row>3</xdr:row>
                    <xdr:rowOff>0</xdr:rowOff>
                  </to>
                </anchor>
              </controlPr>
            </control>
          </mc:Choice>
        </mc:AlternateContent>
        <mc:AlternateContent xmlns:mc="http://schemas.openxmlformats.org/markup-compatibility/2006">
          <mc:Choice Requires="x14">
            <control shapeId="3110" r:id="rId8" name="Button 38">
              <controlPr defaultSize="0" print="0" autoFill="0" autoPict="0" macro="[0]!ChangePlaxisTable">
                <anchor moveWithCells="1" sizeWithCells="1">
                  <from>
                    <xdr:col>7</xdr:col>
                    <xdr:colOff>9525</xdr:colOff>
                    <xdr:row>0</xdr:row>
                    <xdr:rowOff>9525</xdr:rowOff>
                  </from>
                  <to>
                    <xdr:col>8</xdr:col>
                    <xdr:colOff>0</xdr:colOff>
                    <xdr:row>0</xdr:row>
                    <xdr:rowOff>209550</xdr:rowOff>
                  </to>
                </anchor>
              </controlPr>
            </control>
          </mc:Choice>
        </mc:AlternateContent>
        <mc:AlternateContent xmlns:mc="http://schemas.openxmlformats.org/markup-compatibility/2006">
          <mc:Choice Requires="x14">
            <control shapeId="3113" r:id="rId9" name="Button 41">
              <controlPr defaultSize="0" print="0" autoFill="0" autoPict="0" macro="[0]!Plaxis_Load_Output">
                <anchor moveWithCells="1" sizeWithCells="1">
                  <from>
                    <xdr:col>0</xdr:col>
                    <xdr:colOff>0</xdr:colOff>
                    <xdr:row>16</xdr:row>
                    <xdr:rowOff>180975</xdr:rowOff>
                  </from>
                  <to>
                    <xdr:col>1</xdr:col>
                    <xdr:colOff>0</xdr:colOff>
                    <xdr:row>19</xdr:row>
                    <xdr:rowOff>0</xdr:rowOff>
                  </to>
                </anchor>
              </controlPr>
            </control>
          </mc:Choice>
        </mc:AlternateContent>
        <mc:AlternateContent xmlns:mc="http://schemas.openxmlformats.org/markup-compatibility/2006">
          <mc:Choice Requires="x14">
            <control shapeId="3115" r:id="rId10" name="Button 43">
              <controlPr defaultSize="0" print="0" autoFill="0" autoPict="0" macro="[0]!Plaxis_Load_Output_all">
                <anchor moveWithCells="1" sizeWithCells="1">
                  <from>
                    <xdr:col>1</xdr:col>
                    <xdr:colOff>9525</xdr:colOff>
                    <xdr:row>16</xdr:row>
                    <xdr:rowOff>180975</xdr:rowOff>
                  </from>
                  <to>
                    <xdr:col>1</xdr:col>
                    <xdr:colOff>1533525</xdr:colOff>
                    <xdr:row>19</xdr:row>
                    <xdr:rowOff>0</xdr:rowOff>
                  </to>
                </anchor>
              </controlPr>
            </control>
          </mc:Choice>
        </mc:AlternateContent>
        <mc:AlternateContent xmlns:mc="http://schemas.openxmlformats.org/markup-compatibility/2006">
          <mc:Choice Requires="x14">
            <control shapeId="3116" r:id="rId11" name="Button 44">
              <controlPr defaultSize="0" print="0" autoFill="0" autoPict="0" macro="[0]!Plaxis_Extract_Output">
                <anchor moveWithCells="1" sizeWithCells="1">
                  <from>
                    <xdr:col>0</xdr:col>
                    <xdr:colOff>0</xdr:colOff>
                    <xdr:row>19</xdr:row>
                    <xdr:rowOff>9525</xdr:rowOff>
                  </from>
                  <to>
                    <xdr:col>1</xdr:col>
                    <xdr:colOff>0</xdr:colOff>
                    <xdr:row>21</xdr:row>
                    <xdr:rowOff>19050</xdr:rowOff>
                  </to>
                </anchor>
              </controlPr>
            </control>
          </mc:Choice>
        </mc:AlternateContent>
        <mc:AlternateContent xmlns:mc="http://schemas.openxmlformats.org/markup-compatibility/2006">
          <mc:Choice Requires="x14">
            <control shapeId="3117" r:id="rId12" name="Button 45">
              <controlPr defaultSize="0" print="0" autoFill="0" autoPict="0" macro="[0]!Plaxis_Extract_Output_all">
                <anchor moveWithCells="1" sizeWithCells="1">
                  <from>
                    <xdr:col>1</xdr:col>
                    <xdr:colOff>9525</xdr:colOff>
                    <xdr:row>19</xdr:row>
                    <xdr:rowOff>9525</xdr:rowOff>
                  </from>
                  <to>
                    <xdr:col>2</xdr:col>
                    <xdr:colOff>0</xdr:colOff>
                    <xdr:row>21</xdr:row>
                    <xdr:rowOff>19050</xdr:rowOff>
                  </to>
                </anchor>
              </controlPr>
            </control>
          </mc:Choice>
        </mc:AlternateContent>
        <mc:AlternateContent xmlns:mc="http://schemas.openxmlformats.org/markup-compatibility/2006">
          <mc:Choice Requires="x14">
            <control shapeId="3122" r:id="rId13" name="Button 50">
              <controlPr defaultSize="0" print="0" autoFill="0" autoPict="0" macro="[0]!SetUpdateExcel">
                <anchor moveWithCells="1" sizeWithCells="1">
                  <from>
                    <xdr:col>2</xdr:col>
                    <xdr:colOff>9525</xdr:colOff>
                    <xdr:row>12</xdr:row>
                    <xdr:rowOff>0</xdr:rowOff>
                  </from>
                  <to>
                    <xdr:col>2</xdr:col>
                    <xdr:colOff>904875</xdr:colOff>
                    <xdr:row>12</xdr:row>
                    <xdr:rowOff>190500</xdr:rowOff>
                  </to>
                </anchor>
              </controlPr>
            </control>
          </mc:Choice>
        </mc:AlternateContent>
        <mc:AlternateContent xmlns:mc="http://schemas.openxmlformats.org/markup-compatibility/2006">
          <mc:Choice Requires="x14">
            <control shapeId="3123" r:id="rId14" name="Button 51">
              <controlPr defaultSize="0" print="0" autoFill="0" autoPict="0" macro="[0]!SetTemplateExcel">
                <anchor moveWithCells="1" sizeWithCells="1">
                  <from>
                    <xdr:col>2</xdr:col>
                    <xdr:colOff>9525</xdr:colOff>
                    <xdr:row>9</xdr:row>
                    <xdr:rowOff>180975</xdr:rowOff>
                  </from>
                  <to>
                    <xdr:col>2</xdr:col>
                    <xdr:colOff>904875</xdr:colOff>
                    <xdr:row>10</xdr:row>
                    <xdr:rowOff>180975</xdr:rowOff>
                  </to>
                </anchor>
              </controlPr>
            </control>
          </mc:Choice>
        </mc:AlternateContent>
        <mc:AlternateContent xmlns:mc="http://schemas.openxmlformats.org/markup-compatibility/2006">
          <mc:Choice Requires="x14">
            <control shapeId="3124" r:id="rId15" name="Button 52">
              <controlPr defaultSize="0" print="0" autoFill="0" autoPict="0" macro="[0]!SetOutputFolder">
                <anchor moveWithCells="1" sizeWithCells="1">
                  <from>
                    <xdr:col>2</xdr:col>
                    <xdr:colOff>9525</xdr:colOff>
                    <xdr:row>11</xdr:row>
                    <xdr:rowOff>0</xdr:rowOff>
                  </from>
                  <to>
                    <xdr:col>2</xdr:col>
                    <xdr:colOff>904875</xdr:colOff>
                    <xdr:row>12</xdr:row>
                    <xdr:rowOff>0</xdr:rowOff>
                  </to>
                </anchor>
              </controlPr>
            </control>
          </mc:Choice>
        </mc:AlternateContent>
      </controls>
    </mc:Choice>
  </mc:AlternateContent>
  <tableParts count="4">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F762D-DFF3-467E-A2B4-ACC72AF3473E}">
  <sheetPr codeName="Sheet11"/>
  <dimension ref="A1:F9"/>
  <sheetViews>
    <sheetView workbookViewId="0">
      <selection activeCell="F2" sqref="F2"/>
    </sheetView>
  </sheetViews>
  <sheetFormatPr defaultRowHeight="15" x14ac:dyDescent="0.25"/>
  <cols>
    <col min="1" max="1" width="7.140625" bestFit="1" customWidth="1"/>
    <col min="2" max="2" width="19.7109375" bestFit="1" customWidth="1"/>
    <col min="3" max="3" width="19.42578125" bestFit="1" customWidth="1"/>
    <col min="4" max="4" width="15.5703125" bestFit="1" customWidth="1"/>
    <col min="5" max="5" width="8" bestFit="1" customWidth="1"/>
    <col min="6" max="6" width="12.5703125" bestFit="1" customWidth="1"/>
  </cols>
  <sheetData>
    <row r="1" spans="1:6" x14ac:dyDescent="0.25">
      <c r="A1" t="s">
        <v>238</v>
      </c>
      <c r="B1" t="s">
        <v>239</v>
      </c>
      <c r="C1" t="s">
        <v>240</v>
      </c>
      <c r="D1" t="s">
        <v>241</v>
      </c>
      <c r="E1" t="s">
        <v>242</v>
      </c>
      <c r="F1" t="s">
        <v>243</v>
      </c>
    </row>
    <row r="2" spans="1:6" x14ac:dyDescent="0.25">
      <c r="A2" t="str" cm="1">
        <f t="array" ref="A2:A9">_xlfn._xlws.FILTER(tbl_Profiles[Name],tbl_Profiles[Element Type]=A1)</f>
        <v>Case 1 - SLS Deflection (Hyd, SLS)</v>
      </c>
      <c r="B2" t="e" cm="1" vm="1">
        <f t="array" ref="B2">_xlfn._xlws.FILTER(tbl_Profiles[Name],tbl_Profiles[Element Type]=B1)</f>
        <v>#VALUE!</v>
      </c>
      <c r="C2" t="str" cm="1">
        <f t="array" ref="C2:C7">_xlfn._xlws.FILTER(tbl_Profiles[Name],tbl_Profiles[Element Type]=C1)</f>
        <v>Case 2 - Strut Forces, n2n (Hyd, C1)</v>
      </c>
      <c r="D2" t="str" cm="1">
        <f t="array" ref="D2:D7">_xlfn._xlws.FILTER(tbl_Profiles[Name],tbl_Profiles[Element Type]=D1)</f>
        <v>Case 2 - Strut Forces, FEA (Hyd, C1)</v>
      </c>
      <c r="E2" t="e" cm="1" vm="1">
        <f t="array" ref="E2">_xlfn._xlws.FILTER(tbl_Profiles[Name],tbl_Profiles[Element Type]=E1)</f>
        <v>#VALUE!</v>
      </c>
      <c r="F2" t="str" cm="1">
        <f t="array" ref="F2">_xlfn._xlws.FILTER(tbl_Profiles[Name],tbl_Profiles[Element Type]=F1)</f>
        <v>Case 1 - Lock-in Forces</v>
      </c>
    </row>
    <row r="3" spans="1:6" x14ac:dyDescent="0.25">
      <c r="A3" t="str">
        <v>Case 2 - Wall Forces (Hyd, C1)</v>
      </c>
      <c r="C3" t="str">
        <v>Case 3 - Strut Forces, n2n (Hyd, C2)</v>
      </c>
      <c r="D3" t="str">
        <v>Case 3 - Strut Forces, FEA (Hyd, C2)</v>
      </c>
    </row>
    <row r="4" spans="1:6" x14ac:dyDescent="0.25">
      <c r="A4" t="str">
        <v>Case 3 - Wall Forces (Hyd, C2)</v>
      </c>
      <c r="C4" t="str">
        <v>Case 4 - OSF Strut Forces, n2n (Hyd, SLS)</v>
      </c>
      <c r="D4" t="str">
        <v>Case 4 - OSF Strut Forces, FEA (Hyd, SLS)</v>
      </c>
    </row>
    <row r="5" spans="1:6" x14ac:dyDescent="0.25">
      <c r="A5" t="str">
        <v>Case 4 - OSF Wall Forces (Hyd, SLS)</v>
      </c>
      <c r="C5" t="str">
        <v>Case 6 - Strut Forces, n2n (Spg, C1)</v>
      </c>
      <c r="D5" t="str">
        <v>Case 6 - Strut Forces, FEA (Spg, C1)</v>
      </c>
    </row>
    <row r="6" spans="1:6" x14ac:dyDescent="0.25">
      <c r="A6" t="str">
        <v>Case 5 - SLS Deflection (Spg, SLS)</v>
      </c>
      <c r="C6" t="str">
        <v>Case 7 - Strut Forces, n2n (Spg, C2)</v>
      </c>
      <c r="D6" t="str">
        <v>Case 7 - Strut Forces, FEA (Spg, C2)</v>
      </c>
    </row>
    <row r="7" spans="1:6" x14ac:dyDescent="0.25">
      <c r="A7" t="str">
        <v>Case 6 - Wall Forces (Spg, C1)</v>
      </c>
      <c r="C7" t="str">
        <v>Case 8 - OSF Strut Forces, n2n (Spg, SLS)</v>
      </c>
      <c r="D7" t="str">
        <v>Case 8 - OSF Strut Forces, FEA (Spg, SLS)</v>
      </c>
    </row>
    <row r="8" spans="1:6" x14ac:dyDescent="0.25">
      <c r="A8" t="str">
        <v>Case 7 - Wall Forces (Spg, C2)</v>
      </c>
    </row>
    <row r="9" spans="1:6" x14ac:dyDescent="0.25">
      <c r="A9" t="str">
        <v>Case 8 - OSF Wall Forces (Spg, SLS)</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_system</vt:lpstr>
      <vt:lpstr>_systemPhase</vt:lpstr>
      <vt:lpstr>_systemPlate</vt:lpstr>
      <vt:lpstr>_systemNodeToNodeAnchor</vt:lpstr>
      <vt:lpstr>_systemEmbeddedBeamRow</vt:lpstr>
      <vt:lpstr>_systemFixedEndAnchor</vt:lpstr>
      <vt:lpstr>_systemGeogrid</vt:lpstr>
      <vt:lpstr>_systemInterface</vt:lpstr>
      <vt:lpstr>Properties</vt:lpstr>
      <vt:lpstr>Plaxis_extractor</vt:lpstr>
      <vt:lpstr>_systemProfiles</vt:lpstr>
      <vt:lpstr>Models</vt:lpstr>
      <vt:lpstr>o_PlotTypes</vt:lpstr>
      <vt:lpstr>ResultTypes_EmbeddedBeamRow</vt:lpstr>
      <vt:lpstr>ResultTypes_FixedEndAnchor</vt:lpstr>
      <vt:lpstr>ResultTypes_Geogrid</vt:lpstr>
      <vt:lpstr>ResultTypes_Interface</vt:lpstr>
      <vt:lpstr>ResultTypes_NodeToNodeAnchor</vt:lpstr>
      <vt:lpstr>ResultTypes_Plate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Sher Wen</dc:creator>
  <cp:lastModifiedBy>K</cp:lastModifiedBy>
  <dcterms:created xsi:type="dcterms:W3CDTF">2015-06-05T18:17:20Z</dcterms:created>
  <dcterms:modified xsi:type="dcterms:W3CDTF">2023-03-30T15:04:10Z</dcterms:modified>
</cp:coreProperties>
</file>